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leg.abdullin\Downloads\"/>
    </mc:Choice>
  </mc:AlternateContent>
  <xr:revisionPtr revIDLastSave="0" documentId="8_{721020EC-B63F-44C5-90EB-A248E57BA8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ВДЦ№1 (отопление)" sheetId="4" r:id="rId1"/>
  </sheets>
  <definedNames>
    <definedName name="_xlnm._FilterDatabase" localSheetId="0" hidden="1">'ВДЦ№1 (отопление)'!$A$6:$J$949</definedName>
    <definedName name="Print_Titles" localSheetId="0">'ВДЦ№1 (отопление)'!#REF!</definedName>
    <definedName name="_xlnm.Print_Area" localSheetId="0">'ВДЦ№1 (отопление)'!$A$3:$K$942</definedName>
    <definedName name="Прайс" localSheetId="0">'ВДЦ№1 (отопление)'!#REF!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5" i="4" l="1"/>
  <c r="H465" i="4"/>
  <c r="I465" i="4"/>
  <c r="G466" i="4"/>
  <c r="H466" i="4"/>
  <c r="I466" i="4"/>
  <c r="G467" i="4"/>
  <c r="H467" i="4"/>
  <c r="I467" i="4"/>
  <c r="G468" i="4"/>
  <c r="H468" i="4"/>
  <c r="I468" i="4"/>
  <c r="G469" i="4"/>
  <c r="H469" i="4"/>
  <c r="I469" i="4"/>
  <c r="G470" i="4"/>
  <c r="H470" i="4"/>
  <c r="I470" i="4"/>
  <c r="G471" i="4"/>
  <c r="H471" i="4"/>
  <c r="I471" i="4"/>
  <c r="G472" i="4"/>
  <c r="H472" i="4"/>
  <c r="I472" i="4"/>
  <c r="G473" i="4"/>
  <c r="H473" i="4"/>
  <c r="I473" i="4"/>
  <c r="G474" i="4"/>
  <c r="H474" i="4"/>
  <c r="I474" i="4"/>
  <c r="G475" i="4"/>
  <c r="H475" i="4"/>
  <c r="I475" i="4"/>
  <c r="G476" i="4"/>
  <c r="H476" i="4"/>
  <c r="I476" i="4"/>
  <c r="G477" i="4"/>
  <c r="H477" i="4"/>
  <c r="I477" i="4"/>
  <c r="G478" i="4"/>
  <c r="H478" i="4"/>
  <c r="I478" i="4"/>
  <c r="G479" i="4"/>
  <c r="H479" i="4"/>
  <c r="I479" i="4"/>
  <c r="G480" i="4"/>
  <c r="H480" i="4"/>
  <c r="I480" i="4"/>
  <c r="G481" i="4"/>
  <c r="H481" i="4"/>
  <c r="I481" i="4"/>
  <c r="G482" i="4"/>
  <c r="H482" i="4"/>
  <c r="I482" i="4"/>
  <c r="G483" i="4"/>
  <c r="H483" i="4"/>
  <c r="I483" i="4"/>
  <c r="G484" i="4"/>
  <c r="H484" i="4"/>
  <c r="I484" i="4"/>
  <c r="G485" i="4"/>
  <c r="H485" i="4"/>
  <c r="I485" i="4"/>
  <c r="G486" i="4"/>
  <c r="H486" i="4"/>
  <c r="I486" i="4"/>
  <c r="G487" i="4"/>
  <c r="H487" i="4"/>
  <c r="I487" i="4"/>
  <c r="G488" i="4"/>
  <c r="H488" i="4"/>
  <c r="I488" i="4"/>
  <c r="G489" i="4"/>
  <c r="H489" i="4"/>
  <c r="I489" i="4"/>
  <c r="G490" i="4"/>
  <c r="H490" i="4"/>
  <c r="I490" i="4"/>
  <c r="G491" i="4"/>
  <c r="H491" i="4"/>
  <c r="I491" i="4"/>
  <c r="G492" i="4"/>
  <c r="H492" i="4"/>
  <c r="I492" i="4"/>
  <c r="G493" i="4"/>
  <c r="H493" i="4"/>
  <c r="I493" i="4"/>
  <c r="G494" i="4"/>
  <c r="H494" i="4"/>
  <c r="I494" i="4"/>
  <c r="G495" i="4"/>
  <c r="H495" i="4"/>
  <c r="I495" i="4"/>
  <c r="G496" i="4"/>
  <c r="H496" i="4"/>
  <c r="I496" i="4"/>
  <c r="G497" i="4"/>
  <c r="H497" i="4"/>
  <c r="I497" i="4"/>
  <c r="G498" i="4"/>
  <c r="H498" i="4"/>
  <c r="I498" i="4"/>
  <c r="G499" i="4"/>
  <c r="H499" i="4"/>
  <c r="I499" i="4"/>
  <c r="G500" i="4"/>
  <c r="H500" i="4"/>
  <c r="I500" i="4"/>
  <c r="G501" i="4"/>
  <c r="H501" i="4"/>
  <c r="I501" i="4"/>
  <c r="G502" i="4"/>
  <c r="H502" i="4"/>
  <c r="I502" i="4"/>
  <c r="G503" i="4"/>
  <c r="H503" i="4"/>
  <c r="I503" i="4"/>
  <c r="G504" i="4"/>
  <c r="H504" i="4"/>
  <c r="I504" i="4"/>
  <c r="G505" i="4"/>
  <c r="H505" i="4"/>
  <c r="I505" i="4"/>
  <c r="G506" i="4"/>
  <c r="H506" i="4"/>
  <c r="I506" i="4"/>
  <c r="G507" i="4"/>
  <c r="H507" i="4"/>
  <c r="I507" i="4"/>
  <c r="G508" i="4"/>
  <c r="H508" i="4"/>
  <c r="I508" i="4"/>
  <c r="G509" i="4"/>
  <c r="H509" i="4"/>
  <c r="I509" i="4"/>
  <c r="G510" i="4"/>
  <c r="H510" i="4"/>
  <c r="I510" i="4"/>
  <c r="G511" i="4"/>
  <c r="H511" i="4"/>
  <c r="I511" i="4"/>
  <c r="G512" i="4"/>
  <c r="H512" i="4"/>
  <c r="I512" i="4"/>
  <c r="G513" i="4"/>
  <c r="H513" i="4"/>
  <c r="I513" i="4"/>
  <c r="G514" i="4"/>
  <c r="H514" i="4"/>
  <c r="I514" i="4"/>
  <c r="G515" i="4"/>
  <c r="H515" i="4"/>
  <c r="I515" i="4"/>
  <c r="G516" i="4"/>
  <c r="H516" i="4"/>
  <c r="I516" i="4"/>
  <c r="G517" i="4"/>
  <c r="H517" i="4"/>
  <c r="I517" i="4"/>
  <c r="G518" i="4"/>
  <c r="H518" i="4"/>
  <c r="I518" i="4"/>
  <c r="G519" i="4"/>
  <c r="H519" i="4"/>
  <c r="I519" i="4"/>
  <c r="G520" i="4"/>
  <c r="H520" i="4"/>
  <c r="I520" i="4"/>
  <c r="G521" i="4"/>
  <c r="H521" i="4"/>
  <c r="I521" i="4"/>
  <c r="G522" i="4"/>
  <c r="H522" i="4"/>
  <c r="I522" i="4"/>
  <c r="G523" i="4"/>
  <c r="H523" i="4"/>
  <c r="I523" i="4"/>
  <c r="G524" i="4"/>
  <c r="H524" i="4"/>
  <c r="I524" i="4"/>
  <c r="G525" i="4"/>
  <c r="H525" i="4"/>
  <c r="I525" i="4"/>
  <c r="G526" i="4"/>
  <c r="H526" i="4"/>
  <c r="I526" i="4"/>
  <c r="G527" i="4"/>
  <c r="H527" i="4"/>
  <c r="I527" i="4"/>
  <c r="G528" i="4"/>
  <c r="H528" i="4"/>
  <c r="I528" i="4"/>
  <c r="G529" i="4"/>
  <c r="H529" i="4"/>
  <c r="I529" i="4"/>
  <c r="G530" i="4"/>
  <c r="H530" i="4"/>
  <c r="I530" i="4"/>
  <c r="G531" i="4"/>
  <c r="H531" i="4"/>
  <c r="I531" i="4"/>
  <c r="G532" i="4"/>
  <c r="H532" i="4"/>
  <c r="I532" i="4"/>
  <c r="G533" i="4"/>
  <c r="H533" i="4"/>
  <c r="I533" i="4"/>
  <c r="G534" i="4"/>
  <c r="H534" i="4"/>
  <c r="I534" i="4"/>
  <c r="G535" i="4"/>
  <c r="H535" i="4"/>
  <c r="I535" i="4"/>
  <c r="G536" i="4"/>
  <c r="H536" i="4"/>
  <c r="I536" i="4"/>
  <c r="G537" i="4"/>
  <c r="H537" i="4"/>
  <c r="I537" i="4"/>
  <c r="G538" i="4"/>
  <c r="H538" i="4"/>
  <c r="I538" i="4"/>
  <c r="G539" i="4"/>
  <c r="H539" i="4"/>
  <c r="I539" i="4"/>
  <c r="G540" i="4"/>
  <c r="H540" i="4"/>
  <c r="I540" i="4"/>
  <c r="G541" i="4"/>
  <c r="H541" i="4"/>
  <c r="I541" i="4"/>
  <c r="G542" i="4"/>
  <c r="H542" i="4"/>
  <c r="I542" i="4"/>
  <c r="G543" i="4"/>
  <c r="H543" i="4"/>
  <c r="I543" i="4"/>
  <c r="G544" i="4"/>
  <c r="H544" i="4"/>
  <c r="I544" i="4"/>
  <c r="G545" i="4"/>
  <c r="H545" i="4"/>
  <c r="I545" i="4"/>
  <c r="G546" i="4"/>
  <c r="H546" i="4"/>
  <c r="I546" i="4"/>
  <c r="G547" i="4"/>
  <c r="H547" i="4"/>
  <c r="I547" i="4"/>
  <c r="G548" i="4"/>
  <c r="H548" i="4"/>
  <c r="I548" i="4"/>
  <c r="G549" i="4"/>
  <c r="H549" i="4"/>
  <c r="I549" i="4"/>
  <c r="G550" i="4"/>
  <c r="H550" i="4"/>
  <c r="I550" i="4"/>
  <c r="G551" i="4"/>
  <c r="H551" i="4"/>
  <c r="I551" i="4"/>
  <c r="G552" i="4"/>
  <c r="H552" i="4"/>
  <c r="I552" i="4"/>
  <c r="G553" i="4"/>
  <c r="H553" i="4"/>
  <c r="I553" i="4"/>
  <c r="G554" i="4"/>
  <c r="H554" i="4"/>
  <c r="I554" i="4"/>
  <c r="G555" i="4"/>
  <c r="H555" i="4"/>
  <c r="I555" i="4"/>
  <c r="G556" i="4"/>
  <c r="H556" i="4"/>
  <c r="I556" i="4"/>
  <c r="G557" i="4"/>
  <c r="H557" i="4"/>
  <c r="I557" i="4"/>
  <c r="G558" i="4"/>
  <c r="H558" i="4"/>
  <c r="I558" i="4"/>
  <c r="G559" i="4"/>
  <c r="H559" i="4"/>
  <c r="I559" i="4"/>
  <c r="G560" i="4"/>
  <c r="H560" i="4"/>
  <c r="I560" i="4"/>
  <c r="G561" i="4"/>
  <c r="H561" i="4"/>
  <c r="I561" i="4"/>
  <c r="G562" i="4"/>
  <c r="H562" i="4"/>
  <c r="I562" i="4"/>
  <c r="G563" i="4"/>
  <c r="H563" i="4"/>
  <c r="I563" i="4"/>
  <c r="G564" i="4"/>
  <c r="H564" i="4"/>
  <c r="I564" i="4"/>
  <c r="G565" i="4"/>
  <c r="H565" i="4"/>
  <c r="I565" i="4"/>
  <c r="G566" i="4"/>
  <c r="H566" i="4"/>
  <c r="I566" i="4"/>
  <c r="G567" i="4"/>
  <c r="H567" i="4"/>
  <c r="I567" i="4"/>
  <c r="G568" i="4"/>
  <c r="H568" i="4"/>
  <c r="I568" i="4"/>
  <c r="G569" i="4"/>
  <c r="H569" i="4"/>
  <c r="I569" i="4"/>
  <c r="G570" i="4"/>
  <c r="H570" i="4"/>
  <c r="I570" i="4"/>
  <c r="G571" i="4"/>
  <c r="H571" i="4"/>
  <c r="I571" i="4"/>
  <c r="G572" i="4"/>
  <c r="H572" i="4"/>
  <c r="I572" i="4"/>
  <c r="G573" i="4"/>
  <c r="H573" i="4"/>
  <c r="I573" i="4"/>
  <c r="G574" i="4"/>
  <c r="H574" i="4"/>
  <c r="I574" i="4"/>
  <c r="G575" i="4"/>
  <c r="H575" i="4"/>
  <c r="I575" i="4"/>
  <c r="G576" i="4"/>
  <c r="H576" i="4"/>
  <c r="I576" i="4"/>
  <c r="G577" i="4"/>
  <c r="H577" i="4"/>
  <c r="I577" i="4"/>
  <c r="G578" i="4"/>
  <c r="H578" i="4"/>
  <c r="I578" i="4"/>
  <c r="G579" i="4"/>
  <c r="H579" i="4"/>
  <c r="I579" i="4"/>
  <c r="G580" i="4"/>
  <c r="H580" i="4"/>
  <c r="I580" i="4"/>
  <c r="G581" i="4"/>
  <c r="H581" i="4"/>
  <c r="I581" i="4"/>
  <c r="G582" i="4"/>
  <c r="H582" i="4"/>
  <c r="I582" i="4"/>
  <c r="G583" i="4"/>
  <c r="H583" i="4"/>
  <c r="I583" i="4"/>
  <c r="G584" i="4"/>
  <c r="H584" i="4"/>
  <c r="I584" i="4"/>
  <c r="G585" i="4"/>
  <c r="H585" i="4"/>
  <c r="I585" i="4"/>
  <c r="G586" i="4"/>
  <c r="H586" i="4"/>
  <c r="I586" i="4"/>
  <c r="G587" i="4"/>
  <c r="H587" i="4"/>
  <c r="I587" i="4"/>
  <c r="G588" i="4"/>
  <c r="H588" i="4"/>
  <c r="I588" i="4"/>
  <c r="G589" i="4"/>
  <c r="H589" i="4"/>
  <c r="I589" i="4"/>
  <c r="G590" i="4"/>
  <c r="H590" i="4"/>
  <c r="I590" i="4"/>
  <c r="G591" i="4"/>
  <c r="H591" i="4"/>
  <c r="I591" i="4"/>
  <c r="G592" i="4"/>
  <c r="H592" i="4"/>
  <c r="I592" i="4"/>
  <c r="G593" i="4"/>
  <c r="H593" i="4"/>
  <c r="I593" i="4"/>
  <c r="G594" i="4"/>
  <c r="H594" i="4"/>
  <c r="I594" i="4"/>
  <c r="G595" i="4"/>
  <c r="H595" i="4"/>
  <c r="I595" i="4"/>
  <c r="G596" i="4"/>
  <c r="H596" i="4"/>
  <c r="I596" i="4"/>
  <c r="G597" i="4"/>
  <c r="H597" i="4"/>
  <c r="I597" i="4"/>
  <c r="G598" i="4"/>
  <c r="H598" i="4"/>
  <c r="I598" i="4"/>
  <c r="G599" i="4"/>
  <c r="H599" i="4"/>
  <c r="I599" i="4"/>
  <c r="G600" i="4"/>
  <c r="H600" i="4"/>
  <c r="I600" i="4"/>
  <c r="G601" i="4"/>
  <c r="H601" i="4"/>
  <c r="I601" i="4"/>
  <c r="G602" i="4"/>
  <c r="H602" i="4"/>
  <c r="I602" i="4"/>
  <c r="G603" i="4"/>
  <c r="H603" i="4"/>
  <c r="I603" i="4"/>
  <c r="G604" i="4"/>
  <c r="H604" i="4"/>
  <c r="I604" i="4"/>
  <c r="G605" i="4"/>
  <c r="H605" i="4"/>
  <c r="I605" i="4"/>
  <c r="G606" i="4"/>
  <c r="H606" i="4"/>
  <c r="I606" i="4"/>
  <c r="G607" i="4"/>
  <c r="H607" i="4"/>
  <c r="I607" i="4"/>
  <c r="G608" i="4"/>
  <c r="H608" i="4"/>
  <c r="I608" i="4"/>
  <c r="G609" i="4"/>
  <c r="H609" i="4"/>
  <c r="I609" i="4"/>
  <c r="G610" i="4"/>
  <c r="H610" i="4"/>
  <c r="I610" i="4"/>
  <c r="G611" i="4"/>
  <c r="H611" i="4"/>
  <c r="I611" i="4"/>
  <c r="G612" i="4"/>
  <c r="H612" i="4"/>
  <c r="I612" i="4"/>
  <c r="G613" i="4"/>
  <c r="H613" i="4"/>
  <c r="I613" i="4"/>
  <c r="G614" i="4"/>
  <c r="H614" i="4"/>
  <c r="I614" i="4"/>
  <c r="G615" i="4"/>
  <c r="H615" i="4"/>
  <c r="I615" i="4"/>
  <c r="G616" i="4"/>
  <c r="H616" i="4"/>
  <c r="I616" i="4"/>
  <c r="G617" i="4"/>
  <c r="H617" i="4"/>
  <c r="I617" i="4"/>
  <c r="G618" i="4"/>
  <c r="H618" i="4"/>
  <c r="I618" i="4"/>
  <c r="G619" i="4"/>
  <c r="H619" i="4"/>
  <c r="I619" i="4"/>
  <c r="G620" i="4"/>
  <c r="H620" i="4"/>
  <c r="I620" i="4"/>
  <c r="G621" i="4"/>
  <c r="H621" i="4"/>
  <c r="I621" i="4"/>
  <c r="G622" i="4"/>
  <c r="H622" i="4"/>
  <c r="I622" i="4"/>
  <c r="G623" i="4"/>
  <c r="H623" i="4"/>
  <c r="I623" i="4"/>
  <c r="G624" i="4"/>
  <c r="H624" i="4"/>
  <c r="I624" i="4"/>
  <c r="G625" i="4"/>
  <c r="H625" i="4"/>
  <c r="I625" i="4"/>
  <c r="G626" i="4"/>
  <c r="H626" i="4"/>
  <c r="I626" i="4"/>
  <c r="G627" i="4"/>
  <c r="H627" i="4"/>
  <c r="I627" i="4"/>
  <c r="G628" i="4"/>
  <c r="H628" i="4"/>
  <c r="I628" i="4"/>
  <c r="G629" i="4"/>
  <c r="H629" i="4"/>
  <c r="I629" i="4"/>
  <c r="G630" i="4"/>
  <c r="H630" i="4"/>
  <c r="I630" i="4"/>
  <c r="G631" i="4"/>
  <c r="H631" i="4"/>
  <c r="I631" i="4"/>
  <c r="G632" i="4"/>
  <c r="H632" i="4"/>
  <c r="I632" i="4"/>
  <c r="G633" i="4"/>
  <c r="H633" i="4"/>
  <c r="I633" i="4"/>
  <c r="G634" i="4"/>
  <c r="H634" i="4"/>
  <c r="I634" i="4"/>
  <c r="G635" i="4"/>
  <c r="H635" i="4"/>
  <c r="I635" i="4"/>
  <c r="G636" i="4"/>
  <c r="H636" i="4"/>
  <c r="I636" i="4"/>
  <c r="G637" i="4"/>
  <c r="H637" i="4"/>
  <c r="I637" i="4"/>
  <c r="G638" i="4"/>
  <c r="H638" i="4"/>
  <c r="I638" i="4"/>
  <c r="G639" i="4"/>
  <c r="H639" i="4"/>
  <c r="I639" i="4"/>
  <c r="G640" i="4"/>
  <c r="H640" i="4"/>
  <c r="I640" i="4"/>
  <c r="G641" i="4"/>
  <c r="H641" i="4"/>
  <c r="I641" i="4"/>
  <c r="G642" i="4"/>
  <c r="H642" i="4"/>
  <c r="I642" i="4"/>
  <c r="G643" i="4"/>
  <c r="H643" i="4"/>
  <c r="I643" i="4"/>
  <c r="G644" i="4"/>
  <c r="H644" i="4"/>
  <c r="I644" i="4"/>
  <c r="G645" i="4"/>
  <c r="H645" i="4"/>
  <c r="I645" i="4"/>
  <c r="G646" i="4"/>
  <c r="H646" i="4"/>
  <c r="I646" i="4"/>
  <c r="G647" i="4"/>
  <c r="H647" i="4"/>
  <c r="I647" i="4"/>
  <c r="G648" i="4"/>
  <c r="H648" i="4"/>
  <c r="I648" i="4"/>
  <c r="G649" i="4"/>
  <c r="H649" i="4"/>
  <c r="I649" i="4"/>
  <c r="G650" i="4"/>
  <c r="H650" i="4"/>
  <c r="I650" i="4"/>
  <c r="G651" i="4"/>
  <c r="H651" i="4"/>
  <c r="I651" i="4"/>
  <c r="G652" i="4"/>
  <c r="H652" i="4"/>
  <c r="I652" i="4"/>
  <c r="G653" i="4"/>
  <c r="H653" i="4"/>
  <c r="I653" i="4"/>
  <c r="G654" i="4"/>
  <c r="H654" i="4"/>
  <c r="I654" i="4"/>
  <c r="G655" i="4"/>
  <c r="H655" i="4"/>
  <c r="I655" i="4"/>
  <c r="G656" i="4"/>
  <c r="H656" i="4"/>
  <c r="I656" i="4"/>
  <c r="G657" i="4"/>
  <c r="H657" i="4"/>
  <c r="I657" i="4"/>
  <c r="G658" i="4"/>
  <c r="H658" i="4"/>
  <c r="I658" i="4"/>
  <c r="G659" i="4"/>
  <c r="H659" i="4"/>
  <c r="I659" i="4"/>
  <c r="G660" i="4"/>
  <c r="H660" i="4"/>
  <c r="I660" i="4"/>
  <c r="G661" i="4"/>
  <c r="H661" i="4"/>
  <c r="I661" i="4"/>
  <c r="G662" i="4"/>
  <c r="H662" i="4"/>
  <c r="I662" i="4"/>
  <c r="G663" i="4"/>
  <c r="H663" i="4"/>
  <c r="I663" i="4"/>
  <c r="G664" i="4"/>
  <c r="H664" i="4"/>
  <c r="I664" i="4"/>
  <c r="G665" i="4"/>
  <c r="H665" i="4"/>
  <c r="I665" i="4"/>
  <c r="G666" i="4"/>
  <c r="H666" i="4"/>
  <c r="I666" i="4"/>
  <c r="G667" i="4"/>
  <c r="H667" i="4"/>
  <c r="I667" i="4"/>
  <c r="G668" i="4"/>
  <c r="H668" i="4"/>
  <c r="I668" i="4"/>
  <c r="G669" i="4"/>
  <c r="H669" i="4"/>
  <c r="I669" i="4"/>
  <c r="G670" i="4"/>
  <c r="H670" i="4"/>
  <c r="I670" i="4"/>
  <c r="G671" i="4"/>
  <c r="H671" i="4"/>
  <c r="I671" i="4"/>
  <c r="G672" i="4"/>
  <c r="H672" i="4"/>
  <c r="I672" i="4"/>
  <c r="G673" i="4"/>
  <c r="H673" i="4"/>
  <c r="I673" i="4"/>
  <c r="G674" i="4"/>
  <c r="H674" i="4"/>
  <c r="I674" i="4"/>
  <c r="G675" i="4"/>
  <c r="H675" i="4"/>
  <c r="I675" i="4"/>
  <c r="G676" i="4"/>
  <c r="H676" i="4"/>
  <c r="I676" i="4"/>
  <c r="G677" i="4"/>
  <c r="H677" i="4"/>
  <c r="I677" i="4"/>
  <c r="G678" i="4"/>
  <c r="H678" i="4"/>
  <c r="I678" i="4"/>
  <c r="G679" i="4"/>
  <c r="H679" i="4"/>
  <c r="I679" i="4"/>
  <c r="G680" i="4"/>
  <c r="H680" i="4"/>
  <c r="I680" i="4"/>
  <c r="G681" i="4"/>
  <c r="H681" i="4"/>
  <c r="I681" i="4"/>
  <c r="G682" i="4"/>
  <c r="H682" i="4"/>
  <c r="I682" i="4"/>
  <c r="G683" i="4"/>
  <c r="H683" i="4"/>
  <c r="I683" i="4"/>
  <c r="G684" i="4"/>
  <c r="H684" i="4"/>
  <c r="I684" i="4"/>
  <c r="G685" i="4"/>
  <c r="H685" i="4"/>
  <c r="I685" i="4"/>
  <c r="G686" i="4"/>
  <c r="H686" i="4"/>
  <c r="I686" i="4"/>
  <c r="G687" i="4"/>
  <c r="H687" i="4"/>
  <c r="I687" i="4"/>
  <c r="G688" i="4"/>
  <c r="H688" i="4"/>
  <c r="I688" i="4"/>
  <c r="G689" i="4"/>
  <c r="H689" i="4"/>
  <c r="I689" i="4"/>
  <c r="G690" i="4"/>
  <c r="H690" i="4"/>
  <c r="I690" i="4"/>
  <c r="G691" i="4"/>
  <c r="H691" i="4"/>
  <c r="I691" i="4"/>
  <c r="G692" i="4"/>
  <c r="H692" i="4"/>
  <c r="I692" i="4"/>
  <c r="G693" i="4"/>
  <c r="H693" i="4"/>
  <c r="I693" i="4"/>
  <c r="G694" i="4"/>
  <c r="H694" i="4"/>
  <c r="I694" i="4"/>
  <c r="G695" i="4"/>
  <c r="H695" i="4"/>
  <c r="I695" i="4"/>
  <c r="G696" i="4"/>
  <c r="H696" i="4"/>
  <c r="I696" i="4"/>
  <c r="G697" i="4"/>
  <c r="H697" i="4"/>
  <c r="I697" i="4"/>
  <c r="G698" i="4"/>
  <c r="H698" i="4"/>
  <c r="I698" i="4"/>
  <c r="G699" i="4"/>
  <c r="H699" i="4"/>
  <c r="I699" i="4"/>
  <c r="G700" i="4"/>
  <c r="H700" i="4"/>
  <c r="I700" i="4"/>
  <c r="G701" i="4"/>
  <c r="H701" i="4"/>
  <c r="I701" i="4"/>
  <c r="G702" i="4"/>
  <c r="H702" i="4"/>
  <c r="I702" i="4"/>
  <c r="G703" i="4"/>
  <c r="H703" i="4"/>
  <c r="I703" i="4"/>
  <c r="G704" i="4"/>
  <c r="H704" i="4"/>
  <c r="I704" i="4"/>
  <c r="G705" i="4"/>
  <c r="H705" i="4"/>
  <c r="I705" i="4"/>
  <c r="G706" i="4"/>
  <c r="H706" i="4"/>
  <c r="I706" i="4"/>
  <c r="G707" i="4"/>
  <c r="H707" i="4"/>
  <c r="I707" i="4"/>
  <c r="G708" i="4"/>
  <c r="H708" i="4"/>
  <c r="I708" i="4"/>
  <c r="G709" i="4"/>
  <c r="H709" i="4"/>
  <c r="I709" i="4"/>
  <c r="G710" i="4"/>
  <c r="H710" i="4"/>
  <c r="I710" i="4"/>
  <c r="G711" i="4"/>
  <c r="H711" i="4"/>
  <c r="I711" i="4"/>
  <c r="G712" i="4"/>
  <c r="H712" i="4"/>
  <c r="I712" i="4"/>
  <c r="G713" i="4"/>
  <c r="H713" i="4"/>
  <c r="I713" i="4"/>
  <c r="G714" i="4"/>
  <c r="H714" i="4"/>
  <c r="I714" i="4"/>
  <c r="G715" i="4"/>
  <c r="H715" i="4"/>
  <c r="I715" i="4"/>
  <c r="G716" i="4"/>
  <c r="H716" i="4"/>
  <c r="I716" i="4"/>
  <c r="G717" i="4"/>
  <c r="H717" i="4"/>
  <c r="I717" i="4"/>
  <c r="G718" i="4"/>
  <c r="H718" i="4"/>
  <c r="I718" i="4"/>
  <c r="G719" i="4"/>
  <c r="H719" i="4"/>
  <c r="I719" i="4"/>
  <c r="G720" i="4"/>
  <c r="H720" i="4"/>
  <c r="I720" i="4"/>
  <c r="G721" i="4"/>
  <c r="H721" i="4"/>
  <c r="I721" i="4"/>
  <c r="G722" i="4"/>
  <c r="H722" i="4"/>
  <c r="I722" i="4"/>
  <c r="G723" i="4"/>
  <c r="H723" i="4"/>
  <c r="I723" i="4"/>
  <c r="G724" i="4"/>
  <c r="H724" i="4"/>
  <c r="I724" i="4"/>
  <c r="G725" i="4"/>
  <c r="H725" i="4"/>
  <c r="I725" i="4"/>
  <c r="G726" i="4"/>
  <c r="H726" i="4"/>
  <c r="I726" i="4"/>
  <c r="G727" i="4"/>
  <c r="H727" i="4"/>
  <c r="I727" i="4"/>
  <c r="G728" i="4"/>
  <c r="H728" i="4"/>
  <c r="I728" i="4"/>
  <c r="G729" i="4"/>
  <c r="H729" i="4"/>
  <c r="I729" i="4"/>
  <c r="G730" i="4"/>
  <c r="H730" i="4"/>
  <c r="I730" i="4"/>
  <c r="G731" i="4"/>
  <c r="H731" i="4"/>
  <c r="I731" i="4"/>
  <c r="G732" i="4"/>
  <c r="H732" i="4"/>
  <c r="I732" i="4"/>
  <c r="G733" i="4"/>
  <c r="H733" i="4"/>
  <c r="I733" i="4"/>
  <c r="G734" i="4"/>
  <c r="H734" i="4"/>
  <c r="I734" i="4"/>
  <c r="G735" i="4"/>
  <c r="H735" i="4"/>
  <c r="I735" i="4"/>
  <c r="G736" i="4"/>
  <c r="H736" i="4"/>
  <c r="I736" i="4"/>
  <c r="G737" i="4"/>
  <c r="H737" i="4"/>
  <c r="I737" i="4"/>
  <c r="G738" i="4"/>
  <c r="H738" i="4"/>
  <c r="I738" i="4"/>
  <c r="G739" i="4"/>
  <c r="H739" i="4"/>
  <c r="I739" i="4"/>
  <c r="G740" i="4"/>
  <c r="H740" i="4"/>
  <c r="I740" i="4"/>
  <c r="G741" i="4"/>
  <c r="H741" i="4"/>
  <c r="I741" i="4"/>
  <c r="G742" i="4"/>
  <c r="H742" i="4"/>
  <c r="I742" i="4"/>
  <c r="G743" i="4"/>
  <c r="H743" i="4"/>
  <c r="I743" i="4"/>
  <c r="G744" i="4"/>
  <c r="H744" i="4"/>
  <c r="I744" i="4"/>
  <c r="G745" i="4"/>
  <c r="H745" i="4"/>
  <c r="I745" i="4"/>
  <c r="G746" i="4"/>
  <c r="H746" i="4"/>
  <c r="I746" i="4"/>
  <c r="G747" i="4"/>
  <c r="H747" i="4"/>
  <c r="I747" i="4"/>
  <c r="G748" i="4"/>
  <c r="H748" i="4"/>
  <c r="I748" i="4"/>
  <c r="G749" i="4"/>
  <c r="H749" i="4"/>
  <c r="I749" i="4"/>
  <c r="G750" i="4"/>
  <c r="H750" i="4"/>
  <c r="I750" i="4"/>
  <c r="G751" i="4"/>
  <c r="H751" i="4"/>
  <c r="I751" i="4"/>
  <c r="G752" i="4"/>
  <c r="H752" i="4"/>
  <c r="I752" i="4"/>
  <c r="G753" i="4"/>
  <c r="H753" i="4"/>
  <c r="I753" i="4"/>
  <c r="G754" i="4"/>
  <c r="H754" i="4"/>
  <c r="I754" i="4"/>
  <c r="G755" i="4"/>
  <c r="H755" i="4"/>
  <c r="I755" i="4"/>
  <c r="G756" i="4"/>
  <c r="H756" i="4"/>
  <c r="I756" i="4"/>
  <c r="G757" i="4"/>
  <c r="H757" i="4"/>
  <c r="I757" i="4"/>
  <c r="G758" i="4"/>
  <c r="H758" i="4"/>
  <c r="I758" i="4"/>
  <c r="G759" i="4"/>
  <c r="H759" i="4"/>
  <c r="I759" i="4"/>
  <c r="G760" i="4"/>
  <c r="H760" i="4"/>
  <c r="I760" i="4"/>
  <c r="G761" i="4"/>
  <c r="H761" i="4"/>
  <c r="I761" i="4"/>
  <c r="G762" i="4"/>
  <c r="H762" i="4"/>
  <c r="I762" i="4"/>
  <c r="G763" i="4"/>
  <c r="H763" i="4"/>
  <c r="I763" i="4"/>
  <c r="G764" i="4"/>
  <c r="H764" i="4"/>
  <c r="I764" i="4"/>
  <c r="G765" i="4"/>
  <c r="H765" i="4"/>
  <c r="I765" i="4"/>
  <c r="G766" i="4"/>
  <c r="H766" i="4"/>
  <c r="I766" i="4"/>
  <c r="G767" i="4"/>
  <c r="H767" i="4"/>
  <c r="I767" i="4"/>
  <c r="G768" i="4"/>
  <c r="H768" i="4"/>
  <c r="I768" i="4"/>
  <c r="G769" i="4"/>
  <c r="H769" i="4"/>
  <c r="I769" i="4"/>
  <c r="G770" i="4"/>
  <c r="H770" i="4"/>
  <c r="I770" i="4"/>
  <c r="G771" i="4"/>
  <c r="H771" i="4"/>
  <c r="I771" i="4"/>
  <c r="G772" i="4"/>
  <c r="H772" i="4"/>
  <c r="I772" i="4"/>
  <c r="G773" i="4"/>
  <c r="H773" i="4"/>
  <c r="I773" i="4"/>
  <c r="G774" i="4"/>
  <c r="H774" i="4"/>
  <c r="I774" i="4"/>
  <c r="G775" i="4"/>
  <c r="H775" i="4"/>
  <c r="I775" i="4"/>
  <c r="G776" i="4"/>
  <c r="H776" i="4"/>
  <c r="I776" i="4"/>
  <c r="G777" i="4"/>
  <c r="H777" i="4"/>
  <c r="I777" i="4"/>
  <c r="G778" i="4"/>
  <c r="H778" i="4"/>
  <c r="I778" i="4"/>
  <c r="G779" i="4"/>
  <c r="H779" i="4"/>
  <c r="I779" i="4"/>
  <c r="G780" i="4"/>
  <c r="H780" i="4"/>
  <c r="I780" i="4"/>
  <c r="G781" i="4"/>
  <c r="H781" i="4"/>
  <c r="I781" i="4"/>
  <c r="G782" i="4"/>
  <c r="H782" i="4"/>
  <c r="I782" i="4"/>
  <c r="G783" i="4"/>
  <c r="H783" i="4"/>
  <c r="I783" i="4"/>
  <c r="G784" i="4"/>
  <c r="H784" i="4"/>
  <c r="I784" i="4"/>
  <c r="G785" i="4"/>
  <c r="H785" i="4"/>
  <c r="I785" i="4"/>
  <c r="G786" i="4"/>
  <c r="H786" i="4"/>
  <c r="I786" i="4"/>
  <c r="G787" i="4"/>
  <c r="H787" i="4"/>
  <c r="I787" i="4"/>
  <c r="G788" i="4"/>
  <c r="H788" i="4"/>
  <c r="I788" i="4"/>
  <c r="G789" i="4"/>
  <c r="H789" i="4"/>
  <c r="I789" i="4"/>
  <c r="G790" i="4"/>
  <c r="H790" i="4"/>
  <c r="I790" i="4"/>
  <c r="G791" i="4"/>
  <c r="H791" i="4"/>
  <c r="I791" i="4"/>
  <c r="G792" i="4"/>
  <c r="H792" i="4"/>
  <c r="I792" i="4"/>
  <c r="G793" i="4"/>
  <c r="H793" i="4"/>
  <c r="I793" i="4"/>
  <c r="G794" i="4"/>
  <c r="H794" i="4"/>
  <c r="I794" i="4"/>
  <c r="G795" i="4"/>
  <c r="H795" i="4"/>
  <c r="I795" i="4"/>
  <c r="G796" i="4"/>
  <c r="H796" i="4"/>
  <c r="I796" i="4"/>
  <c r="G797" i="4"/>
  <c r="H797" i="4"/>
  <c r="I797" i="4"/>
  <c r="G798" i="4"/>
  <c r="H798" i="4"/>
  <c r="I798" i="4"/>
  <c r="G799" i="4"/>
  <c r="H799" i="4"/>
  <c r="I799" i="4"/>
  <c r="G800" i="4"/>
  <c r="H800" i="4"/>
  <c r="I800" i="4"/>
  <c r="G801" i="4"/>
  <c r="H801" i="4"/>
  <c r="I801" i="4"/>
  <c r="G802" i="4"/>
  <c r="H802" i="4"/>
  <c r="I802" i="4"/>
  <c r="G803" i="4"/>
  <c r="H803" i="4"/>
  <c r="I803" i="4"/>
  <c r="G804" i="4"/>
  <c r="H804" i="4"/>
  <c r="I804" i="4"/>
  <c r="G805" i="4"/>
  <c r="H805" i="4"/>
  <c r="I805" i="4"/>
  <c r="G806" i="4"/>
  <c r="H806" i="4"/>
  <c r="I806" i="4"/>
  <c r="G807" i="4"/>
  <c r="H807" i="4"/>
  <c r="I807" i="4"/>
  <c r="G808" i="4"/>
  <c r="H808" i="4"/>
  <c r="I808" i="4"/>
  <c r="G809" i="4"/>
  <c r="H809" i="4"/>
  <c r="I809" i="4"/>
  <c r="G810" i="4"/>
  <c r="H810" i="4"/>
  <c r="I810" i="4"/>
  <c r="G811" i="4"/>
  <c r="H811" i="4"/>
  <c r="I811" i="4"/>
  <c r="G812" i="4"/>
  <c r="H812" i="4"/>
  <c r="I812" i="4"/>
  <c r="G813" i="4"/>
  <c r="H813" i="4"/>
  <c r="I813" i="4"/>
  <c r="G814" i="4"/>
  <c r="H814" i="4"/>
  <c r="I814" i="4"/>
  <c r="G815" i="4"/>
  <c r="H815" i="4"/>
  <c r="I815" i="4"/>
  <c r="G816" i="4"/>
  <c r="H816" i="4"/>
  <c r="I816" i="4"/>
  <c r="G817" i="4"/>
  <c r="H817" i="4"/>
  <c r="I817" i="4"/>
  <c r="G818" i="4"/>
  <c r="H818" i="4"/>
  <c r="I818" i="4"/>
  <c r="G819" i="4"/>
  <c r="H819" i="4"/>
  <c r="I819" i="4"/>
  <c r="G820" i="4"/>
  <c r="H820" i="4"/>
  <c r="I820" i="4"/>
  <c r="G821" i="4"/>
  <c r="H821" i="4"/>
  <c r="I821" i="4"/>
  <c r="G822" i="4"/>
  <c r="H822" i="4"/>
  <c r="I822" i="4"/>
  <c r="G823" i="4"/>
  <c r="H823" i="4"/>
  <c r="I823" i="4"/>
  <c r="G824" i="4"/>
  <c r="H824" i="4"/>
  <c r="I824" i="4"/>
  <c r="G825" i="4"/>
  <c r="H825" i="4"/>
  <c r="I825" i="4"/>
  <c r="G826" i="4"/>
  <c r="H826" i="4"/>
  <c r="I826" i="4"/>
  <c r="G827" i="4"/>
  <c r="H827" i="4"/>
  <c r="I827" i="4"/>
  <c r="G828" i="4"/>
  <c r="H828" i="4"/>
  <c r="I828" i="4"/>
  <c r="G829" i="4"/>
  <c r="H829" i="4"/>
  <c r="I829" i="4"/>
  <c r="G830" i="4"/>
  <c r="H830" i="4"/>
  <c r="I830" i="4"/>
  <c r="G831" i="4"/>
  <c r="H831" i="4"/>
  <c r="I831" i="4"/>
  <c r="G832" i="4"/>
  <c r="H832" i="4"/>
  <c r="I832" i="4"/>
  <c r="G833" i="4"/>
  <c r="H833" i="4"/>
  <c r="I833" i="4"/>
  <c r="G834" i="4"/>
  <c r="H834" i="4"/>
  <c r="I834" i="4"/>
  <c r="G835" i="4"/>
  <c r="H835" i="4"/>
  <c r="I835" i="4"/>
  <c r="G836" i="4"/>
  <c r="H836" i="4"/>
  <c r="I836" i="4"/>
  <c r="G837" i="4"/>
  <c r="H837" i="4"/>
  <c r="I837" i="4"/>
  <c r="G838" i="4"/>
  <c r="H838" i="4"/>
  <c r="I838" i="4"/>
  <c r="G839" i="4"/>
  <c r="H839" i="4"/>
  <c r="I839" i="4"/>
  <c r="G840" i="4"/>
  <c r="H840" i="4"/>
  <c r="I840" i="4"/>
  <c r="G841" i="4"/>
  <c r="H841" i="4"/>
  <c r="I841" i="4"/>
  <c r="G842" i="4"/>
  <c r="H842" i="4"/>
  <c r="I842" i="4"/>
  <c r="G843" i="4"/>
  <c r="H843" i="4"/>
  <c r="I843" i="4"/>
  <c r="G844" i="4"/>
  <c r="H844" i="4"/>
  <c r="I844" i="4"/>
  <c r="G845" i="4"/>
  <c r="H845" i="4"/>
  <c r="I845" i="4"/>
  <c r="G846" i="4"/>
  <c r="H846" i="4"/>
  <c r="I846" i="4"/>
  <c r="G847" i="4"/>
  <c r="H847" i="4"/>
  <c r="I847" i="4"/>
  <c r="G848" i="4"/>
  <c r="H848" i="4"/>
  <c r="I848" i="4"/>
  <c r="G849" i="4"/>
  <c r="H849" i="4"/>
  <c r="I849" i="4"/>
  <c r="G850" i="4"/>
  <c r="H850" i="4"/>
  <c r="I850" i="4"/>
  <c r="G851" i="4"/>
  <c r="H851" i="4"/>
  <c r="I851" i="4"/>
  <c r="G852" i="4"/>
  <c r="H852" i="4"/>
  <c r="I852" i="4"/>
  <c r="G853" i="4"/>
  <c r="H853" i="4"/>
  <c r="I853" i="4"/>
  <c r="G854" i="4"/>
  <c r="H854" i="4"/>
  <c r="I854" i="4"/>
  <c r="G855" i="4"/>
  <c r="H855" i="4"/>
  <c r="I855" i="4"/>
  <c r="G856" i="4"/>
  <c r="H856" i="4"/>
  <c r="I856" i="4"/>
  <c r="G857" i="4"/>
  <c r="H857" i="4"/>
  <c r="I857" i="4"/>
  <c r="G858" i="4"/>
  <c r="H858" i="4"/>
  <c r="I858" i="4"/>
  <c r="G859" i="4"/>
  <c r="H859" i="4"/>
  <c r="I859" i="4"/>
  <c r="G860" i="4"/>
  <c r="H860" i="4"/>
  <c r="I860" i="4"/>
  <c r="G861" i="4"/>
  <c r="H861" i="4"/>
  <c r="I861" i="4"/>
  <c r="G862" i="4"/>
  <c r="H862" i="4"/>
  <c r="I862" i="4"/>
  <c r="G863" i="4"/>
  <c r="H863" i="4"/>
  <c r="I863" i="4"/>
  <c r="G864" i="4"/>
  <c r="H864" i="4"/>
  <c r="I864" i="4"/>
  <c r="G865" i="4"/>
  <c r="H865" i="4"/>
  <c r="I865" i="4"/>
  <c r="G866" i="4"/>
  <c r="H866" i="4"/>
  <c r="I866" i="4"/>
  <c r="G867" i="4"/>
  <c r="H867" i="4"/>
  <c r="I867" i="4"/>
  <c r="G868" i="4"/>
  <c r="H868" i="4"/>
  <c r="I868" i="4"/>
  <c r="G869" i="4"/>
  <c r="H869" i="4"/>
  <c r="I869" i="4"/>
  <c r="G870" i="4"/>
  <c r="H870" i="4"/>
  <c r="I870" i="4"/>
  <c r="G871" i="4"/>
  <c r="H871" i="4"/>
  <c r="I871" i="4"/>
  <c r="G872" i="4"/>
  <c r="H872" i="4"/>
  <c r="I872" i="4"/>
  <c r="G873" i="4"/>
  <c r="H873" i="4"/>
  <c r="I873" i="4"/>
  <c r="G874" i="4"/>
  <c r="H874" i="4"/>
  <c r="I874" i="4"/>
  <c r="G875" i="4"/>
  <c r="H875" i="4"/>
  <c r="I875" i="4"/>
  <c r="G876" i="4"/>
  <c r="H876" i="4"/>
  <c r="I876" i="4"/>
  <c r="G877" i="4"/>
  <c r="H877" i="4"/>
  <c r="I877" i="4"/>
  <c r="G878" i="4"/>
  <c r="H878" i="4"/>
  <c r="I878" i="4"/>
  <c r="G879" i="4"/>
  <c r="H879" i="4"/>
  <c r="I879" i="4"/>
  <c r="G880" i="4"/>
  <c r="H880" i="4"/>
  <c r="I880" i="4"/>
  <c r="G881" i="4"/>
  <c r="H881" i="4"/>
  <c r="I881" i="4"/>
  <c r="G882" i="4"/>
  <c r="H882" i="4"/>
  <c r="I882" i="4"/>
  <c r="G883" i="4"/>
  <c r="H883" i="4"/>
  <c r="I883" i="4"/>
  <c r="G884" i="4"/>
  <c r="H884" i="4"/>
  <c r="I884" i="4"/>
  <c r="G885" i="4"/>
  <c r="H885" i="4"/>
  <c r="I885" i="4"/>
  <c r="G886" i="4"/>
  <c r="H886" i="4"/>
  <c r="I886" i="4"/>
  <c r="G887" i="4"/>
  <c r="H887" i="4"/>
  <c r="I887" i="4"/>
  <c r="G888" i="4"/>
  <c r="H888" i="4"/>
  <c r="I888" i="4"/>
  <c r="G889" i="4"/>
  <c r="H889" i="4"/>
  <c r="I889" i="4"/>
  <c r="G890" i="4"/>
  <c r="H890" i="4"/>
  <c r="I890" i="4"/>
  <c r="G891" i="4"/>
  <c r="H891" i="4"/>
  <c r="I891" i="4"/>
  <c r="G892" i="4"/>
  <c r="H892" i="4"/>
  <c r="I892" i="4"/>
  <c r="G893" i="4"/>
  <c r="H893" i="4"/>
  <c r="I893" i="4"/>
  <c r="G894" i="4"/>
  <c r="H894" i="4"/>
  <c r="I894" i="4"/>
  <c r="G895" i="4"/>
  <c r="H895" i="4"/>
  <c r="I895" i="4"/>
  <c r="G896" i="4"/>
  <c r="H896" i="4"/>
  <c r="I896" i="4"/>
  <c r="G897" i="4"/>
  <c r="H897" i="4"/>
  <c r="I897" i="4"/>
  <c r="G898" i="4"/>
  <c r="H898" i="4"/>
  <c r="I898" i="4"/>
  <c r="G899" i="4"/>
  <c r="H899" i="4"/>
  <c r="I899" i="4"/>
  <c r="G900" i="4"/>
  <c r="H900" i="4"/>
  <c r="I900" i="4"/>
  <c r="G901" i="4"/>
  <c r="H901" i="4"/>
  <c r="I901" i="4"/>
  <c r="G902" i="4"/>
  <c r="H902" i="4"/>
  <c r="I902" i="4"/>
  <c r="G903" i="4"/>
  <c r="H903" i="4"/>
  <c r="I903" i="4"/>
  <c r="G904" i="4"/>
  <c r="H904" i="4"/>
  <c r="I904" i="4"/>
  <c r="G905" i="4"/>
  <c r="H905" i="4"/>
  <c r="I905" i="4"/>
  <c r="G906" i="4"/>
  <c r="H906" i="4"/>
  <c r="I906" i="4"/>
  <c r="G907" i="4"/>
  <c r="H907" i="4"/>
  <c r="I907" i="4"/>
  <c r="G908" i="4"/>
  <c r="H908" i="4"/>
  <c r="I908" i="4"/>
  <c r="G909" i="4"/>
  <c r="H909" i="4"/>
  <c r="I909" i="4"/>
  <c r="G910" i="4"/>
  <c r="H910" i="4"/>
  <c r="I910" i="4"/>
  <c r="G911" i="4"/>
  <c r="H911" i="4"/>
  <c r="I911" i="4"/>
  <c r="G912" i="4"/>
  <c r="H912" i="4"/>
  <c r="I912" i="4"/>
  <c r="G913" i="4"/>
  <c r="H913" i="4"/>
  <c r="I913" i="4"/>
  <c r="G914" i="4"/>
  <c r="H914" i="4"/>
  <c r="I914" i="4"/>
  <c r="G915" i="4"/>
  <c r="H915" i="4"/>
  <c r="I915" i="4"/>
  <c r="G916" i="4"/>
  <c r="H916" i="4"/>
  <c r="I916" i="4"/>
  <c r="G917" i="4"/>
  <c r="H917" i="4"/>
  <c r="I917" i="4"/>
  <c r="G918" i="4"/>
  <c r="H918" i="4"/>
  <c r="I918" i="4"/>
  <c r="G919" i="4"/>
  <c r="H919" i="4"/>
  <c r="I919" i="4"/>
  <c r="G920" i="4"/>
  <c r="H920" i="4"/>
  <c r="I920" i="4"/>
  <c r="G921" i="4"/>
  <c r="H921" i="4"/>
  <c r="I921" i="4"/>
  <c r="G14" i="4"/>
  <c r="H14" i="4"/>
  <c r="I14" i="4"/>
  <c r="G15" i="4"/>
  <c r="H15" i="4"/>
  <c r="I15" i="4"/>
  <c r="G16" i="4"/>
  <c r="H16" i="4"/>
  <c r="I16" i="4"/>
  <c r="G17" i="4"/>
  <c r="H17" i="4"/>
  <c r="I17" i="4"/>
  <c r="G18" i="4"/>
  <c r="H18" i="4"/>
  <c r="I18" i="4"/>
  <c r="G19" i="4"/>
  <c r="H19" i="4"/>
  <c r="I19" i="4"/>
  <c r="G20" i="4"/>
  <c r="H20" i="4"/>
  <c r="I20" i="4"/>
  <c r="G21" i="4"/>
  <c r="H21" i="4"/>
  <c r="I21" i="4"/>
  <c r="G22" i="4"/>
  <c r="H22" i="4"/>
  <c r="I22" i="4"/>
  <c r="G23" i="4"/>
  <c r="H23" i="4"/>
  <c r="I23" i="4"/>
  <c r="G24" i="4"/>
  <c r="H24" i="4"/>
  <c r="I24" i="4"/>
  <c r="G25" i="4"/>
  <c r="H25" i="4"/>
  <c r="I25" i="4"/>
  <c r="G26" i="4"/>
  <c r="H26" i="4"/>
  <c r="I26" i="4"/>
  <c r="G27" i="4"/>
  <c r="H27" i="4"/>
  <c r="I27" i="4"/>
  <c r="G28" i="4"/>
  <c r="H28" i="4"/>
  <c r="I28" i="4"/>
  <c r="G29" i="4"/>
  <c r="H29" i="4"/>
  <c r="I29" i="4"/>
  <c r="G30" i="4"/>
  <c r="H30" i="4"/>
  <c r="I30" i="4"/>
  <c r="G31" i="4"/>
  <c r="H31" i="4"/>
  <c r="I31" i="4"/>
  <c r="G32" i="4"/>
  <c r="H32" i="4"/>
  <c r="I32" i="4"/>
  <c r="G33" i="4"/>
  <c r="H33" i="4"/>
  <c r="I33" i="4"/>
  <c r="G34" i="4"/>
  <c r="H34" i="4"/>
  <c r="I34" i="4"/>
  <c r="G35" i="4"/>
  <c r="H35" i="4"/>
  <c r="I35" i="4"/>
  <c r="G36" i="4"/>
  <c r="H36" i="4"/>
  <c r="I36" i="4"/>
  <c r="G37" i="4"/>
  <c r="H37" i="4"/>
  <c r="I37" i="4"/>
  <c r="G38" i="4"/>
  <c r="H38" i="4"/>
  <c r="I38" i="4"/>
  <c r="G39" i="4"/>
  <c r="H39" i="4"/>
  <c r="I39" i="4"/>
  <c r="G40" i="4"/>
  <c r="H40" i="4"/>
  <c r="I40" i="4"/>
  <c r="G41" i="4"/>
  <c r="H41" i="4"/>
  <c r="I41" i="4"/>
  <c r="G42" i="4"/>
  <c r="H42" i="4"/>
  <c r="I42" i="4"/>
  <c r="G43" i="4"/>
  <c r="H43" i="4"/>
  <c r="I43" i="4"/>
  <c r="G44" i="4"/>
  <c r="H44" i="4"/>
  <c r="I44" i="4"/>
  <c r="G45" i="4"/>
  <c r="H45" i="4"/>
  <c r="I45" i="4"/>
  <c r="G46" i="4"/>
  <c r="H46" i="4"/>
  <c r="I46" i="4"/>
  <c r="G47" i="4"/>
  <c r="H47" i="4"/>
  <c r="I47" i="4"/>
  <c r="G48" i="4"/>
  <c r="H48" i="4"/>
  <c r="I48" i="4"/>
  <c r="G49" i="4"/>
  <c r="H49" i="4"/>
  <c r="I49" i="4"/>
  <c r="G50" i="4"/>
  <c r="H50" i="4"/>
  <c r="I50" i="4"/>
  <c r="G51" i="4"/>
  <c r="H51" i="4"/>
  <c r="I51" i="4"/>
  <c r="G52" i="4"/>
  <c r="H52" i="4"/>
  <c r="I52" i="4"/>
  <c r="G53" i="4"/>
  <c r="H53" i="4"/>
  <c r="I53" i="4"/>
  <c r="G54" i="4"/>
  <c r="H54" i="4"/>
  <c r="I54" i="4"/>
  <c r="G55" i="4"/>
  <c r="H55" i="4"/>
  <c r="I55" i="4"/>
  <c r="G56" i="4"/>
  <c r="H56" i="4"/>
  <c r="I56" i="4"/>
  <c r="G57" i="4"/>
  <c r="H57" i="4"/>
  <c r="I57" i="4"/>
  <c r="G58" i="4"/>
  <c r="H58" i="4"/>
  <c r="I58" i="4"/>
  <c r="G59" i="4"/>
  <c r="H59" i="4"/>
  <c r="I59" i="4"/>
  <c r="G60" i="4"/>
  <c r="H60" i="4"/>
  <c r="I60" i="4"/>
  <c r="G61" i="4"/>
  <c r="H61" i="4"/>
  <c r="I61" i="4"/>
  <c r="G62" i="4"/>
  <c r="H62" i="4"/>
  <c r="I62" i="4"/>
  <c r="G63" i="4"/>
  <c r="H63" i="4"/>
  <c r="I63" i="4"/>
  <c r="G64" i="4"/>
  <c r="H64" i="4"/>
  <c r="I64" i="4"/>
  <c r="G65" i="4"/>
  <c r="H65" i="4"/>
  <c r="I65" i="4"/>
  <c r="G66" i="4"/>
  <c r="H66" i="4"/>
  <c r="I66" i="4"/>
  <c r="G67" i="4"/>
  <c r="H67" i="4"/>
  <c r="I67" i="4"/>
  <c r="G68" i="4"/>
  <c r="H68" i="4"/>
  <c r="I68" i="4"/>
  <c r="G69" i="4"/>
  <c r="H69" i="4"/>
  <c r="I69" i="4"/>
  <c r="G70" i="4"/>
  <c r="H70" i="4"/>
  <c r="I70" i="4"/>
  <c r="G71" i="4"/>
  <c r="H71" i="4"/>
  <c r="I71" i="4"/>
  <c r="G72" i="4"/>
  <c r="H72" i="4"/>
  <c r="I72" i="4"/>
  <c r="G73" i="4"/>
  <c r="H73" i="4"/>
  <c r="I73" i="4"/>
  <c r="G74" i="4"/>
  <c r="H74" i="4"/>
  <c r="I74" i="4"/>
  <c r="G75" i="4"/>
  <c r="H75" i="4"/>
  <c r="I75" i="4"/>
  <c r="G76" i="4"/>
  <c r="H76" i="4"/>
  <c r="I76" i="4"/>
  <c r="G77" i="4"/>
  <c r="H77" i="4"/>
  <c r="I77" i="4"/>
  <c r="G78" i="4"/>
  <c r="H78" i="4"/>
  <c r="I78" i="4"/>
  <c r="G79" i="4"/>
  <c r="H79" i="4"/>
  <c r="I79" i="4"/>
  <c r="G80" i="4"/>
  <c r="H80" i="4"/>
  <c r="I80" i="4"/>
  <c r="G81" i="4"/>
  <c r="H81" i="4"/>
  <c r="I81" i="4"/>
  <c r="G82" i="4"/>
  <c r="H82" i="4"/>
  <c r="I82" i="4"/>
  <c r="G83" i="4"/>
  <c r="H83" i="4"/>
  <c r="I83" i="4"/>
  <c r="G84" i="4"/>
  <c r="H84" i="4"/>
  <c r="I84" i="4"/>
  <c r="G85" i="4"/>
  <c r="H85" i="4"/>
  <c r="I85" i="4"/>
  <c r="G86" i="4"/>
  <c r="H86" i="4"/>
  <c r="I86" i="4"/>
  <c r="G87" i="4"/>
  <c r="H87" i="4"/>
  <c r="I87" i="4"/>
  <c r="G88" i="4"/>
  <c r="H88" i="4"/>
  <c r="I88" i="4"/>
  <c r="G89" i="4"/>
  <c r="H89" i="4"/>
  <c r="I89" i="4"/>
  <c r="G90" i="4"/>
  <c r="H90" i="4"/>
  <c r="I90" i="4"/>
  <c r="G91" i="4"/>
  <c r="H91" i="4"/>
  <c r="I91" i="4"/>
  <c r="G92" i="4"/>
  <c r="H92" i="4"/>
  <c r="I92" i="4"/>
  <c r="G93" i="4"/>
  <c r="H93" i="4"/>
  <c r="I93" i="4"/>
  <c r="G94" i="4"/>
  <c r="H94" i="4"/>
  <c r="I94" i="4"/>
  <c r="G95" i="4"/>
  <c r="H95" i="4"/>
  <c r="I95" i="4"/>
  <c r="G96" i="4"/>
  <c r="H96" i="4"/>
  <c r="I96" i="4"/>
  <c r="G97" i="4"/>
  <c r="H97" i="4"/>
  <c r="I97" i="4"/>
  <c r="G98" i="4"/>
  <c r="H98" i="4"/>
  <c r="I98" i="4"/>
  <c r="G99" i="4"/>
  <c r="H99" i="4"/>
  <c r="I99" i="4"/>
  <c r="G100" i="4"/>
  <c r="H100" i="4"/>
  <c r="I100" i="4"/>
  <c r="G101" i="4"/>
  <c r="H101" i="4"/>
  <c r="I101" i="4"/>
  <c r="G102" i="4"/>
  <c r="H102" i="4"/>
  <c r="I102" i="4"/>
  <c r="G103" i="4"/>
  <c r="H103" i="4"/>
  <c r="I103" i="4"/>
  <c r="G104" i="4"/>
  <c r="H104" i="4"/>
  <c r="I104" i="4"/>
  <c r="G105" i="4"/>
  <c r="H105" i="4"/>
  <c r="I105" i="4"/>
  <c r="G106" i="4"/>
  <c r="H106" i="4"/>
  <c r="I106" i="4"/>
  <c r="G107" i="4"/>
  <c r="H107" i="4"/>
  <c r="I107" i="4"/>
  <c r="G108" i="4"/>
  <c r="H108" i="4"/>
  <c r="I108" i="4"/>
  <c r="G109" i="4"/>
  <c r="H109" i="4"/>
  <c r="I109" i="4"/>
  <c r="G110" i="4"/>
  <c r="H110" i="4"/>
  <c r="I110" i="4"/>
  <c r="G111" i="4"/>
  <c r="H111" i="4"/>
  <c r="I111" i="4"/>
  <c r="G112" i="4"/>
  <c r="H112" i="4"/>
  <c r="I112" i="4"/>
  <c r="G113" i="4"/>
  <c r="H113" i="4"/>
  <c r="I113" i="4"/>
  <c r="G114" i="4"/>
  <c r="H114" i="4"/>
  <c r="I114" i="4"/>
  <c r="G115" i="4"/>
  <c r="H115" i="4"/>
  <c r="I115" i="4"/>
  <c r="G116" i="4"/>
  <c r="H116" i="4"/>
  <c r="I116" i="4"/>
  <c r="G117" i="4"/>
  <c r="H117" i="4"/>
  <c r="I117" i="4"/>
  <c r="G118" i="4"/>
  <c r="H118" i="4"/>
  <c r="I118" i="4"/>
  <c r="G119" i="4"/>
  <c r="H119" i="4"/>
  <c r="I119" i="4"/>
  <c r="G120" i="4"/>
  <c r="H120" i="4"/>
  <c r="I120" i="4"/>
  <c r="G121" i="4"/>
  <c r="H121" i="4"/>
  <c r="I121" i="4"/>
  <c r="G122" i="4"/>
  <c r="H122" i="4"/>
  <c r="I122" i="4"/>
  <c r="G123" i="4"/>
  <c r="H123" i="4"/>
  <c r="I123" i="4"/>
  <c r="G124" i="4"/>
  <c r="H124" i="4"/>
  <c r="I124" i="4"/>
  <c r="G125" i="4"/>
  <c r="H125" i="4"/>
  <c r="I125" i="4"/>
  <c r="G126" i="4"/>
  <c r="H126" i="4"/>
  <c r="I126" i="4"/>
  <c r="G127" i="4"/>
  <c r="H127" i="4"/>
  <c r="I127" i="4"/>
  <c r="G128" i="4"/>
  <c r="H128" i="4"/>
  <c r="I128" i="4"/>
  <c r="G129" i="4"/>
  <c r="H129" i="4"/>
  <c r="I129" i="4"/>
  <c r="G130" i="4"/>
  <c r="H130" i="4"/>
  <c r="I130" i="4"/>
  <c r="G131" i="4"/>
  <c r="H131" i="4"/>
  <c r="I131" i="4"/>
  <c r="G132" i="4"/>
  <c r="H132" i="4"/>
  <c r="I132" i="4"/>
  <c r="G133" i="4"/>
  <c r="H133" i="4"/>
  <c r="I133" i="4"/>
  <c r="G134" i="4"/>
  <c r="H134" i="4"/>
  <c r="I134" i="4"/>
  <c r="G135" i="4"/>
  <c r="H135" i="4"/>
  <c r="I135" i="4"/>
  <c r="G136" i="4"/>
  <c r="H136" i="4"/>
  <c r="I136" i="4"/>
  <c r="G137" i="4"/>
  <c r="H137" i="4"/>
  <c r="I137" i="4"/>
  <c r="G138" i="4"/>
  <c r="H138" i="4"/>
  <c r="I138" i="4"/>
  <c r="G139" i="4"/>
  <c r="H139" i="4"/>
  <c r="I139" i="4"/>
  <c r="G140" i="4"/>
  <c r="H140" i="4"/>
  <c r="I140" i="4"/>
  <c r="G141" i="4"/>
  <c r="H141" i="4"/>
  <c r="I141" i="4"/>
  <c r="G142" i="4"/>
  <c r="H142" i="4"/>
  <c r="I142" i="4"/>
  <c r="G143" i="4"/>
  <c r="H143" i="4"/>
  <c r="I143" i="4"/>
  <c r="G144" i="4"/>
  <c r="H144" i="4"/>
  <c r="I144" i="4"/>
  <c r="G145" i="4"/>
  <c r="H145" i="4"/>
  <c r="I145" i="4"/>
  <c r="G146" i="4"/>
  <c r="H146" i="4"/>
  <c r="I146" i="4"/>
  <c r="G147" i="4"/>
  <c r="H147" i="4"/>
  <c r="I147" i="4"/>
  <c r="G148" i="4"/>
  <c r="H148" i="4"/>
  <c r="I148" i="4"/>
  <c r="G149" i="4"/>
  <c r="H149" i="4"/>
  <c r="I149" i="4"/>
  <c r="G150" i="4"/>
  <c r="H150" i="4"/>
  <c r="I150" i="4"/>
  <c r="G151" i="4"/>
  <c r="H151" i="4"/>
  <c r="I151" i="4"/>
  <c r="G152" i="4"/>
  <c r="H152" i="4"/>
  <c r="I152" i="4"/>
  <c r="G153" i="4"/>
  <c r="H153" i="4"/>
  <c r="I153" i="4"/>
  <c r="G154" i="4"/>
  <c r="H154" i="4"/>
  <c r="I154" i="4"/>
  <c r="G155" i="4"/>
  <c r="H155" i="4"/>
  <c r="I155" i="4"/>
  <c r="G156" i="4"/>
  <c r="H156" i="4"/>
  <c r="I156" i="4"/>
  <c r="G157" i="4"/>
  <c r="H157" i="4"/>
  <c r="I157" i="4"/>
  <c r="G158" i="4"/>
  <c r="H158" i="4"/>
  <c r="I158" i="4"/>
  <c r="G159" i="4"/>
  <c r="H159" i="4"/>
  <c r="I159" i="4"/>
  <c r="G160" i="4"/>
  <c r="H160" i="4"/>
  <c r="I160" i="4"/>
  <c r="G161" i="4"/>
  <c r="H161" i="4"/>
  <c r="I161" i="4"/>
  <c r="G162" i="4"/>
  <c r="H162" i="4"/>
  <c r="I162" i="4"/>
  <c r="G163" i="4"/>
  <c r="H163" i="4"/>
  <c r="I163" i="4"/>
  <c r="G164" i="4"/>
  <c r="H164" i="4"/>
  <c r="I164" i="4"/>
  <c r="G165" i="4"/>
  <c r="H165" i="4"/>
  <c r="I165" i="4"/>
  <c r="G166" i="4"/>
  <c r="H166" i="4"/>
  <c r="I166" i="4"/>
  <c r="G167" i="4"/>
  <c r="H167" i="4"/>
  <c r="I167" i="4"/>
  <c r="G168" i="4"/>
  <c r="H168" i="4"/>
  <c r="I168" i="4"/>
  <c r="G169" i="4"/>
  <c r="H169" i="4"/>
  <c r="I169" i="4"/>
  <c r="G170" i="4"/>
  <c r="H170" i="4"/>
  <c r="I170" i="4"/>
  <c r="G171" i="4"/>
  <c r="H171" i="4"/>
  <c r="I171" i="4"/>
  <c r="G172" i="4"/>
  <c r="H172" i="4"/>
  <c r="I172" i="4"/>
  <c r="G173" i="4"/>
  <c r="H173" i="4"/>
  <c r="I173" i="4"/>
  <c r="G174" i="4"/>
  <c r="H174" i="4"/>
  <c r="I174" i="4"/>
  <c r="G175" i="4"/>
  <c r="H175" i="4"/>
  <c r="I175" i="4"/>
  <c r="G176" i="4"/>
  <c r="H176" i="4"/>
  <c r="I176" i="4"/>
  <c r="G177" i="4"/>
  <c r="H177" i="4"/>
  <c r="I177" i="4"/>
  <c r="G178" i="4"/>
  <c r="H178" i="4"/>
  <c r="I178" i="4"/>
  <c r="G179" i="4"/>
  <c r="H179" i="4"/>
  <c r="I179" i="4"/>
  <c r="G180" i="4"/>
  <c r="H180" i="4"/>
  <c r="I180" i="4"/>
  <c r="G181" i="4"/>
  <c r="H181" i="4"/>
  <c r="I181" i="4"/>
  <c r="G182" i="4"/>
  <c r="H182" i="4"/>
  <c r="I182" i="4"/>
  <c r="G183" i="4"/>
  <c r="H183" i="4"/>
  <c r="I183" i="4"/>
  <c r="G184" i="4"/>
  <c r="H184" i="4"/>
  <c r="I184" i="4"/>
  <c r="G185" i="4"/>
  <c r="H185" i="4"/>
  <c r="I185" i="4"/>
  <c r="G186" i="4"/>
  <c r="H186" i="4"/>
  <c r="I186" i="4"/>
  <c r="G187" i="4"/>
  <c r="H187" i="4"/>
  <c r="I187" i="4"/>
  <c r="G188" i="4"/>
  <c r="H188" i="4"/>
  <c r="I188" i="4"/>
  <c r="G189" i="4"/>
  <c r="H189" i="4"/>
  <c r="I189" i="4"/>
  <c r="G190" i="4"/>
  <c r="H190" i="4"/>
  <c r="I190" i="4"/>
  <c r="G191" i="4"/>
  <c r="H191" i="4"/>
  <c r="I191" i="4"/>
  <c r="G192" i="4"/>
  <c r="H192" i="4"/>
  <c r="I192" i="4"/>
  <c r="G193" i="4"/>
  <c r="H193" i="4"/>
  <c r="I193" i="4"/>
  <c r="G194" i="4"/>
  <c r="H194" i="4"/>
  <c r="I194" i="4"/>
  <c r="G195" i="4"/>
  <c r="H195" i="4"/>
  <c r="I195" i="4"/>
  <c r="G196" i="4"/>
  <c r="H196" i="4"/>
  <c r="I196" i="4"/>
  <c r="G197" i="4"/>
  <c r="H197" i="4"/>
  <c r="I197" i="4"/>
  <c r="G198" i="4"/>
  <c r="H198" i="4"/>
  <c r="I198" i="4"/>
  <c r="G199" i="4"/>
  <c r="H199" i="4"/>
  <c r="I199" i="4"/>
  <c r="G200" i="4"/>
  <c r="H200" i="4"/>
  <c r="I200" i="4"/>
  <c r="G201" i="4"/>
  <c r="H201" i="4"/>
  <c r="I201" i="4"/>
  <c r="G202" i="4"/>
  <c r="H202" i="4"/>
  <c r="I202" i="4"/>
  <c r="G203" i="4"/>
  <c r="H203" i="4"/>
  <c r="I203" i="4"/>
  <c r="G204" i="4"/>
  <c r="H204" i="4"/>
  <c r="I204" i="4"/>
  <c r="G205" i="4"/>
  <c r="H205" i="4"/>
  <c r="I205" i="4"/>
  <c r="G206" i="4"/>
  <c r="H206" i="4"/>
  <c r="I206" i="4"/>
  <c r="G207" i="4"/>
  <c r="H207" i="4"/>
  <c r="I207" i="4"/>
  <c r="G208" i="4"/>
  <c r="H208" i="4"/>
  <c r="I208" i="4"/>
  <c r="G209" i="4"/>
  <c r="H209" i="4"/>
  <c r="I209" i="4"/>
  <c r="G210" i="4"/>
  <c r="H210" i="4"/>
  <c r="I210" i="4"/>
  <c r="G211" i="4"/>
  <c r="H211" i="4"/>
  <c r="I211" i="4"/>
  <c r="G212" i="4"/>
  <c r="H212" i="4"/>
  <c r="I212" i="4"/>
  <c r="G213" i="4"/>
  <c r="H213" i="4"/>
  <c r="I213" i="4"/>
  <c r="G214" i="4"/>
  <c r="H214" i="4"/>
  <c r="I214" i="4"/>
  <c r="G215" i="4"/>
  <c r="H215" i="4"/>
  <c r="I215" i="4"/>
  <c r="G216" i="4"/>
  <c r="H216" i="4"/>
  <c r="I216" i="4"/>
  <c r="G217" i="4"/>
  <c r="H217" i="4"/>
  <c r="I217" i="4"/>
  <c r="G218" i="4"/>
  <c r="H218" i="4"/>
  <c r="I218" i="4"/>
  <c r="G219" i="4"/>
  <c r="H219" i="4"/>
  <c r="I219" i="4"/>
  <c r="G220" i="4"/>
  <c r="H220" i="4"/>
  <c r="I220" i="4"/>
  <c r="G221" i="4"/>
  <c r="H221" i="4"/>
  <c r="I221" i="4"/>
  <c r="G222" i="4"/>
  <c r="H222" i="4"/>
  <c r="I222" i="4"/>
  <c r="G223" i="4"/>
  <c r="H223" i="4"/>
  <c r="I223" i="4"/>
  <c r="G224" i="4"/>
  <c r="H224" i="4"/>
  <c r="I224" i="4"/>
  <c r="G225" i="4"/>
  <c r="H225" i="4"/>
  <c r="I225" i="4"/>
  <c r="G226" i="4"/>
  <c r="H226" i="4"/>
  <c r="I226" i="4"/>
  <c r="G227" i="4"/>
  <c r="H227" i="4"/>
  <c r="I227" i="4"/>
  <c r="G228" i="4"/>
  <c r="H228" i="4"/>
  <c r="I228" i="4"/>
  <c r="G229" i="4"/>
  <c r="H229" i="4"/>
  <c r="I229" i="4"/>
  <c r="G230" i="4"/>
  <c r="H230" i="4"/>
  <c r="I230" i="4"/>
  <c r="G231" i="4"/>
  <c r="H231" i="4"/>
  <c r="I231" i="4"/>
  <c r="G232" i="4"/>
  <c r="H232" i="4"/>
  <c r="I232" i="4"/>
  <c r="G233" i="4"/>
  <c r="H233" i="4"/>
  <c r="I233" i="4"/>
  <c r="G234" i="4"/>
  <c r="H234" i="4"/>
  <c r="I234" i="4"/>
  <c r="G235" i="4"/>
  <c r="H235" i="4"/>
  <c r="I235" i="4"/>
  <c r="G236" i="4"/>
  <c r="H236" i="4"/>
  <c r="I236" i="4"/>
  <c r="G237" i="4"/>
  <c r="H237" i="4"/>
  <c r="I237" i="4"/>
  <c r="G238" i="4"/>
  <c r="H238" i="4"/>
  <c r="I238" i="4"/>
  <c r="G239" i="4"/>
  <c r="H239" i="4"/>
  <c r="I239" i="4"/>
  <c r="G240" i="4"/>
  <c r="H240" i="4"/>
  <c r="I240" i="4"/>
  <c r="G241" i="4"/>
  <c r="H241" i="4"/>
  <c r="I241" i="4"/>
  <c r="G242" i="4"/>
  <c r="H242" i="4"/>
  <c r="I242" i="4"/>
  <c r="G243" i="4"/>
  <c r="H243" i="4"/>
  <c r="I243" i="4"/>
  <c r="G244" i="4"/>
  <c r="H244" i="4"/>
  <c r="I244" i="4"/>
  <c r="G245" i="4"/>
  <c r="H245" i="4"/>
  <c r="I245" i="4"/>
  <c r="G246" i="4"/>
  <c r="H246" i="4"/>
  <c r="I246" i="4"/>
  <c r="G247" i="4"/>
  <c r="H247" i="4"/>
  <c r="I247" i="4"/>
  <c r="G248" i="4"/>
  <c r="H248" i="4"/>
  <c r="I248" i="4"/>
  <c r="G249" i="4"/>
  <c r="H249" i="4"/>
  <c r="I249" i="4"/>
  <c r="G250" i="4"/>
  <c r="H250" i="4"/>
  <c r="I250" i="4"/>
  <c r="G251" i="4"/>
  <c r="H251" i="4"/>
  <c r="I251" i="4"/>
  <c r="G252" i="4"/>
  <c r="H252" i="4"/>
  <c r="I252" i="4"/>
  <c r="G253" i="4"/>
  <c r="H253" i="4"/>
  <c r="I253" i="4"/>
  <c r="G254" i="4"/>
  <c r="H254" i="4"/>
  <c r="I254" i="4"/>
  <c r="G255" i="4"/>
  <c r="H255" i="4"/>
  <c r="I255" i="4"/>
  <c r="G256" i="4"/>
  <c r="H256" i="4"/>
  <c r="I256" i="4"/>
  <c r="G257" i="4"/>
  <c r="H257" i="4"/>
  <c r="I257" i="4"/>
  <c r="G258" i="4"/>
  <c r="H258" i="4"/>
  <c r="I258" i="4"/>
  <c r="G259" i="4"/>
  <c r="H259" i="4"/>
  <c r="I259" i="4"/>
  <c r="G260" i="4"/>
  <c r="H260" i="4"/>
  <c r="I260" i="4"/>
  <c r="G261" i="4"/>
  <c r="H261" i="4"/>
  <c r="I261" i="4"/>
  <c r="G262" i="4"/>
  <c r="H262" i="4"/>
  <c r="I262" i="4"/>
  <c r="G263" i="4"/>
  <c r="H263" i="4"/>
  <c r="I263" i="4"/>
  <c r="G264" i="4"/>
  <c r="H264" i="4"/>
  <c r="I264" i="4"/>
  <c r="G265" i="4"/>
  <c r="H265" i="4"/>
  <c r="I265" i="4"/>
  <c r="G266" i="4"/>
  <c r="H266" i="4"/>
  <c r="I266" i="4"/>
  <c r="G267" i="4"/>
  <c r="H267" i="4"/>
  <c r="I267" i="4"/>
  <c r="G268" i="4"/>
  <c r="H268" i="4"/>
  <c r="I268" i="4"/>
  <c r="G269" i="4"/>
  <c r="H269" i="4"/>
  <c r="I269" i="4"/>
  <c r="G270" i="4"/>
  <c r="H270" i="4"/>
  <c r="I270" i="4"/>
  <c r="G271" i="4"/>
  <c r="H271" i="4"/>
  <c r="I271" i="4"/>
  <c r="G272" i="4"/>
  <c r="H272" i="4"/>
  <c r="I272" i="4"/>
  <c r="G273" i="4"/>
  <c r="H273" i="4"/>
  <c r="I273" i="4"/>
  <c r="G274" i="4"/>
  <c r="H274" i="4"/>
  <c r="I274" i="4"/>
  <c r="G275" i="4"/>
  <c r="H275" i="4"/>
  <c r="I275" i="4"/>
  <c r="G276" i="4"/>
  <c r="H276" i="4"/>
  <c r="I276" i="4"/>
  <c r="G277" i="4"/>
  <c r="H277" i="4"/>
  <c r="I277" i="4"/>
  <c r="G278" i="4"/>
  <c r="H278" i="4"/>
  <c r="I278" i="4"/>
  <c r="G279" i="4"/>
  <c r="H279" i="4"/>
  <c r="I279" i="4"/>
  <c r="G280" i="4"/>
  <c r="H280" i="4"/>
  <c r="I280" i="4"/>
  <c r="G281" i="4"/>
  <c r="H281" i="4"/>
  <c r="I281" i="4"/>
  <c r="G282" i="4"/>
  <c r="H282" i="4"/>
  <c r="I282" i="4"/>
  <c r="G283" i="4"/>
  <c r="H283" i="4"/>
  <c r="I283" i="4"/>
  <c r="G284" i="4"/>
  <c r="H284" i="4"/>
  <c r="I284" i="4"/>
  <c r="G285" i="4"/>
  <c r="H285" i="4"/>
  <c r="I285" i="4"/>
  <c r="G286" i="4"/>
  <c r="H286" i="4"/>
  <c r="I286" i="4"/>
  <c r="G287" i="4"/>
  <c r="H287" i="4"/>
  <c r="I287" i="4"/>
  <c r="G288" i="4"/>
  <c r="H288" i="4"/>
  <c r="I288" i="4"/>
  <c r="G289" i="4"/>
  <c r="H289" i="4"/>
  <c r="I289" i="4"/>
  <c r="G290" i="4"/>
  <c r="H290" i="4"/>
  <c r="I290" i="4"/>
  <c r="G291" i="4"/>
  <c r="H291" i="4"/>
  <c r="I291" i="4"/>
  <c r="G292" i="4"/>
  <c r="H292" i="4"/>
  <c r="I292" i="4"/>
  <c r="G293" i="4"/>
  <c r="H293" i="4"/>
  <c r="I293" i="4"/>
  <c r="G294" i="4"/>
  <c r="H294" i="4"/>
  <c r="I294" i="4"/>
  <c r="G295" i="4"/>
  <c r="H295" i="4"/>
  <c r="I295" i="4"/>
  <c r="G296" i="4"/>
  <c r="H296" i="4"/>
  <c r="I296" i="4"/>
  <c r="G297" i="4"/>
  <c r="H297" i="4"/>
  <c r="I297" i="4"/>
  <c r="G298" i="4"/>
  <c r="H298" i="4"/>
  <c r="I298" i="4"/>
  <c r="G299" i="4"/>
  <c r="H299" i="4"/>
  <c r="I299" i="4"/>
  <c r="G300" i="4"/>
  <c r="H300" i="4"/>
  <c r="I300" i="4"/>
  <c r="G301" i="4"/>
  <c r="H301" i="4"/>
  <c r="I301" i="4"/>
  <c r="G302" i="4"/>
  <c r="H302" i="4"/>
  <c r="I302" i="4"/>
  <c r="G303" i="4"/>
  <c r="H303" i="4"/>
  <c r="I303" i="4"/>
  <c r="G304" i="4"/>
  <c r="H304" i="4"/>
  <c r="I304" i="4"/>
  <c r="G305" i="4"/>
  <c r="H305" i="4"/>
  <c r="I305" i="4"/>
  <c r="G306" i="4"/>
  <c r="H306" i="4"/>
  <c r="I306" i="4"/>
  <c r="G307" i="4"/>
  <c r="H307" i="4"/>
  <c r="I307" i="4"/>
  <c r="G308" i="4"/>
  <c r="H308" i="4"/>
  <c r="I308" i="4"/>
  <c r="G309" i="4"/>
  <c r="H309" i="4"/>
  <c r="I309" i="4"/>
  <c r="G310" i="4"/>
  <c r="H310" i="4"/>
  <c r="I310" i="4"/>
  <c r="G311" i="4"/>
  <c r="H311" i="4"/>
  <c r="I311" i="4"/>
  <c r="G312" i="4"/>
  <c r="H312" i="4"/>
  <c r="I312" i="4"/>
  <c r="G313" i="4"/>
  <c r="H313" i="4"/>
  <c r="I313" i="4"/>
  <c r="G314" i="4"/>
  <c r="H314" i="4"/>
  <c r="I314" i="4"/>
  <c r="G315" i="4"/>
  <c r="H315" i="4"/>
  <c r="I315" i="4"/>
  <c r="G316" i="4"/>
  <c r="H316" i="4"/>
  <c r="I316" i="4"/>
  <c r="G317" i="4"/>
  <c r="H317" i="4"/>
  <c r="I317" i="4"/>
  <c r="G318" i="4"/>
  <c r="H318" i="4"/>
  <c r="I318" i="4"/>
  <c r="G319" i="4"/>
  <c r="H319" i="4"/>
  <c r="I319" i="4"/>
  <c r="G320" i="4"/>
  <c r="H320" i="4"/>
  <c r="I320" i="4"/>
  <c r="G321" i="4"/>
  <c r="H321" i="4"/>
  <c r="I321" i="4"/>
  <c r="G322" i="4"/>
  <c r="H322" i="4"/>
  <c r="I322" i="4"/>
  <c r="G323" i="4"/>
  <c r="H323" i="4"/>
  <c r="I323" i="4"/>
  <c r="G324" i="4"/>
  <c r="H324" i="4"/>
  <c r="I324" i="4"/>
  <c r="G325" i="4"/>
  <c r="H325" i="4"/>
  <c r="I325" i="4"/>
  <c r="G326" i="4"/>
  <c r="H326" i="4"/>
  <c r="I326" i="4"/>
  <c r="G327" i="4"/>
  <c r="H327" i="4"/>
  <c r="I327" i="4"/>
  <c r="G328" i="4"/>
  <c r="H328" i="4"/>
  <c r="I328" i="4"/>
  <c r="G329" i="4"/>
  <c r="H329" i="4"/>
  <c r="I329" i="4"/>
  <c r="G330" i="4"/>
  <c r="H330" i="4"/>
  <c r="I330" i="4"/>
  <c r="G331" i="4"/>
  <c r="H331" i="4"/>
  <c r="I331" i="4"/>
  <c r="G332" i="4"/>
  <c r="H332" i="4"/>
  <c r="I332" i="4"/>
  <c r="G333" i="4"/>
  <c r="H333" i="4"/>
  <c r="I333" i="4"/>
  <c r="G334" i="4"/>
  <c r="H334" i="4"/>
  <c r="I334" i="4"/>
  <c r="G335" i="4"/>
  <c r="H335" i="4"/>
  <c r="I335" i="4"/>
  <c r="G336" i="4"/>
  <c r="H336" i="4"/>
  <c r="I336" i="4"/>
  <c r="G337" i="4"/>
  <c r="H337" i="4"/>
  <c r="I337" i="4"/>
  <c r="G338" i="4"/>
  <c r="H338" i="4"/>
  <c r="I338" i="4"/>
  <c r="G339" i="4"/>
  <c r="H339" i="4"/>
  <c r="I339" i="4"/>
  <c r="G340" i="4"/>
  <c r="H340" i="4"/>
  <c r="I340" i="4"/>
  <c r="G341" i="4"/>
  <c r="H341" i="4"/>
  <c r="I341" i="4"/>
  <c r="G342" i="4"/>
  <c r="H342" i="4"/>
  <c r="I342" i="4"/>
  <c r="G343" i="4"/>
  <c r="H343" i="4"/>
  <c r="I343" i="4"/>
  <c r="G344" i="4"/>
  <c r="H344" i="4"/>
  <c r="I344" i="4"/>
  <c r="G345" i="4"/>
  <c r="H345" i="4"/>
  <c r="I345" i="4"/>
  <c r="G346" i="4"/>
  <c r="H346" i="4"/>
  <c r="I346" i="4"/>
  <c r="G347" i="4"/>
  <c r="H347" i="4"/>
  <c r="I347" i="4"/>
  <c r="G348" i="4"/>
  <c r="H348" i="4"/>
  <c r="I348" i="4"/>
  <c r="G349" i="4"/>
  <c r="H349" i="4"/>
  <c r="I349" i="4"/>
  <c r="G350" i="4"/>
  <c r="H350" i="4"/>
  <c r="I350" i="4"/>
  <c r="G351" i="4"/>
  <c r="H351" i="4"/>
  <c r="I351" i="4"/>
  <c r="G352" i="4"/>
  <c r="H352" i="4"/>
  <c r="I352" i="4"/>
  <c r="G353" i="4"/>
  <c r="H353" i="4"/>
  <c r="I353" i="4"/>
  <c r="G354" i="4"/>
  <c r="H354" i="4"/>
  <c r="I354" i="4"/>
  <c r="G355" i="4"/>
  <c r="H355" i="4"/>
  <c r="I355" i="4"/>
  <c r="G356" i="4"/>
  <c r="H356" i="4"/>
  <c r="I356" i="4"/>
  <c r="G357" i="4"/>
  <c r="H357" i="4"/>
  <c r="I357" i="4"/>
  <c r="G358" i="4"/>
  <c r="H358" i="4"/>
  <c r="I358" i="4"/>
  <c r="G359" i="4"/>
  <c r="H359" i="4"/>
  <c r="I359" i="4"/>
  <c r="G360" i="4"/>
  <c r="H360" i="4"/>
  <c r="I360" i="4"/>
  <c r="G361" i="4"/>
  <c r="H361" i="4"/>
  <c r="I361" i="4"/>
  <c r="G362" i="4"/>
  <c r="H362" i="4"/>
  <c r="I362" i="4"/>
  <c r="G363" i="4"/>
  <c r="H363" i="4"/>
  <c r="I363" i="4"/>
  <c r="G364" i="4"/>
  <c r="H364" i="4"/>
  <c r="I364" i="4"/>
  <c r="G365" i="4"/>
  <c r="H365" i="4"/>
  <c r="I365" i="4"/>
  <c r="G366" i="4"/>
  <c r="H366" i="4"/>
  <c r="I366" i="4"/>
  <c r="G367" i="4"/>
  <c r="H367" i="4"/>
  <c r="I367" i="4"/>
  <c r="G368" i="4"/>
  <c r="H368" i="4"/>
  <c r="I368" i="4"/>
  <c r="G369" i="4"/>
  <c r="H369" i="4"/>
  <c r="I369" i="4"/>
  <c r="G370" i="4"/>
  <c r="H370" i="4"/>
  <c r="I370" i="4"/>
  <c r="G371" i="4"/>
  <c r="H371" i="4"/>
  <c r="I371" i="4"/>
  <c r="G372" i="4"/>
  <c r="H372" i="4"/>
  <c r="I372" i="4"/>
  <c r="G373" i="4"/>
  <c r="H373" i="4"/>
  <c r="I373" i="4"/>
  <c r="G374" i="4"/>
  <c r="H374" i="4"/>
  <c r="I374" i="4"/>
  <c r="G375" i="4"/>
  <c r="H375" i="4"/>
  <c r="I375" i="4"/>
  <c r="G376" i="4"/>
  <c r="H376" i="4"/>
  <c r="I376" i="4"/>
  <c r="G377" i="4"/>
  <c r="H377" i="4"/>
  <c r="I377" i="4"/>
  <c r="G378" i="4"/>
  <c r="H378" i="4"/>
  <c r="I378" i="4"/>
  <c r="G379" i="4"/>
  <c r="H379" i="4"/>
  <c r="I379" i="4"/>
  <c r="G380" i="4"/>
  <c r="H380" i="4"/>
  <c r="I380" i="4"/>
  <c r="G381" i="4"/>
  <c r="H381" i="4"/>
  <c r="I381" i="4"/>
  <c r="G382" i="4"/>
  <c r="H382" i="4"/>
  <c r="I382" i="4"/>
  <c r="G383" i="4"/>
  <c r="H383" i="4"/>
  <c r="I383" i="4"/>
  <c r="G384" i="4"/>
  <c r="H384" i="4"/>
  <c r="I384" i="4"/>
  <c r="G385" i="4"/>
  <c r="H385" i="4"/>
  <c r="I385" i="4"/>
  <c r="G386" i="4"/>
  <c r="H386" i="4"/>
  <c r="I386" i="4"/>
  <c r="G387" i="4"/>
  <c r="H387" i="4"/>
  <c r="I387" i="4"/>
  <c r="G388" i="4"/>
  <c r="H388" i="4"/>
  <c r="I388" i="4"/>
  <c r="G389" i="4"/>
  <c r="H389" i="4"/>
  <c r="I389" i="4"/>
  <c r="G390" i="4"/>
  <c r="H390" i="4"/>
  <c r="I390" i="4"/>
  <c r="G391" i="4"/>
  <c r="H391" i="4"/>
  <c r="I391" i="4"/>
  <c r="G392" i="4"/>
  <c r="H392" i="4"/>
  <c r="I392" i="4"/>
  <c r="G393" i="4"/>
  <c r="H393" i="4"/>
  <c r="I393" i="4"/>
  <c r="G394" i="4"/>
  <c r="H394" i="4"/>
  <c r="I394" i="4"/>
  <c r="G395" i="4"/>
  <c r="H395" i="4"/>
  <c r="I395" i="4"/>
  <c r="G396" i="4"/>
  <c r="H396" i="4"/>
  <c r="I396" i="4"/>
  <c r="G397" i="4"/>
  <c r="H397" i="4"/>
  <c r="I397" i="4"/>
  <c r="G398" i="4"/>
  <c r="H398" i="4"/>
  <c r="I398" i="4"/>
  <c r="G399" i="4"/>
  <c r="H399" i="4"/>
  <c r="I399" i="4"/>
  <c r="G400" i="4"/>
  <c r="H400" i="4"/>
  <c r="I400" i="4"/>
  <c r="G401" i="4"/>
  <c r="H401" i="4"/>
  <c r="I401" i="4"/>
  <c r="G402" i="4"/>
  <c r="H402" i="4"/>
  <c r="I402" i="4"/>
  <c r="G403" i="4"/>
  <c r="H403" i="4"/>
  <c r="I403" i="4"/>
  <c r="G404" i="4"/>
  <c r="H404" i="4"/>
  <c r="I404" i="4"/>
  <c r="G405" i="4"/>
  <c r="H405" i="4"/>
  <c r="I405" i="4"/>
  <c r="G406" i="4"/>
  <c r="H406" i="4"/>
  <c r="I406" i="4"/>
  <c r="G407" i="4"/>
  <c r="H407" i="4"/>
  <c r="I407" i="4"/>
  <c r="G408" i="4"/>
  <c r="H408" i="4"/>
  <c r="I408" i="4"/>
  <c r="G409" i="4"/>
  <c r="H409" i="4"/>
  <c r="I409" i="4"/>
  <c r="G410" i="4"/>
  <c r="H410" i="4"/>
  <c r="I410" i="4"/>
  <c r="G411" i="4"/>
  <c r="H411" i="4"/>
  <c r="I411" i="4"/>
  <c r="G412" i="4"/>
  <c r="H412" i="4"/>
  <c r="I412" i="4"/>
  <c r="G413" i="4"/>
  <c r="H413" i="4"/>
  <c r="I413" i="4"/>
  <c r="G414" i="4"/>
  <c r="H414" i="4"/>
  <c r="I414" i="4"/>
  <c r="G415" i="4"/>
  <c r="H415" i="4"/>
  <c r="I415" i="4"/>
  <c r="G416" i="4"/>
  <c r="H416" i="4"/>
  <c r="I416" i="4"/>
  <c r="G417" i="4"/>
  <c r="H417" i="4"/>
  <c r="I417" i="4"/>
  <c r="G418" i="4"/>
  <c r="H418" i="4"/>
  <c r="I418" i="4"/>
  <c r="G419" i="4"/>
  <c r="H419" i="4"/>
  <c r="I419" i="4"/>
  <c r="G420" i="4"/>
  <c r="H420" i="4"/>
  <c r="I420" i="4"/>
  <c r="G421" i="4"/>
  <c r="H421" i="4"/>
  <c r="I421" i="4"/>
  <c r="G422" i="4"/>
  <c r="H422" i="4"/>
  <c r="I422" i="4"/>
  <c r="G423" i="4"/>
  <c r="H423" i="4"/>
  <c r="I423" i="4"/>
  <c r="G424" i="4"/>
  <c r="H424" i="4"/>
  <c r="I424" i="4"/>
  <c r="G425" i="4"/>
  <c r="H425" i="4"/>
  <c r="I425" i="4"/>
  <c r="G426" i="4"/>
  <c r="H426" i="4"/>
  <c r="I426" i="4"/>
  <c r="G427" i="4"/>
  <c r="H427" i="4"/>
  <c r="I427" i="4"/>
  <c r="G428" i="4"/>
  <c r="H428" i="4"/>
  <c r="I428" i="4"/>
  <c r="G429" i="4"/>
  <c r="H429" i="4"/>
  <c r="I429" i="4"/>
  <c r="G430" i="4"/>
  <c r="H430" i="4"/>
  <c r="I430" i="4"/>
  <c r="G431" i="4"/>
  <c r="H431" i="4"/>
  <c r="I431" i="4"/>
  <c r="G432" i="4"/>
  <c r="H432" i="4"/>
  <c r="I432" i="4"/>
  <c r="G433" i="4"/>
  <c r="H433" i="4"/>
  <c r="I433" i="4"/>
  <c r="G434" i="4"/>
  <c r="H434" i="4"/>
  <c r="I434" i="4"/>
  <c r="G435" i="4"/>
  <c r="H435" i="4"/>
  <c r="I435" i="4"/>
  <c r="G436" i="4"/>
  <c r="H436" i="4"/>
  <c r="I436" i="4"/>
  <c r="G437" i="4"/>
  <c r="H437" i="4"/>
  <c r="I437" i="4"/>
  <c r="G438" i="4"/>
  <c r="H438" i="4"/>
  <c r="I438" i="4"/>
  <c r="G439" i="4"/>
  <c r="H439" i="4"/>
  <c r="I439" i="4"/>
  <c r="G440" i="4"/>
  <c r="H440" i="4"/>
  <c r="I440" i="4"/>
  <c r="G441" i="4"/>
  <c r="H441" i="4"/>
  <c r="I441" i="4"/>
  <c r="G442" i="4"/>
  <c r="H442" i="4"/>
  <c r="I442" i="4"/>
  <c r="G443" i="4"/>
  <c r="H443" i="4"/>
  <c r="I443" i="4"/>
  <c r="G444" i="4"/>
  <c r="H444" i="4"/>
  <c r="I444" i="4"/>
  <c r="G445" i="4"/>
  <c r="H445" i="4"/>
  <c r="I445" i="4"/>
  <c r="G446" i="4"/>
  <c r="H446" i="4"/>
  <c r="I446" i="4"/>
  <c r="G447" i="4"/>
  <c r="H447" i="4"/>
  <c r="I447" i="4"/>
  <c r="G448" i="4"/>
  <c r="H448" i="4"/>
  <c r="I448" i="4"/>
  <c r="G449" i="4"/>
  <c r="H449" i="4"/>
  <c r="I449" i="4"/>
  <c r="G450" i="4"/>
  <c r="H450" i="4"/>
  <c r="I450" i="4"/>
  <c r="G451" i="4"/>
  <c r="H451" i="4"/>
  <c r="I451" i="4"/>
  <c r="G452" i="4"/>
  <c r="H452" i="4"/>
  <c r="I452" i="4"/>
  <c r="G453" i="4"/>
  <c r="H453" i="4"/>
  <c r="I453" i="4"/>
  <c r="G454" i="4"/>
  <c r="H454" i="4"/>
  <c r="I454" i="4"/>
  <c r="G455" i="4"/>
  <c r="H455" i="4"/>
  <c r="I455" i="4"/>
  <c r="G456" i="4"/>
  <c r="H456" i="4"/>
  <c r="I456" i="4"/>
  <c r="J568" i="4" l="1"/>
  <c r="J590" i="4"/>
  <c r="J566" i="4"/>
  <c r="J509" i="4"/>
  <c r="J228" i="4"/>
  <c r="J224" i="4"/>
  <c r="J220" i="4"/>
  <c r="J216" i="4"/>
  <c r="J214" i="4"/>
  <c r="J210" i="4"/>
  <c r="J206" i="4"/>
  <c r="J200" i="4"/>
  <c r="J196" i="4"/>
  <c r="J192" i="4"/>
  <c r="J190" i="4"/>
  <c r="J186" i="4"/>
  <c r="J182" i="4"/>
  <c r="J180" i="4"/>
  <c r="J176" i="4"/>
  <c r="J172" i="4"/>
  <c r="J166" i="4"/>
  <c r="J162" i="4"/>
  <c r="J158" i="4"/>
  <c r="J152" i="4"/>
  <c r="J148" i="4"/>
  <c r="J144" i="4"/>
  <c r="J142" i="4"/>
  <c r="J138" i="4"/>
  <c r="J134" i="4"/>
  <c r="J128" i="4"/>
  <c r="J124" i="4"/>
  <c r="J120" i="4"/>
  <c r="J114" i="4"/>
  <c r="J110" i="4"/>
  <c r="J106" i="4"/>
  <c r="J104" i="4"/>
  <c r="J100" i="4"/>
  <c r="J96" i="4"/>
  <c r="J92" i="4"/>
  <c r="J90" i="4"/>
  <c r="J86" i="4"/>
  <c r="J80" i="4"/>
  <c r="J76" i="4"/>
  <c r="J69" i="4"/>
  <c r="J65" i="4"/>
  <c r="J61" i="4"/>
  <c r="J57" i="4"/>
  <c r="J53" i="4"/>
  <c r="J244" i="4"/>
  <c r="J240" i="4"/>
  <c r="J231" i="4"/>
  <c r="J589" i="4"/>
  <c r="J565" i="4"/>
  <c r="J243" i="4"/>
  <c r="J239" i="4"/>
  <c r="J227" i="4"/>
  <c r="J223" i="4"/>
  <c r="J713" i="4"/>
  <c r="J709" i="4"/>
  <c r="J705" i="4"/>
  <c r="J701" i="4"/>
  <c r="J697" i="4"/>
  <c r="J591" i="4"/>
  <c r="J567" i="4"/>
  <c r="J49" i="4"/>
  <c r="J714" i="4"/>
  <c r="J710" i="4"/>
  <c r="J706" i="4"/>
  <c r="J702" i="4"/>
  <c r="J698" i="4"/>
  <c r="J694" i="4"/>
  <c r="J690" i="4"/>
  <c r="J686" i="4"/>
  <c r="J682" i="4"/>
  <c r="J678" i="4"/>
  <c r="J673" i="4"/>
  <c r="J669" i="4"/>
  <c r="J647" i="4"/>
  <c r="J273" i="4"/>
  <c r="J261" i="4"/>
  <c r="J257" i="4"/>
  <c r="J237" i="4"/>
  <c r="J233" i="4"/>
  <c r="J42" i="4"/>
  <c r="J38" i="4"/>
  <c r="J34" i="4"/>
  <c r="J30" i="4"/>
  <c r="J26" i="4"/>
  <c r="J22" i="4"/>
  <c r="J18" i="4"/>
  <c r="J14" i="4"/>
  <c r="J910" i="4"/>
  <c r="J906" i="4"/>
  <c r="J902" i="4"/>
  <c r="J898" i="4"/>
  <c r="J894" i="4"/>
  <c r="J890" i="4"/>
  <c r="J886" i="4"/>
  <c r="J882" i="4"/>
  <c r="J878" i="4"/>
  <c r="J874" i="4"/>
  <c r="J870" i="4"/>
  <c r="J866" i="4"/>
  <c r="J862" i="4"/>
  <c r="J855" i="4"/>
  <c r="J851" i="4"/>
  <c r="J847" i="4"/>
  <c r="J843" i="4"/>
  <c r="J839" i="4"/>
  <c r="J835" i="4"/>
  <c r="J831" i="4"/>
  <c r="J827" i="4"/>
  <c r="J823" i="4"/>
  <c r="J819" i="4"/>
  <c r="J815" i="4"/>
  <c r="J811" i="4"/>
  <c r="J807" i="4"/>
  <c r="J803" i="4"/>
  <c r="J776" i="4"/>
  <c r="J772" i="4"/>
  <c r="J768" i="4"/>
  <c r="J764" i="4"/>
  <c r="J762" i="4"/>
  <c r="J747" i="4"/>
  <c r="J743" i="4"/>
  <c r="J739" i="4"/>
  <c r="J735" i="4"/>
  <c r="J731" i="4"/>
  <c r="J727" i="4"/>
  <c r="J723" i="4"/>
  <c r="J719" i="4"/>
  <c r="J716" i="4"/>
  <c r="J712" i="4"/>
  <c r="J708" i="4"/>
  <c r="J704" i="4"/>
  <c r="J700" i="4"/>
  <c r="J696" i="4"/>
  <c r="J692" i="4"/>
  <c r="J688" i="4"/>
  <c r="J684" i="4"/>
  <c r="J680" i="4"/>
  <c r="J608" i="4"/>
  <c r="J605" i="4"/>
  <c r="J594" i="4"/>
  <c r="J557" i="4"/>
  <c r="J549" i="4"/>
  <c r="J535" i="4"/>
  <c r="J529" i="4"/>
  <c r="J510" i="4"/>
  <c r="J454" i="4"/>
  <c r="J450" i="4"/>
  <c r="J446" i="4"/>
  <c r="J442" i="4"/>
  <c r="J438" i="4"/>
  <c r="J365" i="4"/>
  <c r="J354" i="4"/>
  <c r="J296" i="4"/>
  <c r="J750" i="4"/>
  <c r="J746" i="4"/>
  <c r="J742" i="4"/>
  <c r="J738" i="4"/>
  <c r="J734" i="4"/>
  <c r="J730" i="4"/>
  <c r="J726" i="4"/>
  <c r="J722" i="4"/>
  <c r="J718" i="4"/>
  <c r="J715" i="4"/>
  <c r="J711" i="4"/>
  <c r="J707" i="4"/>
  <c r="J703" i="4"/>
  <c r="J699" i="4"/>
  <c r="J695" i="4"/>
  <c r="J691" i="4"/>
  <c r="J687" i="4"/>
  <c r="J683" i="4"/>
  <c r="J679" i="4"/>
  <c r="J674" i="4"/>
  <c r="J670" i="4"/>
  <c r="J666" i="4"/>
  <c r="J662" i="4"/>
  <c r="J655" i="4"/>
  <c r="J651" i="4"/>
  <c r="J648" i="4"/>
  <c r="J528" i="4"/>
  <c r="J495" i="4"/>
  <c r="J294" i="4"/>
  <c r="J219" i="4"/>
  <c r="J215" i="4"/>
  <c r="J213" i="4"/>
  <c r="J209" i="4"/>
  <c r="J205" i="4"/>
  <c r="J199" i="4"/>
  <c r="J195" i="4"/>
  <c r="J191" i="4"/>
  <c r="J189" i="4"/>
  <c r="J185" i="4"/>
  <c r="J179" i="4"/>
  <c r="J175" i="4"/>
  <c r="J171" i="4"/>
  <c r="J165" i="4"/>
  <c r="J161" i="4"/>
  <c r="J157" i="4"/>
  <c r="J155" i="4"/>
  <c r="J151" i="4"/>
  <c r="J147" i="4"/>
  <c r="J141" i="4"/>
  <c r="J137" i="4"/>
  <c r="J133" i="4"/>
  <c r="J127" i="4"/>
  <c r="J748" i="4"/>
  <c r="J744" i="4"/>
  <c r="J740" i="4"/>
  <c r="J736" i="4"/>
  <c r="J732" i="4"/>
  <c r="J728" i="4"/>
  <c r="J724" i="4"/>
  <c r="J720" i="4"/>
  <c r="J693" i="4"/>
  <c r="J689" i="4"/>
  <c r="J685" i="4"/>
  <c r="J681" i="4"/>
  <c r="J677" i="4"/>
  <c r="J530" i="4"/>
  <c r="J505" i="4"/>
  <c r="J481" i="4"/>
  <c r="J295" i="4"/>
  <c r="J749" i="4"/>
  <c r="J745" i="4"/>
  <c r="J741" i="4"/>
  <c r="J737" i="4"/>
  <c r="J733" i="4"/>
  <c r="J729" i="4"/>
  <c r="J725" i="4"/>
  <c r="J721" i="4"/>
  <c r="J665" i="4"/>
  <c r="J661" i="4"/>
  <c r="J658" i="4"/>
  <c r="J654" i="4"/>
  <c r="J650" i="4"/>
  <c r="J527" i="4"/>
  <c r="J451" i="4"/>
  <c r="J439" i="4"/>
  <c r="J270" i="4"/>
  <c r="J266" i="4"/>
  <c r="J262" i="4"/>
  <c r="J258" i="4"/>
  <c r="J254" i="4"/>
  <c r="J250" i="4"/>
  <c r="J238" i="4"/>
  <c r="J234" i="4"/>
  <c r="J675" i="4"/>
  <c r="J671" i="4"/>
  <c r="J667" i="4"/>
  <c r="J663" i="4"/>
  <c r="J659" i="4"/>
  <c r="J656" i="4"/>
  <c r="J652" i="4"/>
  <c r="J447" i="4"/>
  <c r="J456" i="4"/>
  <c r="J448" i="4"/>
  <c r="J444" i="4"/>
  <c r="J440" i="4"/>
  <c r="J406" i="4"/>
  <c r="J370" i="4"/>
  <c r="J362" i="4"/>
  <c r="J359" i="4"/>
  <c r="J351" i="4"/>
  <c r="J322" i="4"/>
  <c r="J318" i="4"/>
  <c r="J298" i="4"/>
  <c r="J287" i="4"/>
  <c r="J757" i="4"/>
  <c r="J676" i="4"/>
  <c r="J672" i="4"/>
  <c r="J668" i="4"/>
  <c r="J664" i="4"/>
  <c r="J660" i="4"/>
  <c r="J657" i="4"/>
  <c r="J653" i="4"/>
  <c r="J649" i="4"/>
  <c r="J455" i="4"/>
  <c r="J443" i="4"/>
  <c r="J452" i="4"/>
  <c r="J453" i="4"/>
  <c r="J449" i="4"/>
  <c r="J445" i="4"/>
  <c r="J441" i="4"/>
  <c r="J437" i="4"/>
  <c r="J399" i="4"/>
  <c r="J395" i="4"/>
  <c r="J391" i="4"/>
  <c r="J387" i="4"/>
  <c r="J383" i="4"/>
  <c r="J379" i="4"/>
  <c r="J375" i="4"/>
  <c r="J371" i="4"/>
  <c r="J367" i="4"/>
  <c r="J360" i="4"/>
  <c r="J346" i="4"/>
  <c r="J343" i="4"/>
  <c r="J338" i="4"/>
  <c r="J327" i="4"/>
  <c r="J323" i="4"/>
  <c r="J319" i="4"/>
  <c r="J315" i="4"/>
  <c r="J284" i="4"/>
  <c r="J211" i="4"/>
  <c r="J207" i="4"/>
  <c r="J203" i="4"/>
  <c r="J201" i="4"/>
  <c r="J197" i="4"/>
  <c r="J193" i="4"/>
  <c r="J187" i="4"/>
  <c r="J183" i="4"/>
  <c r="J181" i="4"/>
  <c r="J717" i="4"/>
  <c r="J606" i="4"/>
  <c r="J537" i="4"/>
  <c r="J522" i="4"/>
  <c r="J504" i="4"/>
  <c r="J480" i="4"/>
  <c r="J469" i="4"/>
  <c r="J468" i="4"/>
  <c r="J465" i="4"/>
  <c r="J617" i="4"/>
  <c r="J613" i="4"/>
  <c r="J599" i="4"/>
  <c r="J512" i="4"/>
  <c r="J494" i="4"/>
  <c r="J267" i="4"/>
  <c r="J276" i="4"/>
  <c r="J275" i="4"/>
  <c r="J271" i="4"/>
  <c r="J434" i="4"/>
  <c r="J431" i="4"/>
  <c r="J427" i="4"/>
  <c r="J423" i="4"/>
  <c r="J419" i="4"/>
  <c r="J415" i="4"/>
  <c r="J411" i="4"/>
  <c r="J408" i="4"/>
  <c r="J263" i="4"/>
  <c r="J251" i="4"/>
  <c r="J247" i="4"/>
  <c r="J40" i="4"/>
  <c r="J36" i="4"/>
  <c r="J24" i="4"/>
  <c r="J16" i="4"/>
  <c r="J920" i="4"/>
  <c r="J908" i="4"/>
  <c r="J904" i="4"/>
  <c r="J900" i="4"/>
  <c r="J896" i="4"/>
  <c r="J868" i="4"/>
  <c r="J864" i="4"/>
  <c r="J860" i="4"/>
  <c r="J857" i="4"/>
  <c r="J837" i="4"/>
  <c r="J825" i="4"/>
  <c r="J802" i="4"/>
  <c r="J798" i="4"/>
  <c r="J790" i="4"/>
  <c r="J788" i="4"/>
  <c r="J784" i="4"/>
  <c r="J780" i="4"/>
  <c r="J770" i="4"/>
  <c r="J766" i="4"/>
  <c r="J643" i="4"/>
  <c r="J558" i="4"/>
  <c r="J533" i="4"/>
  <c r="J525" i="4"/>
  <c r="J518" i="4"/>
  <c r="J514" i="4"/>
  <c r="J432" i="4"/>
  <c r="J424" i="4"/>
  <c r="J420" i="4"/>
  <c r="J416" i="4"/>
  <c r="J412" i="4"/>
  <c r="J409" i="4"/>
  <c r="J282" i="4"/>
  <c r="J272" i="4"/>
  <c r="J268" i="4"/>
  <c r="J264" i="4"/>
  <c r="J260" i="4"/>
  <c r="J256" i="4"/>
  <c r="J252" i="4"/>
  <c r="J248" i="4"/>
  <c r="J245" i="4"/>
  <c r="J585" i="4"/>
  <c r="J583" i="4"/>
  <c r="J579" i="4"/>
  <c r="J575" i="4"/>
  <c r="J561" i="4"/>
  <c r="J555" i="4"/>
  <c r="J551" i="4"/>
  <c r="J466" i="4"/>
  <c r="J259" i="4"/>
  <c r="J255" i="4"/>
  <c r="J32" i="4"/>
  <c r="J28" i="4"/>
  <c r="J20" i="4"/>
  <c r="J916" i="4"/>
  <c r="J912" i="4"/>
  <c r="J892" i="4"/>
  <c r="J888" i="4"/>
  <c r="J884" i="4"/>
  <c r="J880" i="4"/>
  <c r="J876" i="4"/>
  <c r="J872" i="4"/>
  <c r="J853" i="4"/>
  <c r="J849" i="4"/>
  <c r="J845" i="4"/>
  <c r="J841" i="4"/>
  <c r="J833" i="4"/>
  <c r="J829" i="4"/>
  <c r="J821" i="4"/>
  <c r="J817" i="4"/>
  <c r="J794" i="4"/>
  <c r="J760" i="4"/>
  <c r="J639" i="4"/>
  <c r="J635" i="4"/>
  <c r="J619" i="4"/>
  <c r="J615" i="4"/>
  <c r="J611" i="4"/>
  <c r="J544" i="4"/>
  <c r="J540" i="4"/>
  <c r="J507" i="4"/>
  <c r="J473" i="4"/>
  <c r="J269" i="4"/>
  <c r="J265" i="4"/>
  <c r="J253" i="4"/>
  <c r="J249" i="4"/>
  <c r="J122" i="4"/>
  <c r="J118" i="4"/>
  <c r="J116" i="4"/>
  <c r="J112" i="4"/>
  <c r="J108" i="4"/>
  <c r="J102" i="4"/>
  <c r="J98" i="4"/>
  <c r="J94" i="4"/>
  <c r="J88" i="4"/>
  <c r="J84" i="4"/>
  <c r="J82" i="4"/>
  <c r="J78" i="4"/>
  <c r="J74" i="4"/>
  <c r="J71" i="4"/>
  <c r="J67" i="4"/>
  <c r="J63" i="4"/>
  <c r="J59" i="4"/>
  <c r="J55" i="4"/>
  <c r="J51" i="4"/>
  <c r="J47" i="4"/>
  <c r="J918" i="4"/>
  <c r="J914" i="4"/>
  <c r="J759" i="4"/>
  <c r="J755" i="4"/>
  <c r="J752" i="4"/>
  <c r="J604" i="4"/>
  <c r="J471" i="4"/>
  <c r="J425" i="4"/>
  <c r="J417" i="4"/>
  <c r="J388" i="4"/>
  <c r="J380" i="4"/>
  <c r="J376" i="4"/>
  <c r="J368" i="4"/>
  <c r="J353" i="4"/>
  <c r="J328" i="4"/>
  <c r="J320" i="4"/>
  <c r="J421" i="4"/>
  <c r="J396" i="4"/>
  <c r="J392" i="4"/>
  <c r="J384" i="4"/>
  <c r="J372" i="4"/>
  <c r="J332" i="4"/>
  <c r="J433" i="4"/>
  <c r="J430" i="4"/>
  <c r="J426" i="4"/>
  <c r="J422" i="4"/>
  <c r="J418" i="4"/>
  <c r="J414" i="4"/>
  <c r="J405" i="4"/>
  <c r="J401" i="4"/>
  <c r="J397" i="4"/>
  <c r="J393" i="4"/>
  <c r="J389" i="4"/>
  <c r="J385" i="4"/>
  <c r="J381" i="4"/>
  <c r="J377" i="4"/>
  <c r="J373" i="4"/>
  <c r="J369" i="4"/>
  <c r="J355" i="4"/>
  <c r="J348" i="4"/>
  <c r="J340" i="4"/>
  <c r="J337" i="4"/>
  <c r="J333" i="4"/>
  <c r="J325" i="4"/>
  <c r="J321" i="4"/>
  <c r="J313" i="4"/>
  <c r="J241" i="4"/>
  <c r="J236" i="4"/>
  <c r="J229" i="4"/>
  <c r="J225" i="4"/>
  <c r="J221" i="4"/>
  <c r="J217" i="4"/>
  <c r="J177" i="4"/>
  <c r="J173" i="4"/>
  <c r="J169" i="4"/>
  <c r="J167" i="4"/>
  <c r="J163" i="4"/>
  <c r="J159" i="4"/>
  <c r="J153" i="4"/>
  <c r="J149" i="4"/>
  <c r="J145" i="4"/>
  <c r="J143" i="4"/>
  <c r="J139" i="4"/>
  <c r="J135" i="4"/>
  <c r="J131" i="4"/>
  <c r="J129" i="4"/>
  <c r="J125" i="4"/>
  <c r="J121" i="4"/>
  <c r="J115" i="4"/>
  <c r="J111" i="4"/>
  <c r="J107" i="4"/>
  <c r="J101" i="4"/>
  <c r="J97" i="4"/>
  <c r="J93" i="4"/>
  <c r="J91" i="4"/>
  <c r="J413" i="4"/>
  <c r="J400" i="4"/>
  <c r="J364" i="4"/>
  <c r="J339" i="4"/>
  <c r="J435" i="4"/>
  <c r="J403" i="4"/>
  <c r="J402" i="4"/>
  <c r="J398" i="4"/>
  <c r="J394" i="4"/>
  <c r="J390" i="4"/>
  <c r="J386" i="4"/>
  <c r="J382" i="4"/>
  <c r="J378" i="4"/>
  <c r="J374" i="4"/>
  <c r="J345" i="4"/>
  <c r="J330" i="4"/>
  <c r="J311" i="4"/>
  <c r="J278" i="4"/>
  <c r="J246" i="4"/>
  <c r="J242" i="4"/>
  <c r="J230" i="4"/>
  <c r="J226" i="4"/>
  <c r="J222" i="4"/>
  <c r="J218" i="4"/>
  <c r="J212" i="4"/>
  <c r="J208" i="4"/>
  <c r="J204" i="4"/>
  <c r="J202" i="4"/>
  <c r="J198" i="4"/>
  <c r="J194" i="4"/>
  <c r="J188" i="4"/>
  <c r="J184" i="4"/>
  <c r="J178" i="4"/>
  <c r="J174" i="4"/>
  <c r="J170" i="4"/>
  <c r="J168" i="4"/>
  <c r="J164" i="4"/>
  <c r="J160" i="4"/>
  <c r="J156" i="4"/>
  <c r="J154" i="4"/>
  <c r="J150" i="4"/>
  <c r="J146" i="4"/>
  <c r="J140" i="4"/>
  <c r="J136" i="4"/>
  <c r="J132" i="4"/>
  <c r="J130" i="4"/>
  <c r="J126" i="4"/>
  <c r="J560" i="4"/>
  <c r="J87" i="4"/>
  <c r="J83" i="4"/>
  <c r="J81" i="4"/>
  <c r="J77" i="4"/>
  <c r="J73" i="4"/>
  <c r="J70" i="4"/>
  <c r="J66" i="4"/>
  <c r="J62" i="4"/>
  <c r="J58" i="4"/>
  <c r="J54" i="4"/>
  <c r="J50" i="4"/>
  <c r="J46" i="4"/>
  <c r="J41" i="4"/>
  <c r="J37" i="4"/>
  <c r="J33" i="4"/>
  <c r="J29" i="4"/>
  <c r="J25" i="4"/>
  <c r="J21" i="4"/>
  <c r="J17" i="4"/>
  <c r="J921" i="4"/>
  <c r="J917" i="4"/>
  <c r="J913" i="4"/>
  <c r="J909" i="4"/>
  <c r="J905" i="4"/>
  <c r="J901" i="4"/>
  <c r="J897" i="4"/>
  <c r="J893" i="4"/>
  <c r="J889" i="4"/>
  <c r="J885" i="4"/>
  <c r="J881" i="4"/>
  <c r="J877" i="4"/>
  <c r="J873" i="4"/>
  <c r="J869" i="4"/>
  <c r="J865" i="4"/>
  <c r="J861" i="4"/>
  <c r="J858" i="4"/>
  <c r="J854" i="4"/>
  <c r="J850" i="4"/>
  <c r="J846" i="4"/>
  <c r="J842" i="4"/>
  <c r="J838" i="4"/>
  <c r="J834" i="4"/>
  <c r="J830" i="4"/>
  <c r="J826" i="4"/>
  <c r="J822" i="4"/>
  <c r="J818" i="4"/>
  <c r="J789" i="4"/>
  <c r="J785" i="4"/>
  <c r="J781" i="4"/>
  <c r="J777" i="4"/>
  <c r="J775" i="4"/>
  <c r="J771" i="4"/>
  <c r="J767" i="4"/>
  <c r="J761" i="4"/>
  <c r="J758" i="4"/>
  <c r="J754" i="4"/>
  <c r="J751" i="4"/>
  <c r="J630" i="4"/>
  <c r="J626" i="4"/>
  <c r="J622" i="4"/>
  <c r="J616" i="4"/>
  <c r="J612" i="4"/>
  <c r="J610" i="4"/>
  <c r="J595" i="4"/>
  <c r="J502" i="4"/>
  <c r="J492" i="4"/>
  <c r="J488" i="4"/>
  <c r="J484" i="4"/>
  <c r="J478" i="4"/>
  <c r="J474" i="4"/>
  <c r="J123" i="4"/>
  <c r="J119" i="4"/>
  <c r="J117" i="4"/>
  <c r="J113" i="4"/>
  <c r="J109" i="4"/>
  <c r="J105" i="4"/>
  <c r="J103" i="4"/>
  <c r="J99" i="4"/>
  <c r="J95" i="4"/>
  <c r="J89" i="4"/>
  <c r="J85" i="4"/>
  <c r="J79" i="4"/>
  <c r="J75" i="4"/>
  <c r="J72" i="4"/>
  <c r="J68" i="4"/>
  <c r="J64" i="4"/>
  <c r="J60" i="4"/>
  <c r="J56" i="4"/>
  <c r="J52" i="4"/>
  <c r="J48" i="4"/>
  <c r="J43" i="4"/>
  <c r="J39" i="4"/>
  <c r="J35" i="4"/>
  <c r="J31" i="4"/>
  <c r="J27" i="4"/>
  <c r="J23" i="4"/>
  <c r="J19" i="4"/>
  <c r="J15" i="4"/>
  <c r="J919" i="4"/>
  <c r="J915" i="4"/>
  <c r="J911" i="4"/>
  <c r="J907" i="4"/>
  <c r="J903" i="4"/>
  <c r="J899" i="4"/>
  <c r="J895" i="4"/>
  <c r="J891" i="4"/>
  <c r="J887" i="4"/>
  <c r="J883" i="4"/>
  <c r="J879" i="4"/>
  <c r="J875" i="4"/>
  <c r="J871" i="4"/>
  <c r="J867" i="4"/>
  <c r="J863" i="4"/>
  <c r="J859" i="4"/>
  <c r="J856" i="4"/>
  <c r="J852" i="4"/>
  <c r="J848" i="4"/>
  <c r="J844" i="4"/>
  <c r="J840" i="4"/>
  <c r="J836" i="4"/>
  <c r="J832" i="4"/>
  <c r="J828" i="4"/>
  <c r="J824" i="4"/>
  <c r="J820" i="4"/>
  <c r="J816" i="4"/>
  <c r="J812" i="4"/>
  <c r="J808" i="4"/>
  <c r="J804" i="4"/>
  <c r="J801" i="4"/>
  <c r="J797" i="4"/>
  <c r="J793" i="4"/>
  <c r="J769" i="4"/>
  <c r="J765" i="4"/>
  <c r="J763" i="4"/>
  <c r="J756" i="4"/>
  <c r="J753" i="4"/>
  <c r="J644" i="4"/>
  <c r="J620" i="4"/>
  <c r="J618" i="4"/>
  <c r="J614" i="4"/>
  <c r="J600" i="4"/>
  <c r="J593" i="4"/>
  <c r="J586" i="4"/>
  <c r="J584" i="4"/>
  <c r="J570" i="4"/>
  <c r="J562" i="4"/>
  <c r="J366" i="4"/>
  <c r="J361" i="4"/>
  <c r="J357" i="4"/>
  <c r="J356" i="4"/>
  <c r="J350" i="4"/>
  <c r="J349" i="4"/>
  <c r="J347" i="4"/>
  <c r="J342" i="4"/>
  <c r="J341" i="4"/>
  <c r="J335" i="4"/>
  <c r="J334" i="4"/>
  <c r="J329" i="4"/>
  <c r="J324" i="4"/>
  <c r="J316" i="4"/>
  <c r="J314" i="4"/>
  <c r="J307" i="4"/>
  <c r="J303" i="4"/>
  <c r="J299" i="4"/>
  <c r="J292" i="4"/>
  <c r="J288" i="4"/>
  <c r="J283" i="4"/>
  <c r="J279" i="4"/>
  <c r="J428" i="4"/>
  <c r="J436" i="4"/>
  <c r="J429" i="4"/>
  <c r="J410" i="4"/>
  <c r="J404" i="4"/>
  <c r="J363" i="4"/>
  <c r="J358" i="4"/>
  <c r="J352" i="4"/>
  <c r="J344" i="4"/>
  <c r="J336" i="4"/>
  <c r="J331" i="4"/>
  <c r="J326" i="4"/>
  <c r="J317" i="4"/>
  <c r="J312" i="4"/>
  <c r="J308" i="4"/>
  <c r="J300" i="4"/>
  <c r="J293" i="4"/>
  <c r="J289" i="4"/>
  <c r="J407" i="4"/>
  <c r="J309" i="4"/>
  <c r="J310" i="4"/>
  <c r="J306" i="4"/>
  <c r="J305" i="4"/>
  <c r="J302" i="4"/>
  <c r="J301" i="4"/>
  <c r="J297" i="4"/>
  <c r="J291" i="4"/>
  <c r="J290" i="4"/>
  <c r="J286" i="4"/>
  <c r="J285" i="4"/>
  <c r="J281" i="4"/>
  <c r="J280" i="4"/>
  <c r="J277" i="4"/>
  <c r="J274" i="4"/>
  <c r="J235" i="4"/>
  <c r="J232" i="4"/>
  <c r="J813" i="4"/>
  <c r="J809" i="4"/>
  <c r="J805" i="4"/>
  <c r="J799" i="4"/>
  <c r="J795" i="4"/>
  <c r="J791" i="4"/>
  <c r="J786" i="4"/>
  <c r="J782" i="4"/>
  <c r="J778" i="4"/>
  <c r="J773" i="4"/>
  <c r="J814" i="4"/>
  <c r="J810" i="4"/>
  <c r="J806" i="4"/>
  <c r="J800" i="4"/>
  <c r="J796" i="4"/>
  <c r="J792" i="4"/>
  <c r="J787" i="4"/>
  <c r="J783" i="4"/>
  <c r="J779" i="4"/>
  <c r="J774" i="4"/>
  <c r="J45" i="4"/>
  <c r="J645" i="4"/>
  <c r="J640" i="4"/>
  <c r="J636" i="4"/>
  <c r="J632" i="4"/>
  <c r="J631" i="4"/>
  <c r="J627" i="4"/>
  <c r="J623" i="4"/>
  <c r="J601" i="4"/>
  <c r="J646" i="4"/>
  <c r="J641" i="4"/>
  <c r="J637" i="4"/>
  <c r="J633" i="4"/>
  <c r="J628" i="4"/>
  <c r="J624" i="4"/>
  <c r="J602" i="4"/>
  <c r="J642" i="4"/>
  <c r="J638" i="4"/>
  <c r="J634" i="4"/>
  <c r="J629" i="4"/>
  <c r="J625" i="4"/>
  <c r="J621" i="4"/>
  <c r="J596" i="4"/>
  <c r="J603" i="4"/>
  <c r="J597" i="4"/>
  <c r="J587" i="4"/>
  <c r="J580" i="4"/>
  <c r="J576" i="4"/>
  <c r="J571" i="4"/>
  <c r="J563" i="4"/>
  <c r="J556" i="4"/>
  <c r="J552" i="4"/>
  <c r="J545" i="4"/>
  <c r="J541" i="4"/>
  <c r="J536" i="4"/>
  <c r="J534" i="4"/>
  <c r="J526" i="4"/>
  <c r="J519" i="4"/>
  <c r="J515" i="4"/>
  <c r="J508" i="4"/>
  <c r="J503" i="4"/>
  <c r="J499" i="4"/>
  <c r="J493" i="4"/>
  <c r="J489" i="4"/>
  <c r="J485" i="4"/>
  <c r="J479" i="4"/>
  <c r="J475" i="4"/>
  <c r="J470" i="4"/>
  <c r="J607" i="4"/>
  <c r="J588" i="4"/>
  <c r="J581" i="4"/>
  <c r="J577" i="4"/>
  <c r="J573" i="4"/>
  <c r="J572" i="4"/>
  <c r="J564" i="4"/>
  <c r="J559" i="4"/>
  <c r="J553" i="4"/>
  <c r="J548" i="4"/>
  <c r="J546" i="4"/>
  <c r="J542" i="4"/>
  <c r="J538" i="4"/>
  <c r="J531" i="4"/>
  <c r="J523" i="4"/>
  <c r="J520" i="4"/>
  <c r="J516" i="4"/>
  <c r="J511" i="4"/>
  <c r="J506" i="4"/>
  <c r="J500" i="4"/>
  <c r="J496" i="4"/>
  <c r="J490" i="4"/>
  <c r="J486" i="4"/>
  <c r="J482" i="4"/>
  <c r="J472" i="4"/>
  <c r="J609" i="4"/>
  <c r="J598" i="4"/>
  <c r="J592" i="4"/>
  <c r="J582" i="4"/>
  <c r="J578" i="4"/>
  <c r="J574" i="4"/>
  <c r="J569" i="4"/>
  <c r="J554" i="4"/>
  <c r="J550" i="4"/>
  <c r="J547" i="4"/>
  <c r="J543" i="4"/>
  <c r="J539" i="4"/>
  <c r="J532" i="4"/>
  <c r="J524" i="4"/>
  <c r="J521" i="4"/>
  <c r="J517" i="4"/>
  <c r="J513" i="4"/>
  <c r="J501" i="4"/>
  <c r="J498" i="4"/>
  <c r="J497" i="4"/>
  <c r="J491" i="4"/>
  <c r="J487" i="4"/>
  <c r="J483" i="4"/>
  <c r="J467" i="4"/>
  <c r="J476" i="4"/>
  <c r="J477" i="4"/>
  <c r="J304" i="4"/>
  <c r="J44" i="4"/>
  <c r="I464" i="4" l="1"/>
  <c r="H464" i="4"/>
  <c r="H922" i="4" s="1"/>
  <c r="G464" i="4"/>
  <c r="I13" i="4"/>
  <c r="I457" i="4" s="1"/>
  <c r="I458" i="4" s="1"/>
  <c r="H13" i="4"/>
  <c r="H457" i="4" s="1"/>
  <c r="H458" i="4" s="1"/>
  <c r="G13" i="4"/>
  <c r="H923" i="4" l="1"/>
  <c r="H924" i="4"/>
  <c r="H925" i="4" s="1"/>
  <c r="J13" i="4"/>
  <c r="J12" i="4" s="1"/>
  <c r="J464" i="4"/>
  <c r="J463" i="4" s="1"/>
  <c r="I922" i="4"/>
  <c r="I923" i="4" l="1"/>
  <c r="I924" i="4"/>
  <c r="I925" i="4" s="1"/>
  <c r="J11" i="4"/>
  <c r="J10" i="4" s="1"/>
  <c r="J9" i="4" s="1"/>
  <c r="J462" i="4"/>
  <c r="J461" i="4" s="1"/>
  <c r="J460" i="4" s="1"/>
  <c r="J922" i="4"/>
  <c r="J923" i="4" s="1"/>
  <c r="J924" i="4"/>
  <c r="J925" i="4" s="1"/>
  <c r="J457" i="4"/>
  <c r="J458" i="4" s="1"/>
</calcChain>
</file>

<file path=xl/sharedStrings.xml><?xml version="1.0" encoding="utf-8"?>
<sst xmlns="http://schemas.openxmlformats.org/spreadsheetml/2006/main" count="2825" uniqueCount="915">
  <si>
    <t>№ статьи ERP</t>
  </si>
  <si>
    <t>Наименование работ</t>
  </si>
  <si>
    <t>Кол-во</t>
  </si>
  <si>
    <t>Стоимость работ за ед.изм, руб. 
(в т.ч. НДС 20%)</t>
  </si>
  <si>
    <t>Cтоимость материалов за ед. изм, руб. 
(в т.ч. НДС 20%)</t>
  </si>
  <si>
    <t>Всего стоимость за ед.изм, руб. 
(в т.ч. НДС 20%)</t>
  </si>
  <si>
    <t>Итого стоимость работ, руб. (в т.ч. НДС 20%)</t>
  </si>
  <si>
    <t>Итого cтоимость материалов, руб. 
(в т.ч. НДС 20%)</t>
  </si>
  <si>
    <t>Всего стоимость, руб.
(в т.ч. НДС 20%)</t>
  </si>
  <si>
    <t>03</t>
  </si>
  <si>
    <t>Строительно-монтажные работы</t>
  </si>
  <si>
    <t>03.04</t>
  </si>
  <si>
    <t>Внутридомовые инженерные сети</t>
  </si>
  <si>
    <t>03.04.03</t>
  </si>
  <si>
    <t>Внутридомовые инженерные сети. Отопление, ИТП</t>
  </si>
  <si>
    <t>03.04.03.01</t>
  </si>
  <si>
    <t>Внутридомовые инженерные сети. Отопление</t>
  </si>
  <si>
    <t>03.04.03.01.01</t>
  </si>
  <si>
    <t>03.04.03.01.02</t>
  </si>
  <si>
    <t>03.04.03.01.03</t>
  </si>
  <si>
    <t>03.04.03.01.04</t>
  </si>
  <si>
    <t>03.04.03.01.05</t>
  </si>
  <si>
    <t>03.04.03.01.06</t>
  </si>
  <si>
    <t>03.04.03.01.07</t>
  </si>
  <si>
    <t>03.04.03.01.08</t>
  </si>
  <si>
    <t>03.04.03.01.09</t>
  </si>
  <si>
    <t>03.04.03.01.10</t>
  </si>
  <si>
    <t>03.04.03.01.11</t>
  </si>
  <si>
    <t>03.04.03.01.12</t>
  </si>
  <si>
    <t>03.04.03.01.13</t>
  </si>
  <si>
    <t>03.04.03.01.14</t>
  </si>
  <si>
    <t>03.04.03.01.15</t>
  </si>
  <si>
    <t>03.04.03.01.16</t>
  </si>
  <si>
    <t>03.04.03.01.17</t>
  </si>
  <si>
    <t>03.04.03.01.18</t>
  </si>
  <si>
    <t>03.04.03.01.19</t>
  </si>
  <si>
    <t>03.04.03.01.20</t>
  </si>
  <si>
    <t>03.04.03.01.21</t>
  </si>
  <si>
    <t>03.04.03.01.22</t>
  </si>
  <si>
    <t>03.04.03.01.23</t>
  </si>
  <si>
    <t>03.04.03.01.24</t>
  </si>
  <si>
    <t>03.04.03.01.25</t>
  </si>
  <si>
    <t>03.04.03.01.26</t>
  </si>
  <si>
    <t>03.04.03.01.27</t>
  </si>
  <si>
    <t>03.04.03.01.28</t>
  </si>
  <si>
    <t>03.04.03.01.29</t>
  </si>
  <si>
    <t>03.04.03.01.30</t>
  </si>
  <si>
    <t>03.04.03.01.31</t>
  </si>
  <si>
    <t>03.04.03.01.32</t>
  </si>
  <si>
    <t>03.04.03.01.33</t>
  </si>
  <si>
    <t>03.04.03.01.34</t>
  </si>
  <si>
    <t>03.04.03.01.35</t>
  </si>
  <si>
    <t>03.04.03.01.36</t>
  </si>
  <si>
    <t>03.04.03.01.37</t>
  </si>
  <si>
    <t>03.04.03.01.38</t>
  </si>
  <si>
    <t>03.04.03.01.39</t>
  </si>
  <si>
    <t>03.04.03.01.40</t>
  </si>
  <si>
    <t>03.04.03.01.41</t>
  </si>
  <si>
    <t>03.04.03.01.42</t>
  </si>
  <si>
    <t>03.04.03.01.43</t>
  </si>
  <si>
    <t>03.04.03.01.44</t>
  </si>
  <si>
    <t>03.04.03.01.45</t>
  </si>
  <si>
    <t>03.04.03.01.46</t>
  </si>
  <si>
    <t>03.04.03.01.47</t>
  </si>
  <si>
    <t>03.04.03.01.48</t>
  </si>
  <si>
    <t>03.04.03.01.49</t>
  </si>
  <si>
    <t>03.04.03.01.50</t>
  </si>
  <si>
    <t>03.04.03.01.51</t>
  </si>
  <si>
    <t>03.04.03.01.52</t>
  </si>
  <si>
    <t>03.04.03.01.53</t>
  </si>
  <si>
    <t>03.04.03.01.54</t>
  </si>
  <si>
    <t>03.04.03.01.55</t>
  </si>
  <si>
    <t>03.04.03.01.56</t>
  </si>
  <si>
    <t>03.04.03.01.57</t>
  </si>
  <si>
    <t>03.04.03.01.58</t>
  </si>
  <si>
    <t>03.04.03.01.59</t>
  </si>
  <si>
    <t>03.04.03.01.60</t>
  </si>
  <si>
    <t>03.04.03.01.61</t>
  </si>
  <si>
    <t>03.04.03.01.62</t>
  </si>
  <si>
    <t>03.04.03.01.63</t>
  </si>
  <si>
    <t>03.04.03.01.64</t>
  </si>
  <si>
    <t>03.04.03.01.65</t>
  </si>
  <si>
    <t>03.04.03.01.66</t>
  </si>
  <si>
    <t>03.04.03.01.67</t>
  </si>
  <si>
    <t>03.04.03.01.68</t>
  </si>
  <si>
    <t>03.04.03.01.69</t>
  </si>
  <si>
    <t>03.04.03.01.70</t>
  </si>
  <si>
    <t>03.04.03.01.71</t>
  </si>
  <si>
    <t>03.04.03.01.72</t>
  </si>
  <si>
    <t>03.04.03.01.73</t>
  </si>
  <si>
    <t>03.04.03.01.75</t>
  </si>
  <si>
    <t>03.04.03.01.76</t>
  </si>
  <si>
    <t>03.04.03.01.77</t>
  </si>
  <si>
    <t>03.04.03.01.78</t>
  </si>
  <si>
    <t>03.04.03.01.79</t>
  </si>
  <si>
    <t>03.04.03.01.80</t>
  </si>
  <si>
    <t>03.04.03.01.81</t>
  </si>
  <si>
    <t>03.04.03.01.82</t>
  </si>
  <si>
    <t>03.04.03.01.83</t>
  </si>
  <si>
    <t>03.04.03.01.84</t>
  </si>
  <si>
    <t>03.04.03.01.85</t>
  </si>
  <si>
    <t>03.04.03.01.86</t>
  </si>
  <si>
    <t>03.04.03.01.87</t>
  </si>
  <si>
    <t>03.04.03.01.88</t>
  </si>
  <si>
    <t>03.04.03.01.89</t>
  </si>
  <si>
    <t>03.04.03.01.90</t>
  </si>
  <si>
    <t>03.04.03.01.91</t>
  </si>
  <si>
    <t>03.04.03.01.92</t>
  </si>
  <si>
    <t>03.04.03.01.93</t>
  </si>
  <si>
    <t>03.04.03.01.94</t>
  </si>
  <si>
    <t>03.04.03.01.95</t>
  </si>
  <si>
    <t>03.04.03.01.96</t>
  </si>
  <si>
    <t>03.04.03.01.97</t>
  </si>
  <si>
    <t>03.04.03.01.98</t>
  </si>
  <si>
    <t>03.04.03.01.99</t>
  </si>
  <si>
    <t>03.04.03.01.100</t>
  </si>
  <si>
    <t>03.04.03.01.101</t>
  </si>
  <si>
    <t>03.04.03.01.102</t>
  </si>
  <si>
    <t>03.04.03.01.103</t>
  </si>
  <si>
    <t>03.04.03.01.104</t>
  </si>
  <si>
    <t>03.04.03.01.105</t>
  </si>
  <si>
    <t>03.04.03.01.106</t>
  </si>
  <si>
    <t>03.04.03.01.107</t>
  </si>
  <si>
    <t>03.04.03.01.108</t>
  </si>
  <si>
    <t>03.04.03.01.109</t>
  </si>
  <si>
    <t>03.04.03.01.110</t>
  </si>
  <si>
    <t>03.04.03.01.111</t>
  </si>
  <si>
    <t>03.04.03.01.112</t>
  </si>
  <si>
    <t>03.04.03.01.113</t>
  </si>
  <si>
    <t>03.04.03.01.114</t>
  </si>
  <si>
    <t>03.04.03.01.115</t>
  </si>
  <si>
    <t>03.04.03.01.116</t>
  </si>
  <si>
    <t>03.04.03.01.117</t>
  </si>
  <si>
    <t>03.04.03.01.118</t>
  </si>
  <si>
    <t>03.04.03.01.119</t>
  </si>
  <si>
    <t>03.04.03.01.120</t>
  </si>
  <si>
    <t>03.04.03.01.121</t>
  </si>
  <si>
    <t>03.04.03.01.122</t>
  </si>
  <si>
    <t>03.04.03.01.123</t>
  </si>
  <si>
    <t>03.04.03.01.124</t>
  </si>
  <si>
    <t>03.04.03.01.125</t>
  </si>
  <si>
    <t>03.04.03.01.126</t>
  </si>
  <si>
    <t>03.04.03.01.127</t>
  </si>
  <si>
    <t>03.04.03.01.128</t>
  </si>
  <si>
    <t>03.04.03.01.129</t>
  </si>
  <si>
    <t>03.04.03.01.130</t>
  </si>
  <si>
    <t>03.04.03.01.131</t>
  </si>
  <si>
    <t>03.04.03.01.132</t>
  </si>
  <si>
    <t>03.04.03.01.133</t>
  </si>
  <si>
    <t>03.04.03.01.134</t>
  </si>
  <si>
    <t>03.04.03.01.135</t>
  </si>
  <si>
    <t>03.04.03.01.136</t>
  </si>
  <si>
    <t>03.04.03.01.137</t>
  </si>
  <si>
    <t>03.04.03.01.138</t>
  </si>
  <si>
    <t>03.04.03.01.139</t>
  </si>
  <si>
    <t>03.04.03.01.140</t>
  </si>
  <si>
    <t>03.04.03.01.141</t>
  </si>
  <si>
    <t>03.04.03.01.142</t>
  </si>
  <si>
    <t>03.04.03.01.143</t>
  </si>
  <si>
    <t>03.04.03.01.144</t>
  </si>
  <si>
    <t>03.04.03.01.145</t>
  </si>
  <si>
    <t>03.04.03.01.146</t>
  </si>
  <si>
    <t>03.04.03.01.147</t>
  </si>
  <si>
    <t>03.04.03.01.148</t>
  </si>
  <si>
    <t>03.04.03.01.149</t>
  </si>
  <si>
    <t>2. Объем работ по Ведомости договорной цены, Техническому заданию и прочим приложениям, соответсвует объему работ, выполняемому Субподрядчиком по данному Договору. Объем работ Субподрядчиком подтвержден, все возможные вновь образуемые непредвиденные затраты в стоимости работ по Договору учтены. Возражения и разногласия к объему и стоимости работ по Договору со стороны Субподрядчика отсутствуют.</t>
  </si>
  <si>
    <t xml:space="preserve">4. В стоимость работ входят затраты на аренду и эксплуатацию башенного крана, подъемников и прочих грузоподъемных механизмов.             </t>
  </si>
  <si>
    <r>
      <rPr>
        <b/>
        <sz val="11"/>
        <color theme="1"/>
        <rFont val="Times New Roman"/>
        <family val="1"/>
        <charset val="204"/>
      </rPr>
      <t>Примечание:</t>
    </r>
    <r>
      <rPr>
        <sz val="11"/>
        <color theme="1"/>
        <rFont val="Times New Roman"/>
        <family val="1"/>
        <charset val="204"/>
      </rPr>
      <t xml:space="preserve">
1. В стоимости работ учтено штробление, бурение отверстий, дюбели, саморезы, анкеры, хомуты и иные сопутствующие материалы (втулки, клеммы, метизы, наконечники, диски, буры, коронки и т.д.), а также необходимые для устройства инженерных систем сопутствующие материалы и изделия - фитинги, фасонные изделия (переходники, втулки, отводы, повороты, тройники, заглушки, вставки, врезки и т.д.), иные затраты на металл, вспомогательные изделия и крепления, хомуты и прочие сопутствующие материалы, необходимые для устройства и эксплуатации системы, устройство проходов инженерных линий через перекрытия (стены, перегородки) (замоноличиваниие гильз, проемы после прокладки систем инженерно-технического обеспечения заделать материалом, обеспечивающим соответствующую огнестойкость строительных конструкций с заделка огнестойкой пеной, с чеканкой с обоих концов цементным раствором), в соответствии с ГОСТ, СП и иными нормативными актами и регламентами (учтен весь комплекс (объем) работ в соотв. с РД), все необходимые затраты (в стоимости работ учтен весь объем и комплекс работ, все затраты на материалы и оборудование (основное и вспомагательное), в т.ч. учтены все затраты на подготовительные, строительно-монтажные, наладочные, пусконаладочные и иные сопутствующие работы) предусмотренные рабочей документацией (проектной, рабочей), а также предусмотренные СП, ГОСТ и другими нормативными актами и регламентами для выполнения комплекса работ по Договору, в т.ч., но не ограничиваясь: эксплуатацию машин и механизмов, стоимость основных и вспомогательных материалов и оборудования, расходы на транспортировку ресурсов, мероприятия по охране труда и технике безопасности, затраты на энергоресурсы для выполнения работ*, накладные плановые накопления, зимнее удорожание, а также полный комплекс мероприятий, необходимого для производства и сдачи выполненных работ: подготовительные, строительно-монтажные, наладочные, пусконаладочные и иные сопутствующие работы, контроль, проведение испытаний, обследования, замеры, изыскания, согласования, сдача, получение разрешений, оформление протоколов, проведение пусконаладочных работ оборудования и систем, а также необходимых испытаний, автоматизацию, настройку с составлением подтверждающей документации, взаимодействие с представиителями Сетевых компаний, Муниципальных служб и иными заинтересованными лицами, прочие работы и иные требуемые мероприятия, необходимые для ввода объекта в эксплуатацию. Все работы произвести с условием "под ключ".</t>
    </r>
  </si>
  <si>
    <t>Всего по объекту, руб.:</t>
  </si>
  <si>
    <t>Генподрядчик: ООО "АТЛАС Констракшн"</t>
  </si>
  <si>
    <t>Генеральный директор_______________________________ / А.М. Семёнов /</t>
  </si>
  <si>
    <t>М.п.</t>
  </si>
  <si>
    <t>ВЕДОМОСТЬ ДОГОВОРНОЙ ЦЕНЫ №1</t>
  </si>
  <si>
    <t>Примечания</t>
  </si>
  <si>
    <t>3 Затраты на энергоресурсы при выполнении строительно-монтажных работ (электроснабжение, теплоснабжение, водоснабжение и т.д.) Субподрядчик возмещает Генподрядчику.</t>
  </si>
  <si>
    <t>Ед. изм.</t>
  </si>
  <si>
    <t>03.04.03.01.150</t>
  </si>
  <si>
    <t>03.04.03.01.151</t>
  </si>
  <si>
    <t>03.04.03.01.152</t>
  </si>
  <si>
    <t>03.04.03.01.153</t>
  </si>
  <si>
    <t>03.04.03.01.154</t>
  </si>
  <si>
    <t>03.04.03.01.155</t>
  </si>
  <si>
    <t>03.04.03.01.156</t>
  </si>
  <si>
    <t>03.04.03.01.157</t>
  </si>
  <si>
    <t>03.04.03.01.158</t>
  </si>
  <si>
    <t>03.04.03.01.159</t>
  </si>
  <si>
    <t>03.04.03.01.160</t>
  </si>
  <si>
    <t>03.04.03.01.161</t>
  </si>
  <si>
    <t>03.04.03.01.162</t>
  </si>
  <si>
    <t>03.04.03.01.163</t>
  </si>
  <si>
    <t>03.04.03.01.164</t>
  </si>
  <si>
    <t>03.04.03.01.165</t>
  </si>
  <si>
    <t>03.04.03.01.166</t>
  </si>
  <si>
    <t>03.04.03.01.167</t>
  </si>
  <si>
    <t>03.04.03.01.168</t>
  </si>
  <si>
    <t>03.04.03.01.169</t>
  </si>
  <si>
    <t>03.04.03.01.170</t>
  </si>
  <si>
    <t>03.04.03.01.171</t>
  </si>
  <si>
    <t>03.04.03.01.172</t>
  </si>
  <si>
    <t>03.04.03.01.173</t>
  </si>
  <si>
    <t>03.04.03.01.174</t>
  </si>
  <si>
    <t>03.04.03.01.175</t>
  </si>
  <si>
    <t>03.04.03.01.176</t>
  </si>
  <si>
    <t>03.04.03.01.177</t>
  </si>
  <si>
    <t>03.04.03.01.178</t>
  </si>
  <si>
    <t>03.04.03.01.179</t>
  </si>
  <si>
    <t>03.04.03.01.182</t>
  </si>
  <si>
    <t>03.04.03.01.183</t>
  </si>
  <si>
    <t>03.04.03.01.184</t>
  </si>
  <si>
    <t>03.04.03.01.186</t>
  </si>
  <si>
    <t>03.04.03.01.187</t>
  </si>
  <si>
    <t>03.04.03.01.188</t>
  </si>
  <si>
    <t>03.04.03.01.189</t>
  </si>
  <si>
    <t>03.04.03.01.190</t>
  </si>
  <si>
    <t>03.04.03.01.191</t>
  </si>
  <si>
    <t>03.04.03.01.192</t>
  </si>
  <si>
    <t>03.04.03.01.193</t>
  </si>
  <si>
    <t>03.04.03.01.194</t>
  </si>
  <si>
    <t>03.04.03.01.195</t>
  </si>
  <si>
    <t>03.04.03.01.197</t>
  </si>
  <si>
    <t>03.04.03.01.198</t>
  </si>
  <si>
    <t>03.04.03.01.199</t>
  </si>
  <si>
    <t>03.04.03.01.200</t>
  </si>
  <si>
    <t>03.04.03.01.201</t>
  </si>
  <si>
    <t>03.04.03.01.202</t>
  </si>
  <si>
    <t>03.04.03.01.203</t>
  </si>
  <si>
    <t>03.04.03.01.204</t>
  </si>
  <si>
    <t>03.04.03.01.205</t>
  </si>
  <si>
    <t>03.04.03.01.206</t>
  </si>
  <si>
    <t>03.04.03.01.207</t>
  </si>
  <si>
    <t>03.04.03.01.208</t>
  </si>
  <si>
    <t>03.04.03.01.209</t>
  </si>
  <si>
    <t>03.04.03.01.210</t>
  </si>
  <si>
    <t>03.04.03.01.211</t>
  </si>
  <si>
    <t>03.04.03.01.212</t>
  </si>
  <si>
    <t>03.04.03.01.213</t>
  </si>
  <si>
    <t>03.04.03.01.214</t>
  </si>
  <si>
    <t>03.04.03.01.215</t>
  </si>
  <si>
    <t>03.04.03.01.216</t>
  </si>
  <si>
    <t>03.04.03.01.217</t>
  </si>
  <si>
    <t>03.04.03.01.218</t>
  </si>
  <si>
    <t>03.04.03.01.219</t>
  </si>
  <si>
    <t>03.04.03.01.220</t>
  </si>
  <si>
    <t>03.04.03.01.221</t>
  </si>
  <si>
    <t>03.04.03.01.222</t>
  </si>
  <si>
    <t>03.04.03.01.223</t>
  </si>
  <si>
    <t>03.04.03.01.224</t>
  </si>
  <si>
    <t>03.04.03.01.225</t>
  </si>
  <si>
    <t>03.04.03.01.226</t>
  </si>
  <si>
    <t>03.04.03.01.227</t>
  </si>
  <si>
    <t>03.04.03.01.228</t>
  </si>
  <si>
    <t>03.04.03.01.229</t>
  </si>
  <si>
    <t>03.04.03.01.230</t>
  </si>
  <si>
    <t>03.04.03.01.231</t>
  </si>
  <si>
    <t>03.04.03.01.232</t>
  </si>
  <si>
    <t>03.04.03.01.233</t>
  </si>
  <si>
    <t>03.04.03.01.234</t>
  </si>
  <si>
    <t>03.04.03.01.235</t>
  </si>
  <si>
    <t>03.04.03.01.236</t>
  </si>
  <si>
    <t>03.04.03.01.237</t>
  </si>
  <si>
    <t>03.04.03.01.238</t>
  </si>
  <si>
    <t>03.04.03.01.239</t>
  </si>
  <si>
    <t>03.04.03.01.240</t>
  </si>
  <si>
    <t>03.04.03.01.241</t>
  </si>
  <si>
    <t>03.04.03.01.242</t>
  </si>
  <si>
    <t>03.04.03.01.243</t>
  </si>
  <si>
    <t>03.04.03.01.244</t>
  </si>
  <si>
    <t>03.04.03.01.245</t>
  </si>
  <si>
    <t>03.04.03.01.246</t>
  </si>
  <si>
    <t>03.04.03.01.247</t>
  </si>
  <si>
    <t>03.04.03.01.248</t>
  </si>
  <si>
    <t>03.04.03.01.249</t>
  </si>
  <si>
    <t>03.04.03.01.250</t>
  </si>
  <si>
    <t>03.04.03.01.251</t>
  </si>
  <si>
    <t>03.04.03.01.252</t>
  </si>
  <si>
    <t>03.04.03.01.253</t>
  </si>
  <si>
    <t>03.04.03.01.254</t>
  </si>
  <si>
    <t>03.04.03.01.255</t>
  </si>
  <si>
    <t>03.04.03.01.256</t>
  </si>
  <si>
    <t>03.04.03.01.257</t>
  </si>
  <si>
    <t>03.04.03.01.258</t>
  </si>
  <si>
    <t>03.04.03.01.259</t>
  </si>
  <si>
    <t>03.04.03.01.260</t>
  </si>
  <si>
    <t>03.04.03.01.261</t>
  </si>
  <si>
    <t>03.04.03.01.262</t>
  </si>
  <si>
    <t>03.04.03.01.263</t>
  </si>
  <si>
    <t>03.04.03.01.264</t>
  </si>
  <si>
    <t>03.04.03.01.265</t>
  </si>
  <si>
    <t>03.04.03.01.266</t>
  </si>
  <si>
    <t>03.04.03.01.267</t>
  </si>
  <si>
    <t>03.04.03.01.268</t>
  </si>
  <si>
    <t>03.04.03.01.269</t>
  </si>
  <si>
    <t>03.04.03.01.270</t>
  </si>
  <si>
    <t>03.04.03.01.271</t>
  </si>
  <si>
    <t>03.04.03.01.272</t>
  </si>
  <si>
    <t>03.04.03.01.273</t>
  </si>
  <si>
    <t>03.04.03.01.274</t>
  </si>
  <si>
    <t>03.04.03.01.275</t>
  </si>
  <si>
    <t>03.04.03.01.276</t>
  </si>
  <si>
    <t>03.04.03.01.277</t>
  </si>
  <si>
    <t>03.04.03.01.278</t>
  </si>
  <si>
    <t>03.04.03.01.279</t>
  </si>
  <si>
    <t>03.04.03.01.280</t>
  </si>
  <si>
    <t>03.04.03.01.281</t>
  </si>
  <si>
    <t>03.04.03.01.282</t>
  </si>
  <si>
    <t>03.04.03.01.283</t>
  </si>
  <si>
    <t>03.04.03.01.284</t>
  </si>
  <si>
    <t>03.04.03.01.285</t>
  </si>
  <si>
    <t>03.04.03.01.286</t>
  </si>
  <si>
    <t>03.04.03.01.287</t>
  </si>
  <si>
    <t>03.04.03.01.185</t>
  </si>
  <si>
    <t>компл</t>
  </si>
  <si>
    <t>м</t>
  </si>
  <si>
    <t>шт</t>
  </si>
  <si>
    <t>кг</t>
  </si>
  <si>
    <t xml:space="preserve">На выполнение работ по монтажу систем отопления и теплоснабжения.         </t>
  </si>
  <si>
    <t>Субподрядчик: ООО «»</t>
  </si>
  <si>
    <t>6.1 - крепежные элементы (хомуты, клипсы, монтажные скобы, зажимы, саморезы, винты, кронштейны, подвесы, неподвижные опоры и иные крепежные изделия) - применить добавочный коэффициент в размере 20% к стоимости материалов трубопроводов.</t>
  </si>
  <si>
    <t>7.1 - крепежные элементы (хомуты, клипсы, монтажные скобы, зажимы, саморезы, винты, кронштейны, подвесы, неподвижные опоры и иные крепежные изделия) - применить добавочный коэффициент в размере 10% к стоимости материалов трубопроводов.</t>
  </si>
  <si>
    <t>Объект:  «Многоэтажный двухсекционный жилой дом со встроенно-пристроенными помещениями общественного назначения и подземной автостоянкой (№ С10, С11, А7, А8 по ПЗУ)», расположенный по адресу: Свердловская область, г. Екатеринбург, в квартале улиц Московской - Щорса - Айвазовского – Циолковского.</t>
  </si>
  <si>
    <t>3</t>
  </si>
  <si>
    <t>Гильза</t>
  </si>
  <si>
    <t>03.04.03.01.288</t>
  </si>
  <si>
    <t>03.04.03.01.289</t>
  </si>
  <si>
    <t>03.04.03.01.290</t>
  </si>
  <si>
    <t>03.04.03.01.291</t>
  </si>
  <si>
    <t>03.04.03.01.292</t>
  </si>
  <si>
    <t>03.04.03.01.293</t>
  </si>
  <si>
    <t>03.04.03.01.294</t>
  </si>
  <si>
    <t>03.04.03.01.295</t>
  </si>
  <si>
    <t>03.04.03.01.296</t>
  </si>
  <si>
    <t>03.04.03.01.297</t>
  </si>
  <si>
    <t>03.04.03.01.298</t>
  </si>
  <si>
    <t>03.04.03.01.299</t>
  </si>
  <si>
    <t>03.04.03.01.300</t>
  </si>
  <si>
    <t>03.04.03.01.301</t>
  </si>
  <si>
    <t>03.04.03.01.302</t>
  </si>
  <si>
    <t>03.04.03.01.303</t>
  </si>
  <si>
    <t>43</t>
  </si>
  <si>
    <t xml:space="preserve"> 5. * - RAL материалов и оборудования МОП принять в соответствии с дизайн-проектом, согласовать с Заказчиком.</t>
  </si>
  <si>
    <t xml:space="preserve"> 6. ** - Все стальные трубопроводы покрыть антикоррозийным составом и окрасить. Если краска и грунт не заложены в ВДЦ, учесть их стоимость в стоимости материала трубопровода.</t>
  </si>
  <si>
    <t>6. *** - В стоимость стальных трубопроводов входят:</t>
  </si>
  <si>
    <t>7. **** - В стоимость полимерных трубопроводов входят:</t>
  </si>
  <si>
    <t>СЕКЦИЯ С11, А8</t>
  </si>
  <si>
    <t>СЕКЦИЯ С10, А7</t>
  </si>
  <si>
    <t>2253</t>
  </si>
  <si>
    <t>364</t>
  </si>
  <si>
    <t>7.2 - теплозащита в части материалов – клей, лента - применить добавочный коэффициент в размере 2% к стоимости материалов трубопроводов.</t>
  </si>
  <si>
    <t>ИТОГО СМР СЕКЦИЯ С11, А8</t>
  </si>
  <si>
    <t>ИТОГО СМР СЕКЦИЯ С10, А7</t>
  </si>
  <si>
    <t>03.04.03.01.304</t>
  </si>
  <si>
    <t>03.04.03.01.305</t>
  </si>
  <si>
    <t>03.04.03.01.306</t>
  </si>
  <si>
    <t>03.04.03.01.307</t>
  </si>
  <si>
    <t>03.04.03.01.308</t>
  </si>
  <si>
    <t>03.04.03.01.309</t>
  </si>
  <si>
    <t>03.04.03.01.310</t>
  </si>
  <si>
    <t>03.04.03.01.311</t>
  </si>
  <si>
    <t>03.04.03.01.312</t>
  </si>
  <si>
    <t>03.04.03.01.313</t>
  </si>
  <si>
    <t>03.04.03.01.314</t>
  </si>
  <si>
    <t>03.04.03.01.315</t>
  </si>
  <si>
    <t>03.04.03.01.316</t>
  </si>
  <si>
    <t>03.04.03.01.317</t>
  </si>
  <si>
    <t>03.04.03.01.318</t>
  </si>
  <si>
    <t>03.04.03.01.319</t>
  </si>
  <si>
    <t>03.04.03.01.320</t>
  </si>
  <si>
    <t>03.04.03.01.321</t>
  </si>
  <si>
    <t>03.04.03.01.322</t>
  </si>
  <si>
    <t>03.04.03.01.323</t>
  </si>
  <si>
    <t>03.04.03.01.324</t>
  </si>
  <si>
    <t>03.04.03.01.325</t>
  </si>
  <si>
    <t>03.04.03.01.326</t>
  </si>
  <si>
    <t>03.04.03.01.327</t>
  </si>
  <si>
    <t>03.04.03.01.328</t>
  </si>
  <si>
    <t>03.04.03.01.329</t>
  </si>
  <si>
    <t>03.04.03.01.330</t>
  </si>
  <si>
    <t>03.04.03.01.331</t>
  </si>
  <si>
    <t>03.04.03.01.332</t>
  </si>
  <si>
    <t>03.04.03.01.333</t>
  </si>
  <si>
    <t>03.04.03.01.334</t>
  </si>
  <si>
    <t>03.04.03.01.335</t>
  </si>
  <si>
    <t>03.04.03.01.336</t>
  </si>
  <si>
    <t>03.04.03.01.337</t>
  </si>
  <si>
    <t>03.04.03.01.338</t>
  </si>
  <si>
    <t>03.04.03.01.339</t>
  </si>
  <si>
    <t>03.04.03.01.340</t>
  </si>
  <si>
    <t>03.04.03.01.341</t>
  </si>
  <si>
    <t>03.04.03.01.342</t>
  </si>
  <si>
    <t>03.04.03.01.343</t>
  </si>
  <si>
    <t>03.04.03.01.344</t>
  </si>
  <si>
    <t>03.04.03.01.345</t>
  </si>
  <si>
    <t>03.04.03.01.346</t>
  </si>
  <si>
    <t>03.04.03.01.347</t>
  </si>
  <si>
    <t>03.04.03.01.348</t>
  </si>
  <si>
    <t>03.04.03.01.349</t>
  </si>
  <si>
    <t>03.04.03.01.350</t>
  </si>
  <si>
    <t>03.04.03.01.351</t>
  </si>
  <si>
    <t>03.04.03.01.352</t>
  </si>
  <si>
    <t>03.04.03.01.353</t>
  </si>
  <si>
    <t>03.04.03.01.354</t>
  </si>
  <si>
    <t>03.04.03.01.355</t>
  </si>
  <si>
    <t>03.04.03.01.356</t>
  </si>
  <si>
    <t>03.04.03.01.357</t>
  </si>
  <si>
    <t>03.04.03.01.358</t>
  </si>
  <si>
    <t>03.04.03.01.359</t>
  </si>
  <si>
    <t>03.04.03.01.360</t>
  </si>
  <si>
    <t>03.04.03.01.361</t>
  </si>
  <si>
    <t>03.04.03.01.362</t>
  </si>
  <si>
    <t>03.04.03.01.363</t>
  </si>
  <si>
    <t>03.04.03.01.364</t>
  </si>
  <si>
    <t>03.04.03.01.365</t>
  </si>
  <si>
    <t>03.04.03.01.366</t>
  </si>
  <si>
    <t>03.04.03.01.367</t>
  </si>
  <si>
    <t>03.04.03.01.368</t>
  </si>
  <si>
    <t>03.04.03.01.369</t>
  </si>
  <si>
    <t>03.04.03.01.370</t>
  </si>
  <si>
    <t>03.04.03.01.371</t>
  </si>
  <si>
    <t>03.04.03.01.372</t>
  </si>
  <si>
    <t>03.04.03.01.373</t>
  </si>
  <si>
    <t>03.04.03.01.374</t>
  </si>
  <si>
    <t>03.04.03.01.375</t>
  </si>
  <si>
    <t>03.04.03.01.376</t>
  </si>
  <si>
    <t>03.04.03.01.377</t>
  </si>
  <si>
    <t>03.04.03.01.378</t>
  </si>
  <si>
    <t>03.04.03.01.379</t>
  </si>
  <si>
    <t>03.04.03.01.380</t>
  </si>
  <si>
    <t>03.04.03.01.381</t>
  </si>
  <si>
    <t>03.04.03.01.382</t>
  </si>
  <si>
    <t>03.04.03.01.383</t>
  </si>
  <si>
    <t>03.04.03.01.384</t>
  </si>
  <si>
    <t>03.04.03.01.385</t>
  </si>
  <si>
    <t>03.04.03.01.386</t>
  </si>
  <si>
    <t>03.04.03.01.387</t>
  </si>
  <si>
    <t>03.04.03.01.388</t>
  </si>
  <si>
    <t>03.04.03.01.389</t>
  </si>
  <si>
    <t>03.04.03.01.390</t>
  </si>
  <si>
    <t>03.04.03.01.391</t>
  </si>
  <si>
    <t>03.04.03.01.392</t>
  </si>
  <si>
    <t>03.04.03.01.393</t>
  </si>
  <si>
    <t>03.04.03.01.394</t>
  </si>
  <si>
    <t>03.04.03.01.395</t>
  </si>
  <si>
    <t>03.04.03.01.396</t>
  </si>
  <si>
    <t>03.04.03.01.397</t>
  </si>
  <si>
    <t>03.04.03.01.398</t>
  </si>
  <si>
    <t>03.04.03.01.399</t>
  </si>
  <si>
    <t>03.04.03.01.400</t>
  </si>
  <si>
    <t>03.04.03.01.401</t>
  </si>
  <si>
    <t>03.04.03.01.402</t>
  </si>
  <si>
    <t>03.04.03.01.403</t>
  </si>
  <si>
    <t>03.04.03.01.404</t>
  </si>
  <si>
    <t>03.04.03.01.405</t>
  </si>
  <si>
    <t>03.04.03.01.406</t>
  </si>
  <si>
    <t>03.04.03.01.407</t>
  </si>
  <si>
    <t>03.04.03.01.408</t>
  </si>
  <si>
    <t>03.04.03.01.409</t>
  </si>
  <si>
    <t>03.04.03.01.410</t>
  </si>
  <si>
    <t>03.04.03.01.411</t>
  </si>
  <si>
    <t>03.04.03.01.412</t>
  </si>
  <si>
    <t>03.04.03.01.413</t>
  </si>
  <si>
    <t>03.04.03.01.414</t>
  </si>
  <si>
    <t>03.04.03.01.415</t>
  </si>
  <si>
    <t>03.04.03.01.416</t>
  </si>
  <si>
    <t>03.04.03.01.417</t>
  </si>
  <si>
    <t>03.04.03.01.418</t>
  </si>
  <si>
    <t>03.04.03.01.419</t>
  </si>
  <si>
    <t>03.04.03.01.420</t>
  </si>
  <si>
    <t>03.04.03.01.421</t>
  </si>
  <si>
    <t>03.04.03.01.422</t>
  </si>
  <si>
    <t>03.04.03.01.423</t>
  </si>
  <si>
    <t>03.04.03.01.424</t>
  </si>
  <si>
    <t>03.04.03.01.425</t>
  </si>
  <si>
    <t>03.04.03.01.426</t>
  </si>
  <si>
    <t>03.04.03.01.427</t>
  </si>
  <si>
    <t>03.04.03.01.428</t>
  </si>
  <si>
    <t>03.04.03.01.429</t>
  </si>
  <si>
    <t>03.04.03.01.430</t>
  </si>
  <si>
    <t>03.04.03.01.431</t>
  </si>
  <si>
    <t>03.04.03.01.432</t>
  </si>
  <si>
    <t>03.04.03.01.433</t>
  </si>
  <si>
    <t>03.04.03.01.434</t>
  </si>
  <si>
    <t>03.04.03.01.435</t>
  </si>
  <si>
    <t>03.04.03.01.436</t>
  </si>
  <si>
    <t>03.04.03.01.437</t>
  </si>
  <si>
    <t>03.04.03.01.438</t>
  </si>
  <si>
    <t>03.04.03.01.439</t>
  </si>
  <si>
    <t>03.04.03.01.440</t>
  </si>
  <si>
    <t>03.04.03.01.441</t>
  </si>
  <si>
    <t>03.04.03.01.442</t>
  </si>
  <si>
    <t>03.04.03.01.443</t>
  </si>
  <si>
    <t>03.04.03.01.444</t>
  </si>
  <si>
    <t>03.04.03.01.445</t>
  </si>
  <si>
    <t>03.04.03.01.446</t>
  </si>
  <si>
    <t>03.04.03.01.447</t>
  </si>
  <si>
    <t>03.04.03.01.448</t>
  </si>
  <si>
    <t>03.04.03.01.449</t>
  </si>
  <si>
    <t>03.04.03.01.450</t>
  </si>
  <si>
    <t>03.04.03.01.451</t>
  </si>
  <si>
    <t>03.04.03.01.452</t>
  </si>
  <si>
    <t>03.04.03.01.453</t>
  </si>
  <si>
    <t>03.04.03.01.454</t>
  </si>
  <si>
    <t>03.04.03.01.455</t>
  </si>
  <si>
    <t>03.04.03.01.456</t>
  </si>
  <si>
    <t>03.04.03.01.457</t>
  </si>
  <si>
    <t>03.04.03.01.458</t>
  </si>
  <si>
    <t>Жилая часть. Монтаж. Конверктор напольный Элегант плюс 230x250x700 4то, с термоклапаном, с нижним подключением, на ножках фиксированной высоты со встроенным термостатическим клапаном.  KZTO</t>
  </si>
  <si>
    <t>Жилая часть. Монтаж. Конверктор напольный Элегант плюс 230x250x800 4то, с термоклапаном, с нижним подключением, на ножках фиксированной высоты со встроенным термостатическим клапаном.  KZTO</t>
  </si>
  <si>
    <t>Жилая часть. Монтаж. Конверктор напольный Элегант плюс 230x250x1000 4то, с термоклапаном, с нижним подключением, на ножках фиксированной высоты со встроенным термостатическим клапаном.  KZTO</t>
  </si>
  <si>
    <t>Жилая часть. Монтаж. Конверктор напольный Элегант плюс 230x250x1500 4то, с термоклапаном, с нижним подключением, на ножках фиксированной высоты со встроенным термостатическим клапаном.  KZTO</t>
  </si>
  <si>
    <t>Жилая часть. Монтаж. Радиатор с боковым подключением  22-300-600 FK0220306W02, со встроенным воздухоотводчиком Profil K Kermi</t>
  </si>
  <si>
    <t>Жилая часть. Монтаж. Радиатор с боковым подключением  22-300-700 FK0220307W02, со встроенным воздухоотводчиком Profil K Kermi</t>
  </si>
  <si>
    <t>Жилая часть. Монтаж. Радиатор с боковым подключением  22-300-700 L FK0220307W02, со встроенным воздухоотводчиком Profil K Kermi</t>
  </si>
  <si>
    <t>Жилая часть. Монтаж. Радиатор с боковым подключением  33-300-700 FK0330307W02, со встроенным воздухоотводчиком Profil K Kermi</t>
  </si>
  <si>
    <t>Жилая часть. Монтаж. Радиатор с боковым подключением  33-300-700 L FK0330307W02, со встроенным воздухоотводчиком Profil K Kermi</t>
  </si>
  <si>
    <t>Жилая часть. Монтаж. Радиатор с боковым подключением  33-300-1400 FK0330314W02, со встроенным воздухоотводчиком Profil K Kermi</t>
  </si>
  <si>
    <t>Жилая часть. Монтаж. Радиатор с боковым подключением  33-500-900 FK0330509W02, со встроенным воздухоотводчиком Profil K Kermi</t>
  </si>
  <si>
    <t>Жилая часть. Монтаж. Радиатор с нижним подключением 11-300-700 FTV110300701R2Z, с термостатическим вентилем, со встроенным воздухоотводчиком Profil V,  Kermi</t>
  </si>
  <si>
    <t>Жилая часть. Монтаж. Радиатор с нижним подключением 11-300-900 FTV110300901R2Z, с термостатическим вентилем, со встроенным воздухоотводчиком Profil V,  Kermi</t>
  </si>
  <si>
    <t>Жилая часть. Монтаж. Радиатор с нижним подключением 11-300-1000 FTV110301001R2Z, с термостатическим вентилем, со встроенным воздухоотводчиком Profil V,  Kermi</t>
  </si>
  <si>
    <t>Жилая часть. Монтаж. Радиатор с нижним подключением 11-300-1100 FTV110301101R2Z, с термостатическим вентилем, со встроенным воздухоотводчиком Profil V,  Kermi</t>
  </si>
  <si>
    <t>Жилая часть. Монтаж. Радиатор с нижним подключением 11-300-1200 FTV110301201R2Z, с термостатическим вентилем, со встроенным воздухоотводчиком Profil V,  Kermi</t>
  </si>
  <si>
    <t>Жилая часть. Монтаж. Радиатор с нижним подключением 11-300-1300 FTV110301301R2Z, с термостатическим вентилем, со встроенным воздухоотводчиком Profil V,  Kermi</t>
  </si>
  <si>
    <t>Жилая часть. Монтаж. Радиатор с нижним подключением 11-300-1400 FTV110301401R2Z, с термостатическим вентилем, со встроенным воздухоотводчиком Profil V,  Kermi</t>
  </si>
  <si>
    <t>Жилая часть. Монтаж. Радиатор с нижним подключением 11-300-1600 FTV110301601R2Z, с термостатическим вентилем, со встроенным воздухоотводчиком Profil V,  Kermi</t>
  </si>
  <si>
    <t>Жилая часть. Монтаж. Радиатор с нижним подключением 22-300-600 FTV220300601R2Z, с термостатическим вентилем, со встроенным воздухоотводчиком Profil V,  Kermi</t>
  </si>
  <si>
    <t>Жилая часть. Монтаж. Радиатор с нижним подключением 22-300-700 FTV220300701R2Z, с термостатическим вентилем, со встроенным воздухоотводчиком Profil V,  Kermi</t>
  </si>
  <si>
    <t>Жилая часть. Монтаж. Радиатор с нижним подключением 22-300-1000 FTV220301001R2Z, с термостатическим вентилем, со встроенным воздухоотводчиком Profil V,  Kermi</t>
  </si>
  <si>
    <t>Жилая часть. Монтаж. Радиатор с нижним подключением 22-300-1100 FTV220301101R2Z, с термостатическим вентилем, со встроенным воздухоотводчиком Profil V,  Kermi</t>
  </si>
  <si>
    <t>Жилая часть. Монтаж. Радиатор с нижним подключением 22-300-1200 FTV220301201R2Z, с термостатическим вентилем, со встроенным воздухоотводчиком Profil V,  Kermi</t>
  </si>
  <si>
    <t>Жилая часть. Монтаж. Радиатор с нижним подключением 22-300-1300 FTV220301301R2Z, с термостатическим вентилем, со встроенным воздухоотводчиком Profil V,  Kermi</t>
  </si>
  <si>
    <t>Жилая часть. Монтаж. Радиатор с нижним подключением 22-300-1400 FTV220301401R2Z, с термостатическим вентилем, со встроенным воздухоотводчиком Profil V,  Kermi</t>
  </si>
  <si>
    <t>Жилая часть. Монтаж. Радиатор с нижним подключением 22-300-1600 FTV220301601R2Z, с термостатическим вентилем, со встроенным воздухоотводчиком Profil V,  Kermi</t>
  </si>
  <si>
    <t>Жилая часть. Монтаж. Радиатор с нижним подключением 33-300-1000 FTV330301001R2Z, с термостатическим вентилем, со встроенным воздухоотводчиком Profil V,  Kermi</t>
  </si>
  <si>
    <t>Жилая часть. Монтаж. Радиатор с нижним подключением 33-300-1200 FTV330301201R2Z, с термостатическим вентилем, со встроенным воздухоотводчиком Profil V,  Kermi</t>
  </si>
  <si>
    <t>Жилая часть. Монтаж. Радиатор с нижним подключением 33-300-1300 FTV330301301R2Z, с термостатическим вентилем, со встроенным воздухоотводчиком Profil V,  Kermi</t>
  </si>
  <si>
    <t>Жилая часть. Монтаж. Электрический конвектор Ballu ENZO BEC/EZER-1000  BALLU</t>
  </si>
  <si>
    <t>Жилая часть. Монтаж. Электрический конвектор Ballu ENZO BEC/EZER-2000  BALLU</t>
  </si>
  <si>
    <t xml:space="preserve">Жилая часть. Монтаж. Автоматический воздухоотводчик DN15   </t>
  </si>
  <si>
    <t>Жилая часть. Монтаж. Клапан терморегулирующий РИДан TR-N ду15, прямой TR-N Ду15 прямой 013G7014R Ридан</t>
  </si>
  <si>
    <t>Жилая часть. Монтаж. Клапан термостатический прямой с предварительной настройкой РИД-TR-N-П, DN 15 РИД-TR-N-П  Ридан</t>
  </si>
  <si>
    <t>Жилая часть. Монтаж. Кран шаровый латунный c внутренней резьбой LD Pride 47.15.В-В.Р  LD</t>
  </si>
  <si>
    <t>Жилая часть. Монтаж. Кран шаровый полнопроходной, ручка бабочка, с внутренней резьбой, DN 15 LD Pride 47.15.В-В.Б  LD</t>
  </si>
  <si>
    <t>Жилая часть. Монтаж. Термостатическая головка SANEXT TH SANEXT TH M30 x1.5 6901 SANEXT</t>
  </si>
  <si>
    <t>Жилая часть. Монтаж. Термостатический элемент TR 84 TR 84  Ридан</t>
  </si>
  <si>
    <t xml:space="preserve">Жилая часть. Монтаж. Труба стальная 25х3.2 длиной 400мм ГОСТ 3262-75  </t>
  </si>
  <si>
    <t xml:space="preserve">Жилая часть. Монтаж. Труба стальная 32х3.2 длиной 400мм ГОСТ 3262-75  </t>
  </si>
  <si>
    <t xml:space="preserve">Жилая часть. Монтаж. Труба стальная 40х3.5 длиной 400мм ГОСТ 3262-75  </t>
  </si>
  <si>
    <t xml:space="preserve">Жилая часть. Монтаж. Труба стальная 40х3.5 длиной 500мм ГОСТ 3262-75  </t>
  </si>
  <si>
    <t xml:space="preserve">Жилая часть. Монтаж. Труба стальная 57х3.0 длиной 400мм ГОСТ 10704-91  </t>
  </si>
  <si>
    <t xml:space="preserve">Жилая часть. Монтаж. Труба стальная 76х3.0 длиной 400мм ГОСТ 10704-91  </t>
  </si>
  <si>
    <t xml:space="preserve">Жилая часть. Монтаж. Труба стальная 89х3.5 длиной 400мм ГОСТ 10704-91  </t>
  </si>
  <si>
    <t xml:space="preserve">Жилая часть. Монтаж. Труба стальная 108х4.0 длиной 400мм ГОСТ 10704-91  </t>
  </si>
  <si>
    <t>Жилая часть. Монтаж. Узел нижнего подключения РИД-LV-KB-П прямой для двухтрубных систем, подключение к радиатору НР 1/2''   Ридан</t>
  </si>
  <si>
    <t>Жилая часть. Монтаж. Узел нижнего подключения РИД-LV-KB-У угловой для двухтрубных систем, подключение к радиатору НР 1/2"   Ридан</t>
  </si>
  <si>
    <t xml:space="preserve">Жилая часть. Монтаж. Фильтр сетчатый муфтовый косой DN20   </t>
  </si>
  <si>
    <t>Жилая часть. Монтаж. Узел теплого пола на 5 выходов, левый   Valtec</t>
  </si>
  <si>
    <t xml:space="preserve">Жилая часть. Монтаж. Кран шаровой VALTEC BASE с полусгоном, 1"  VT.227.N.06 </t>
  </si>
  <si>
    <t xml:space="preserve">Жилая часть. Монтаж. Насосно-смесительный узел для теплого пола VALTEC COMBI.0  VT.COMBI.0.180M </t>
  </si>
  <si>
    <t xml:space="preserve">Жилая часть. Монтаж. Коллекторный блок из нержавеющей стали с регулирующими клапанами и расходомерами, 1", 5 х 3/4", "евроконус"  VTc.596.EMNX.0607 </t>
  </si>
  <si>
    <t xml:space="preserve">Жилая часть. Монтаж. Кран дренажный, 1/2"  VT.430.N.04 </t>
  </si>
  <si>
    <t xml:space="preserve">Жилая часть. Монтаж. Тройник коллекторный, 1" х 1/2" х 1/2"  VTc.530.N.060404 </t>
  </si>
  <si>
    <t xml:space="preserve">Жилая часть. Монтаж. Клапан отсекающий 1/2"  VT.539.NO.04 </t>
  </si>
  <si>
    <t xml:space="preserve">Жилая часть. Монтаж. Воздухоотводчик автоматический вертикальный 1/2"  VT.502.NV.04 </t>
  </si>
  <si>
    <t xml:space="preserve">Жилая часть. Монтаж. Насос циркуляционный VRS 25/4-180  VRS.254.18.0 </t>
  </si>
  <si>
    <t xml:space="preserve">Жилая часть. Монтаж. Комплект расходных материалов №4, для сборки узлов  SMAN4 </t>
  </si>
  <si>
    <t xml:space="preserve">Жилая часть. Монтаж. Кран шаровой полнопроходной DN20   </t>
  </si>
  <si>
    <t>Жилая часть. Монтаж. Клапан ручной балансировочный MNT-R, DN20 MNT-R DN20 003Z2332R Ридан</t>
  </si>
  <si>
    <t xml:space="preserve">Жилая часть. Монтаж. Шаровой кран для подключения датчика температуры, DN20  187F0592 </t>
  </si>
  <si>
    <t>Жилая часть. Монтаж. Кран шаровый латунный внутренняя резьба/внутренняя резьба, DN20 BVR-R 065B8208R Ридан</t>
  </si>
  <si>
    <t>Жилая часть. Монтаж. Теплосчетчик механический Пульсар с импульсным выходом, интерфейс RS485 DN15 Н00003768 PLSR-90685512 ООО 'НПП Тепловодохран'</t>
  </si>
  <si>
    <t xml:space="preserve">Жилая часть. Монтаж. Обратный коллектор DN 50 мм на 2 врезки   </t>
  </si>
  <si>
    <t xml:space="preserve">Жилая часть. Монтаж. Подающий коллектор DN 50 мм на 2 врезки   </t>
  </si>
  <si>
    <t>Жилая часть. Монтаж. Клапан автоматический балансировочный APT-R3, DN15 APT-R3 003Z5703 Ридан</t>
  </si>
  <si>
    <t xml:space="preserve">Жилая часть. Монтаж. Кран воздушный конструкции Маевского DN15, Ру=1.0МПо, Т=110 C   </t>
  </si>
  <si>
    <t>Жилая часть. Монтаж. Клапан ручной балансировочный MNT-R, DN15 MNT-R DN15 003Z2331R Ридан</t>
  </si>
  <si>
    <t xml:space="preserve">Жилая часть. Монтаж. Шаровой кран для подключения датчика температуры, DN15  187F0593 </t>
  </si>
  <si>
    <t>Жилая часть. Монтаж. Кран шаровый латунный внутренняя резьба/внутренняя резьба, DN15 BVR-R 065B8207R Ридан</t>
  </si>
  <si>
    <t xml:space="preserve">Жилая часть. Монтаж. Обратный коллектор DN 50 мм на 3 врезки   </t>
  </si>
  <si>
    <t xml:space="preserve">Жилая часть. Монтаж. Подающий коллектор DN 50 мм на 3 врезки   </t>
  </si>
  <si>
    <t xml:space="preserve">Жилая часть. Монтаж. Кран воздушный конструкции Маевского DN15, Ру=1.0МПа, Т=110 C   </t>
  </si>
  <si>
    <t xml:space="preserve">Жилая часть. Монтаж. Кран воздушный конструкции Маевского DN15, Py^ON^, Т=110 C   </t>
  </si>
  <si>
    <t xml:space="preserve">Жилая часть. Монтаж. Кран воздушный конструкции Маевского DN15, Py=1.0МПa, Т=110 C   </t>
  </si>
  <si>
    <t xml:space="preserve">Жилая часть. Монтаж. Кран шаровой полнопроходной DN25   </t>
  </si>
  <si>
    <t xml:space="preserve">Жилая часть. Монтаж. Фильтр сетчатый муфтовый косой DN25   </t>
  </si>
  <si>
    <t>Жилая часть. Монтаж. Клапан ручной балансировочный MNT-R, DN25 MNT-R DN25 003Z2333R Ридан</t>
  </si>
  <si>
    <t xml:space="preserve">Жилая часть. Монтаж. Шаровой кран для подключения датчика температуры, DN25  187F0591 </t>
  </si>
  <si>
    <t>Жилая часть. Монтаж. Кран шаровый латунный внутренняя резьба/внутренняя резьба, DN25 BVR-R 065B8209R Ридан</t>
  </si>
  <si>
    <t>Жилая часть. Монтаж. Клапан автоматический балансировочный APT-R3, DN20 APT-R3 003Z5703 Ридан</t>
  </si>
  <si>
    <t xml:space="preserve">Жилая часть. Монтаж. Обратный коллектор DN 50 мм на 4 врезки   </t>
  </si>
  <si>
    <t xml:space="preserve">Жилая часть. Монтаж. Подающий коллектор DN 50 мм на 4 врезки   </t>
  </si>
  <si>
    <t xml:space="preserve">Жилая часть. Монтаж. Кран шаровый латунный внутренняя резьба/внутренняя резьба, DN25 BVR-R 065B8209R </t>
  </si>
  <si>
    <t xml:space="preserve">Жилая часть. Монтаж. Обратный коллектор DN 50 мм на 5 врезок   </t>
  </si>
  <si>
    <t xml:space="preserve">Жилая часть. Монтаж. Подающий коллектор DN 50 мм на 5 врезок   </t>
  </si>
  <si>
    <t xml:space="preserve">Жилая часть. Монтаж. Труба из сшитого полиэтилена Ф 16x2.2  SANEXT </t>
  </si>
  <si>
    <t xml:space="preserve">Жилая часть. Монтаж. Труба из сшитого полиэтилена Ф 20x2.8  SANEXT </t>
  </si>
  <si>
    <t xml:space="preserve">Жилая часть. Монтаж. Труба из сшитого полиэтилена Ф 25x3.5  SANEXT </t>
  </si>
  <si>
    <t xml:space="preserve">Жилая часть. Монтаж. Труба стальная водогазопроводная Ф 15   </t>
  </si>
  <si>
    <t xml:space="preserve">Жилая часть. Монтаж. Труба стальная водогазопроводная Ф 20   </t>
  </si>
  <si>
    <t xml:space="preserve">Жилая часть. Монтаж. Труба стальная водогазопроводная Ф 25   </t>
  </si>
  <si>
    <t xml:space="preserve">Жилая часть. Монтаж. Труба стальная водогазопроводная Ф 32   </t>
  </si>
  <si>
    <t xml:space="preserve">Жилая часть. Монтаж. Труба стальная водогазопроводная Ф 40   </t>
  </si>
  <si>
    <t xml:space="preserve">Жилая часть. Монтаж. Труба стальная электросварная прямошовная 57x3.5   </t>
  </si>
  <si>
    <t xml:space="preserve">Жилая часть. Монтаж. Труба стальная электросварная прямошовная 76x3.5   </t>
  </si>
  <si>
    <t xml:space="preserve">Жилая часть. Монтаж. Вырезные цилиндры из минеральной ваты толщиной 30мм для Ф15 ISOTEC Shell 22/30-2  </t>
  </si>
  <si>
    <t xml:space="preserve">Жилая часть. Монтаж. Вырезные цилиндры из минеральной ваты толщиной 30мм для Ф20 ISOTEC Shell 28/30-2  </t>
  </si>
  <si>
    <t xml:space="preserve">Жилая часть. Монтаж. Вырезные цилиндры из минеральной ваты толщиной 30мм для Ф25 ISOTEC Shell 35/30-2  </t>
  </si>
  <si>
    <t xml:space="preserve">Жилая часть. Монтаж. Вырезные цилиндры из минеральной ваты толщиной 30мм для Ф57x3.5 ISOTEC Shell 57/30-2  </t>
  </si>
  <si>
    <t xml:space="preserve">Жилая часть. Монтаж. Вырезные цилиндры из минеральной ваты толщиной 30мм для Ф76x3.5 ISOTEC Shell 76/30-2  </t>
  </si>
  <si>
    <t xml:space="preserve">Жилая часть. Монтаж. Вырезные цилиндры из минеральной ваты толщиной 50мм для Ф15 ISOTEC Shell 22/50-2  </t>
  </si>
  <si>
    <t xml:space="preserve">Жилая часть. Монтаж. Кожух гофрированный красного цвета для труб Ф16 мм Usystems Teck кожух красный 16/11.6  </t>
  </si>
  <si>
    <t xml:space="preserve">Жилая часть. Монтаж. Кожух гофрированный красного цвета для труб Ф20 мм Usystems Teck кожух красный 20/14.4  </t>
  </si>
  <si>
    <t xml:space="preserve">Жилая часть. Монтаж. Кожух гофрированный красного цвета для труб Ф25 мм Usystems Teck кожух красный 25/18  </t>
  </si>
  <si>
    <t xml:space="preserve">Жилая часть. Монтаж. Кожух гофрированный синего цвета для труб Ф16 мм Usystems Teck кожух синий 16/11.6  </t>
  </si>
  <si>
    <t xml:space="preserve">Жилая часть. Монтаж. Кожух гофрированный синего цвета для труб Ф20 мм Usystems Teck кожух синий 20/14.4  </t>
  </si>
  <si>
    <t xml:space="preserve">Жилая часть. Монтаж. Кожух гофрированный синего цвета для труб Ф25 мм Usystems Teck кожух синий 25/18  </t>
  </si>
  <si>
    <t xml:space="preserve">Жилая часть. Монтаж. Трубки из вспененного каучука в защитной оболочке красного цвета толщиной 9мм для Ф16 K-FLEX PE COMPACT Red 16/9-2  </t>
  </si>
  <si>
    <t xml:space="preserve">Жилая часть. Монтаж. Трубки из вспененного каучука в защитной оболочке красного цвета толщиной 9мм для Ф20 K-FLEX PE COMPACT Red 28/9-2  </t>
  </si>
  <si>
    <t xml:space="preserve">Жилая часть. Монтаж. Трубки из вспененного каучука в защитной оболочке красного цвета толщиной 9мм для Ф25 K-FLEX PE COMPACT Red 35/9-2  </t>
  </si>
  <si>
    <t xml:space="preserve">Жилая часть. Монтаж. Трубки из вспененного каучука в защитной оболочке синего цвета толщиной 9мм для Ф16 K-FLEX PE COMPACT Blue 16/9-2  </t>
  </si>
  <si>
    <t xml:space="preserve">Жилая часть. Монтаж. Трубки из вспененного каучука в защитной оболочке синего цвета толщиной 9мм для Ф20 K-FLEX PE COMPACT Blue 28/9-2  </t>
  </si>
  <si>
    <t xml:space="preserve">Жилая часть. Монтаж. Трубки из вспененного каучука в защитной оболочке синего цвета толщиной 9мм для Ф25 K-FLEX PE COMPACT Blue 35/9-2  </t>
  </si>
  <si>
    <t xml:space="preserve">Жилая часть. Монтаж. Трубки из вспененного каучука толщиной 19мм для Ф20 K-FLEX ST 28/19-2  </t>
  </si>
  <si>
    <t xml:space="preserve">Жилая часть. Монтаж. Трубки из вспененного каучука толщиной 19мм для Ф25 K-FLEX ST 35/19-2  </t>
  </si>
  <si>
    <t xml:space="preserve">Жилая часть. Монтаж. Трубки из вспененного каучука толщиной 19мм для Ф32 K-FLEX ST 42/19-2  </t>
  </si>
  <si>
    <t xml:space="preserve">Жилая часть. Монтаж. Трубки из вспененного каучука толщиной 19мм для Ф40 K-FLEX ST 48/19-2  </t>
  </si>
  <si>
    <t xml:space="preserve">Жилая часть. Монтаж. Трубки из вспененного каучука толщиной 19мм для Ф57x3.5 K-FLEX ST 57/19-2  </t>
  </si>
  <si>
    <t xml:space="preserve">Жилая часть. Монтаж. Трубки из вспененного каучука толщиной 19мм для Ф76x3.5 K-FLEX ST 76/19-2  </t>
  </si>
  <si>
    <t>Офис. часть. Монтаж. Конверктор напольный Элегант плюс 230x250x900 4то, с термоклапаном, с нижним подключением, на ножках фиксированной высоты со встроенным термостатическим клапаном.  KZTO</t>
  </si>
  <si>
    <t>Офис. часть. Монтаж. Конверктор напольный Элегант плюс 230x250x1200 4то, с термоклапаном, с нижним подключением, на ножках фиксированной высоты со встроенным термостатическим клапаном.  KZTO</t>
  </si>
  <si>
    <t>Офис. часть. Монтаж. Конверктор напольный Элегант плюс 230x250x1300 4то, с термоклапаном, с нижним подключением, на ножках фиксированной высоты со встроенным термостатическим клапаном.  KZTO</t>
  </si>
  <si>
    <t>Офис. часть. Монтаж. Конверктор напольный Элегант плюс 230x250x1400 4то, с термоклапаном, с нижним подключением, на ножках фиксированной высоты со встроенным термостатическим клапаном.  KZTO</t>
  </si>
  <si>
    <t>Офис. часть. Монтаж. Конверктор напольный Элегант плюс 230x250x1600 4то, с термоклапаном, с нижним подключением, на ножках фиксированной высоты со встроенным термостатическим клапаном.  KZTO</t>
  </si>
  <si>
    <t>Офис. часть. Монтаж. Конверктор напольный Элегант плюс 230x250x2000 4то, с термоклапаном, с нижним подключением, на ножках фиксированной высоты со встроенным термостатическим клапаном.  KZTO</t>
  </si>
  <si>
    <t>Офис. часть. Монтаж. Радиатор с боковым подключением  33-300-700 FK0330307W02, со встроенным воздухоотводчиком Profil K Kermi</t>
  </si>
  <si>
    <t>Офис. часть. Монтаж. Радиатор с боковым подключением  33-300-800 L FK0330308W02, со встроенным воздухоотводчиком Profil K Kermi</t>
  </si>
  <si>
    <t>Офис. часть. Монтаж. Радиатор с боковым подключением  33-300-900 FK0330309W02, со встроенным воздухоотводчиком Profil K Kermi</t>
  </si>
  <si>
    <t>Офис. часть. Монтаж. Радиатор с боковым подключением  33-300-900 L FK0330309W02, со встроенным воздухоотводчиком Profil K Kermi</t>
  </si>
  <si>
    <t>Офис. часть. Монтаж. Радиатор с нижним подключением 22-300-800 FTV220300801R2Z, с термостатическим вентилем, со встроенным воздухоотводчиком Profil V,  Kermi</t>
  </si>
  <si>
    <t>Офис. часть. Монтаж. Радиатор с нижним подключением 22-300-900 FTV220300901R2Z, с термостатическим вентилем, со встроенным воздухоотводчиком Profil V,  Kermi</t>
  </si>
  <si>
    <t>Офис. часть. Монтаж. Радиатор с нижним подключением 22-300-1200 FTV220301201R2Z, с термостатическим вентилем, со встроенным воздухоотводчиком Profil V,  Kermi</t>
  </si>
  <si>
    <t>Офис. часть. Монтаж. Радиатор с нижним подключением 22-300-1300 FTV220301301R2Z, с термостатическим вентилем, со встроенным воздухоотводчиком Profil V,  Kermi</t>
  </si>
  <si>
    <t>Офис. часть. Монтаж. Радиатор с нижним подключением 22-300-1400 FTV220301401R2Z, с термостатическим вентилем, со встроенным воздухоотводчиком Profil V,  Kermi</t>
  </si>
  <si>
    <t>Офис. часть. Монтаж. Радиатор с нижним подключением 22-300-1600 FTV220301601R2Z, с термостатическим вентилем, со встроенным воздухоотводчиком Profil V,  Kermi</t>
  </si>
  <si>
    <t>Офис. часть. Монтаж. Радиатор с нижним подключением 22-300-1800 FTV220301801R2Z, с термостатическим вентилем, со встроенным воздухоотводчиком Profil V,  Kermi</t>
  </si>
  <si>
    <t>Офис. часть. Монтаж. Радиатор с нижним подключением 33-300-800 FTV330300801R2Z, с термостатическим вентилем, со встроенным воздухоотводчиком Profil V,  Kermi</t>
  </si>
  <si>
    <t>Офис. часть. Монтаж. Радиатор с нижним подключением 33-300-900 FTV330300901R2Z, с термостатическим вентилем, со встроенным воздухоотводчиком Profil V,  Kermi</t>
  </si>
  <si>
    <t>Офис. часть. Монтаж. Радиатор с нижним подключением 33-300-1000 FTV330301001R2Z, с термостатическим вентилем, со встроенным воздухоотводчиком Profil V,  Kermi</t>
  </si>
  <si>
    <t>Офис. часть. Монтаж. Радиатор с нижним подключением 33-300-1100 FTV330301101R2Z, с термостатическим вентилем, со встроенным воздухоотводчиком Profil V,  Kermi</t>
  </si>
  <si>
    <t>Офис. часть. Монтаж. Радиатор с нижним подключением 33-300-1200 FTV330301201R2Z, с термостатическим вентилем, со встроенным воздухоотводчиком Profil V,  Kermi</t>
  </si>
  <si>
    <t>Офис. часть. Монтаж. Радиатор с нижним подключением 33-300—1600 FTV330301601R2Z, с термостатическим вентилем, со встроенным воздухоотводчиком Profil V,  Kermi</t>
  </si>
  <si>
    <t>Офис. часть. Монтаж. Электрический конвектор Ballu ENZO BEC/EZER—1500  BALLU</t>
  </si>
  <si>
    <t>Офис. часть. Монтаж. Электрический конвектор Ballu ENZO BEC/EZER—2000  BALLU</t>
  </si>
  <si>
    <t>Офис. часть. Монтаж. Электрический конвектор Ballu IP 54 BEC/CMR—2000  BALLU</t>
  </si>
  <si>
    <t xml:space="preserve">Офис. часть. Монтаж. Автоматический воздухоотводчик DN15   </t>
  </si>
  <si>
    <t>Офис. часть. Монтаж. Клапан автоматический балансировочный APT-R, диапазон настройки 5-35 кПа, DN15, PN16, Tmax=120°C APT-R (5-35 кПа) DN15 003Z5701R Ридан</t>
  </si>
  <si>
    <t>Офис. часть. Монтаж. Клапан автоматический балансировочный APT-R, диапазон настройки 5-35 кПа, DN20, PN20, Tmax=120°C APT-R (5-35 кПа) DN20 003Z5702R Ридан</t>
  </si>
  <si>
    <t>Офис. часть. Монтаж. Клапан терморегулирующий РИДан TR-N ду15, прямой TR-N Ду15 прямой 013G7014R Ридан</t>
  </si>
  <si>
    <t>Офис. часть. Монтаж. Клапан термостатический прямой с предварительной настройкой РИД-TR-N-П, DN 15 РИД-TR-N-П  Ридан</t>
  </si>
  <si>
    <t>Офис. часть. Монтаж. Кран шаровой для монтажа термодатчика DN20 DN20 Н00002391 Пульсар</t>
  </si>
  <si>
    <t>Офис. часть. Монтаж. Кран шаровый латунный c внутренней резьбой LD Pride 47.15.В-В.Р  LD</t>
  </si>
  <si>
    <t>Офис. часть. Монтаж. Кран шаровый латунный c внутренней резьбой LD Pride 47.20.В-В.Р  LD</t>
  </si>
  <si>
    <t>Офис. часть. Монтаж. Кран шаровый латунный c внутренней резьбой LD Pride 47.25.В-В.Р  LD</t>
  </si>
  <si>
    <t>Офис. часть. Монтаж. Кран шаровый полнопроходной, ручка бабочка, с внутренней резьбой, DN 15 LD Pride 47.15.В-В.Б  LD</t>
  </si>
  <si>
    <t>Офис. часть. Монтаж. Теплосчетчик механический Пульсар с импульсным выходом, интерфейс RS485 DN15 Н00003768 PLSR-90685512 ООО 'НПП Тепловодохран'</t>
  </si>
  <si>
    <t>Офис. часть. Монтаж. Термостатический элемент TR 84 TR 84  Ридан</t>
  </si>
  <si>
    <t xml:space="preserve">Офис. часть. Монтаж. Труба стальная 25х3.2 длиной 400мм ГОСТ 3262-75  </t>
  </si>
  <si>
    <t xml:space="preserve">Офис. часть. Монтаж. Труба стальная 32х3.2 длиной 400мм ГОСТ 3262-75  </t>
  </si>
  <si>
    <t xml:space="preserve">Офис. часть. Монтаж. Труба стальная 32х3.2 длиной 500мм ГОСТ 3262-75  </t>
  </si>
  <si>
    <t xml:space="preserve">Офис. часть. Монтаж. Труба стальная 40х3.5 длиной 400мм ГОСТ 3262-75  </t>
  </si>
  <si>
    <t xml:space="preserve">Офис. часть. Монтаж. Труба стальная 40х3.5 длиной 500мм ГОСТ 3262-75  </t>
  </si>
  <si>
    <t xml:space="preserve">Офис. часть. Монтаж. Труба стальная 89х3.5 длиной 400мм ГОСТ 10704-91  </t>
  </si>
  <si>
    <t>Офис. часть. Монтаж. Узел нижнего подключения РИД-LV-КВ-П прямой для двухтрубных систем, подключение к радиатору НР 1/2''   Ридан</t>
  </si>
  <si>
    <t>Офис. часть. Монтаж. Узел нижнего подключения РИД-LV-КВ-У угловой для двухтрубных систем, подключение к радиатору НР 1/2"   Ридан</t>
  </si>
  <si>
    <t>Офис. часть. Монтаж. Фильтр сетчатый со спускным краном DN15 FVR-D 065B8241 Ридан</t>
  </si>
  <si>
    <t>Офис. часть. Монтаж. Фильтр сетчатый со спускным краном DN20 FVR-D 065B8242 Ридан</t>
  </si>
  <si>
    <t>Офис. часть. Монтаж. Шаровой кран для подключения импульсной трубки DN15 DN15  Ридан</t>
  </si>
  <si>
    <t>Офис. часть. Монтаж. Шаровой кран для подключения импульсной трубки DN20 DN20  Ридан</t>
  </si>
  <si>
    <t xml:space="preserve">Офис. часть. Монтаж. Коллектор DN 50 мм на 2 врезки   </t>
  </si>
  <si>
    <t>Офис. часть. Монтаж. Кран воздушный конструкции Маевского НР 1/2" ГОСТ 10944-97  Россия</t>
  </si>
  <si>
    <t xml:space="preserve">Офис. часть. Монтаж. Тройник стальной равнопроходный ду=25 мм ГОСТ 17376-2001* Тройник 2-32 </t>
  </si>
  <si>
    <t xml:space="preserve">Офис. часть. Монтаж. Фильтр сетчатый муфтовый косой DN25   </t>
  </si>
  <si>
    <t>Офис. часть. Монтаж. Узел теплого пола на 7 выходов, правый   Valtec</t>
  </si>
  <si>
    <t xml:space="preserve">Офис. часть. Монтаж. Кран шаровой VALTEC BASE с полусгоном, 1"  VT.227.N.06 </t>
  </si>
  <si>
    <t xml:space="preserve">Офис. часть. Монтаж. Насосно-смесительный узел для теплого пола VALTEC COMBI.0  VT.COMBI.0.180M </t>
  </si>
  <si>
    <t xml:space="preserve">Офис. часть. Монтаж. Коллекторный блок из нержавеющей стали с регулирующими клапанами и расходомерами, 1", 7 х 3/4", "евроконус"  VTc.596.EMNX.0607 </t>
  </si>
  <si>
    <t xml:space="preserve">Офис. часть. Монтаж. Кран дренажный, 1/2"  VT.430.N.04 </t>
  </si>
  <si>
    <t xml:space="preserve">Офис. часть. Монтаж. Тройник коллекторный, 1" х 1/2" х 1/2"  VTc.530.N.060404 </t>
  </si>
  <si>
    <t xml:space="preserve">Офис. часть. Монтаж. Клапан отсекающий 1/2"  VT.539.NO.04 </t>
  </si>
  <si>
    <t xml:space="preserve">Офис. часть. Монтаж. Воздухоотводчик автоматический вертикальный 1/2"  VT.502.NV.04 </t>
  </si>
  <si>
    <t xml:space="preserve">Офис. часть. Монтаж. Насос циркуляционный VRS 25/4-180  VRS.254.18.0 </t>
  </si>
  <si>
    <t xml:space="preserve">Офис. часть. Монтаж. Комплект расходных материалов №4, для сборки узлов  SMAN4 </t>
  </si>
  <si>
    <t xml:space="preserve">Офис. часть. Монтаж. Кран шаровой полнопроходной DN25   </t>
  </si>
  <si>
    <t>Офис. часть. Монтаж. Клапан ручной балансировочный MNT-R, DN15 MNT-R DN15 003Z2331R Ридан</t>
  </si>
  <si>
    <t>Офис. часть. Монтаж. Клапан ручной балансировочный MNT-R, DN20 MNT-R DN20 003Z2332R Ридан</t>
  </si>
  <si>
    <t xml:space="preserve">Офис. часть. Монтаж. Шаровой кран для подключения датчика температуры, DN15  187F0593 </t>
  </si>
  <si>
    <t xml:space="preserve">Офис. часть. Монтаж. Шаровой кран для подключения датчика температуры, DN20  187F0592 </t>
  </si>
  <si>
    <t xml:space="preserve">Офис. часть. Монтаж. Кран шаровый латунный внутренняя резьба/внутренняя резьба, DN15 BVR-R 065B8207R </t>
  </si>
  <si>
    <t>Офис. часть. Монтаж. Кран шаровый латунный внутренняя резьба/внутренняя резьба, DN20 BVR-R 065B8208R Ридан</t>
  </si>
  <si>
    <t xml:space="preserve">Офис. часть. Монтаж. Обратный коллектор DN 50 мм на 7 врезок   </t>
  </si>
  <si>
    <t xml:space="preserve">Офис. часть. Монтаж. Подающий коллектор DN 50 мм на 7 врезок   </t>
  </si>
  <si>
    <t>Офис. часть. Монтаж. Клапан автоматический балансировочный APT-R3, DN20 APT-R3 003Z5703 Ридан</t>
  </si>
  <si>
    <t xml:space="preserve">Офис. часть. Монтаж. Кран воздушный конструкции Маевского DN15, Py=1.0МПa, Т=110 C   </t>
  </si>
  <si>
    <t>Офис. часть. Монтаж. Кран шаровый латунный внутренняя резьба/внутренняя резьба, DN15 BVR-R 065B8207R Ридан</t>
  </si>
  <si>
    <t xml:space="preserve">Офис. часть. Монтаж. Обратный коллектор DN 50 мм на 8 врезок   </t>
  </si>
  <si>
    <t xml:space="preserve">Офис. часть. Монтаж. Подающий коллектор DN 50 мм на 8 врезок   </t>
  </si>
  <si>
    <t xml:space="preserve">Офис. часть. Монтаж. Труба стальная 133.5х4.5 длиной 400мм ГОСТ 10704-91  </t>
  </si>
  <si>
    <t xml:space="preserve">Офис. часть. Монтаж. Труба из сшитого полиэтилена Ф 16x2.2  SANEXT </t>
  </si>
  <si>
    <t xml:space="preserve">Офис. часть. Монтаж. Труба из сшитого полиэтилена Ф 20x2.8  SANEXT </t>
  </si>
  <si>
    <t xml:space="preserve">Офис. часть. Монтаж. Труба из сшитого полиэтилена Ф 25x3.5  SANEXT </t>
  </si>
  <si>
    <t xml:space="preserve">Офис. часть. Монтаж. Труба стальная водогазопроводная Ф 15   </t>
  </si>
  <si>
    <t xml:space="preserve">Офис. часть. Монтаж. Труба стальная водогазопроводная Ф 20   </t>
  </si>
  <si>
    <t xml:space="preserve">Офис. часть. Монтаж. Труба стальная водогазопроводная Ф 25   </t>
  </si>
  <si>
    <t xml:space="preserve">Офис. часть. Монтаж. Труба стальная водогазопроводная Ф 32   </t>
  </si>
  <si>
    <t xml:space="preserve">Офис. часть. Монтаж. Труба стальная водогазопроводная Ф 40   </t>
  </si>
  <si>
    <t xml:space="preserve">Офис. часть. Монтаж. Труба стальная электросварная прямошовная 57x3.5   </t>
  </si>
  <si>
    <t xml:space="preserve">Офис. часть. Монтаж. Труба стальная электросварная прямошовная 76x3.5   </t>
  </si>
  <si>
    <t xml:space="preserve">Офис. часть. Монтаж. Труба стальная электросварная прямошовная 89x3.5   </t>
  </si>
  <si>
    <t xml:space="preserve">Офис. часть. Монтаж. Вырезные цилиндры из минеральной ваты толщиной 20мм для Ф15 ISOTEC Shell 22/20-2  </t>
  </si>
  <si>
    <t xml:space="preserve">Офис. часть. Монтаж. Вырезные цилиндры из минеральной ваты толщиной 20мм для Ф20 ISOTEC Shell 28/20-2  </t>
  </si>
  <si>
    <t xml:space="preserve">Офис. часть. Монтаж. Вырезные цилиндры из минеральной ваты толщиной 20мм для Ф25 ISOTEC Shell 35/20-2  </t>
  </si>
  <si>
    <t xml:space="preserve">Офис. часть. Монтаж. Вырезные цилиндры из минеральной ваты толщиной 20мм для Ф57x3.5 ISOTEC Shell 57/20-2  </t>
  </si>
  <si>
    <t xml:space="preserve">Офис. часть. Монтаж. Вырезные цилиндры из минеральной ваты толщиной 30мм для Ф15 ISOTEC Shell 22/30-2  </t>
  </si>
  <si>
    <t xml:space="preserve">Офис. часть. Монтаж. Вырезные цилиндры из минеральной ваты толщиной 30мм для Ф20 ISOTEC Shell 28/30-2  </t>
  </si>
  <si>
    <t xml:space="preserve">Офис. часть. Монтаж. Вырезные цилиндры из минеральной ваты толщиной 30мм для Ф25 ISOTEC Shell 35/30-2  </t>
  </si>
  <si>
    <t xml:space="preserve">Офис. часть. Монтаж. Вырезные цилиндры из минеральной ваты толщиной 30мм для Ф32 ISOTEC Shell 42/30-2  </t>
  </si>
  <si>
    <t xml:space="preserve">Офис. часть. Монтаж. Вырезные цилиндры из минеральной ваты толщиной 30мм для Ф40 ISOTEC Shell 48/30-2  </t>
  </si>
  <si>
    <t xml:space="preserve">Офис. часть. Монтаж. Вырезные цилиндры из минеральной ваты толщиной 30мм для Ф57x3.5 ISOTEC Shell 57/30-2  </t>
  </si>
  <si>
    <t xml:space="preserve">Офис. часть. Монтаж. Вырезные цилиндры из минеральной ваты толщиной 30мм для Ф76x3.5 ISOTEC Shell 76/30-2  </t>
  </si>
  <si>
    <t xml:space="preserve">Офис. часть. Монтаж. Вырезные цилиндры из минеральной ваты толщиной 30мм для Ф89x3.5 ISOTEC Shell 89/30-2  </t>
  </si>
  <si>
    <t xml:space="preserve">Офис. часть. Монтаж. Вырезные цилиндры из минеральной ваты толщиной 50мм для Ф20 ISOTEC Shell 28/50-2  </t>
  </si>
  <si>
    <t xml:space="preserve">Офис. часть. Монтаж. Вырезные цилиндры из минеральной ваты толщиной 50мм для Ф25 ISOTEC Shell 35/50-2  </t>
  </si>
  <si>
    <t xml:space="preserve">Офис. часть. Монтаж. Кожух гофрированный красного цвета для труб Ф16 мм Usystems Teck кожух красный 16/11.6  </t>
  </si>
  <si>
    <t xml:space="preserve">Офис. часть. Монтаж. Кожух гофрированный красного цвета для труб Ф20 мм Usystems Teck кожух красный 20/14.4  </t>
  </si>
  <si>
    <t xml:space="preserve">Офис. часть. Монтаж. Кожух гофрированный красного цвета для труб Ф25 мм Usystems Teck кожух красный 25/18  </t>
  </si>
  <si>
    <t xml:space="preserve">Офис. часть. Монтаж. Кожух гофрированный синего цвета для труб Ф16 мм Usystems Teck кожух синий 16/11.6  </t>
  </si>
  <si>
    <t xml:space="preserve">Офис. часть. Монтаж. Кожух гофрированный синего цвета для труб Ф20 мм Usystems Teck кожух синий 20/14.4  </t>
  </si>
  <si>
    <t xml:space="preserve">Офис. часть. Монтаж. Кожух гофрированный синего цвета для труб Ф25 мм Usystems Teck кожух синий 25/18  </t>
  </si>
  <si>
    <t xml:space="preserve">Офис. часть. Монтаж. Трубки из вспененного каучука толщиной 19 мм для Ф20 K-FLEX ST 28/19-2  </t>
  </si>
  <si>
    <t xml:space="preserve">Офис. часть. Монтаж. Трубки из вспененного каучука толщиной 19мм для Ф25 K-FLEX ST 35/19-2  </t>
  </si>
  <si>
    <t xml:space="preserve">Офис. часть. Монтаж. Трубки из вспененного каучука толщиной 20мм для Ф15 K-FLEX ST 22/20-2  </t>
  </si>
  <si>
    <t xml:space="preserve">Офис. часть. Монтаж. Трубки из вспененного каучука толщиной 20мм для Ф20 K-FLEX ST 28/20-2  </t>
  </si>
  <si>
    <t xml:space="preserve">Офис. часть. Монтаж. Трубки из вспененного каучука толщиной 20мм для Ф25 K-FLEX ST 35/20-2  </t>
  </si>
  <si>
    <t xml:space="preserve">Теплоснабж. Монтаж. Автоматический Воздухоотводчик DN15   </t>
  </si>
  <si>
    <t>Теплоснабж. Монтаж. Клапан ручной балансировочный MV-R, DN50 MVT-R 003Z4045R Ридан</t>
  </si>
  <si>
    <t>Теплоснабж. Монтаж. Кран шаровой, полнопроходной, ручка рычаг, с внутренней резьбой, DN65 PN16 КШ.Ц.Ф.ОЫ065  LD</t>
  </si>
  <si>
    <t>Теплоснабж. Монтаж. Кран шаровый латунный c внутренней резьбой LD Pride 47.15.В-В.Р  LD</t>
  </si>
  <si>
    <t>Теплоснабж. Монтаж. Кран шаровый латунный c внутренней резьбой LD Pride 47.50.В-В.Р  LD</t>
  </si>
  <si>
    <t xml:space="preserve">Теплоснабж. Монтаж. Труба стальная 40х3.5 длиной 500мм ГОСТ 3262-75  </t>
  </si>
  <si>
    <t xml:space="preserve">Теплоснабж. Монтаж. Труба стальная 133.5х4.5 длиной 400мм ГОСТ 10704-91  </t>
  </si>
  <si>
    <t>Теплоснабж. Монтаж. Фильтр сетчатый со спускным краном DN50 FVR-D 065B8246 Ридан</t>
  </si>
  <si>
    <t xml:space="preserve">Теплоснабж. Монтаж. Труба стальная водогазопроводная Ф 15   </t>
  </si>
  <si>
    <t xml:space="preserve">Теплоснабж. Монтаж. Труба стальная электросварная прямошовная 57x3.5   </t>
  </si>
  <si>
    <t xml:space="preserve">Теплоснабж. Монтаж. Труба стальная электросварная прямошовная 76x3.5   </t>
  </si>
  <si>
    <t xml:space="preserve">Теплоснабж. Монтаж. Труба стальная электросварная прямошовная 89x3.5   </t>
  </si>
  <si>
    <t xml:space="preserve">Теплоснабж. Монтаж. Вырезные цилиндры из минеральной ваты толщиной 30мм для Ф57x3.5 ISOTEC Shell 57/30-2  </t>
  </si>
  <si>
    <t xml:space="preserve">Теплоснабж. Монтаж. Вырезные цилиндры из минеральной ваты толщиной 30мм для Ф76x3.5 ISOTEC Shell 76/30-2  </t>
  </si>
  <si>
    <t xml:space="preserve">Теплоснабж. Монтаж. Вырезные цилиндры из минеральной ваты толщиной 30мм для Ф89x3.5 ISOTEC Shell 89/30-2  </t>
  </si>
  <si>
    <t xml:space="preserve">Теплоснабж. Монтаж. Краска   </t>
  </si>
  <si>
    <t>Теплоснабж. Монтаж. Клапан ручной балансировочный MVT-R, DN15 MVT-R 003Z4041R Ридан</t>
  </si>
  <si>
    <t>Теплоснабж. Монтаж. Клапан ручной балансировочный MVT-R, DN20 MVT-R 003Z4042R Ридан</t>
  </si>
  <si>
    <t>Теплоснабж. Монтаж. Клапан ручной балансировочный MVT-R, DN25 MVT-R 003Z4043R Ридан</t>
  </si>
  <si>
    <t>Теплоснабж. Монтаж. Кран шаровой для монтажа термодатчика DN25 DN25 Н00002392 Пульсар</t>
  </si>
  <si>
    <t>Теплоснабж. Монтаж. Кран шаровый латунный c внутренней резьбой LD Pride 47.25.В-В.Р  LD</t>
  </si>
  <si>
    <t>Теплоснабж. Монтаж. Кран шаровый латунный c внутренней резьбой LD Pride 47.32.В-В.Р  LD</t>
  </si>
  <si>
    <t>Теплоснабж. Монтаж. Теплосчетчик механический Пульсар с импульсным выходом, интерфейс RS485 DN15 Н00003284 PLSR-57273896 ООО 'НПП Тепловодохран'</t>
  </si>
  <si>
    <t>Теплоснабж. Монтаж. Теплосчетчик ультразвуковой Пульсар с импульсным выходом, интерфейс RS485 DN32 ЮТЛИ.408843.000 РЭ PLSR-53355017 ООО 'НПП Тепловодохран'</t>
  </si>
  <si>
    <t>Теплоснабж. Монтаж. Фильтр сетчатый со спускным краном DN25 FVR-D 065B8243 Ридан</t>
  </si>
  <si>
    <t xml:space="preserve">Теплоснабж. Монтаж. Труба стальная 40х3.5 длиной 400мм ГОСТ 3262-75  </t>
  </si>
  <si>
    <t xml:space="preserve">Теплоснабж. Монтаж. Труба стальная 89х3.5 длиной 400мм ГОСТ 10704-91  </t>
  </si>
  <si>
    <t xml:space="preserve">Теплоснабж. Монтаж. Труба стальная водогазопроводная Ф 20   </t>
  </si>
  <si>
    <t xml:space="preserve">Теплоснабж. Монтаж. Труба стальная водогазопроводная Ф 25   </t>
  </si>
  <si>
    <t xml:space="preserve">Теплоснабж. Монтаж. Труба стальная водогазопроводная Ф 32   </t>
  </si>
  <si>
    <t xml:space="preserve">Теплоснабж. Монтаж. Вырезные цилиндры из минеральной ваты толщиной 20мм для Ф15 ISOTEC Shell 22/20-2  </t>
  </si>
  <si>
    <t xml:space="preserve">Теплоснабж. Монтаж. Вырезные цилиндры из минеральной ваты толщиной 20мм для Ф20 ISOTEC Shell 28/20-2  </t>
  </si>
  <si>
    <t xml:space="preserve">Теплоснабж. Монтаж. Вырезные цилиндры из минеральной ваты толщиной 20мм для Ф25 ISOTEC Shell 35/20-2  </t>
  </si>
  <si>
    <t xml:space="preserve">Теплоснабж. Монтаж. Вырезные цилиндры из минеральной ваты толщиной 20мм для Ф57x3.5 ISOTEC Shell 57/20-2  </t>
  </si>
  <si>
    <t xml:space="preserve">Теплоснабж. Монтаж. Вырезные цилиндры из минеральной ваты толщиной 30мм для Ф20 ISOTEC Shell 28/30-2  </t>
  </si>
  <si>
    <t xml:space="preserve">Теплоснабж. Монтаж. Вырезные цилиндры из минеральной ваты толщиной 30мм для Ф25 ISOTEC Shell 35/30-2  </t>
  </si>
  <si>
    <t xml:space="preserve">Теплоснабж. Монтаж. Вырезные цилиндры из минеральной ваты толщиной 30мм для Ф32 ISOTEC Shell 42/30-2  </t>
  </si>
  <si>
    <t xml:space="preserve">Теплоснабж. Монтаж. Вырезные цилиндры из минеральной ваты толщиной 50мм для Ф25 ISOTEC Shell 35/50-2  </t>
  </si>
  <si>
    <t>Жилая часть. Монтаж. Конвектор концевой Сантехпром Авто-С средней глубины с термоклапаном для 2хтрубных систем, лев. КСК 20-1.716 А5 лев. рез.  ОАО ''САНТЕХПРОМ''</t>
  </si>
  <si>
    <t>Жилая часть. Монтаж. Конверктор напольный Элегант плюс 230x250x900 4то, с термоклапаном, с нижним подключением, на ножках фиксированной высоты со встроенным термостатическим клапаном.  KZTO</t>
  </si>
  <si>
    <t>Жилая часть. Монтаж. Конверктор напольный Элегант плюс 230x250x1200 4то, с термоклапаном, с нижним подключением, на ножках фиксированной высоты со встроенным термостатическим клапаном.  KZTO</t>
  </si>
  <si>
    <t>Жилая часть. Монтаж. Конверктор напольный Элегант плюс 230x250x1400 4то, с термоклапаном, с нижним подключением, на ножках фиксированной высоты со встроенным термостатическим клапаном.  KZTO</t>
  </si>
  <si>
    <t>Жилая часть. Монтаж. Конверктор напольный Элегант плюс 230x250x1600 4то, с термоклапаном, с нижним подключением, на ножках фиксированной высоты со встроенным термостатическим клапаном.  KZTO</t>
  </si>
  <si>
    <t>Жилая часть. Монтаж. Конверктор напольный Элегант плюс 230x250x1700 4то, с термоклапаном, с нижним подключением, на ножках фиксированной высоты со встроенным термостатическим клапаном.  KZTO</t>
  </si>
  <si>
    <t>Жилая часть. Монтаж. Конверктор напольный Элегант плюс 230x250x2000 4то, с термоклапаном, с нижним подключением, на ножках фиксированной высоты со встроенным термостатическим клапаном.  KZTO</t>
  </si>
  <si>
    <t>Жилая часть. Монтаж. Радиатор с боковым подключением  22-300-800 FK0220308W02, со встроенным воздухоотводчиком Profil K Kermi</t>
  </si>
  <si>
    <t>Жилая часть. Монтаж. Радиатор с боковым подключением  22-300-800 L FK0220308W02, со встроенным воздухоотводчиком Profil K Kermi</t>
  </si>
  <si>
    <t>Жилая часть. Монтаж. Радиатор с боковым подключением  33-500-900 L FK0330509W02, со встроенным воздухоотводчиком Profil K Kermi</t>
  </si>
  <si>
    <t>Жилая часть. Монтаж. Радиатор с боковым подключением  33-500-1000 FK0330510W02, со встроенным воздухоотводчиком Profil K Kermi</t>
  </si>
  <si>
    <t>Жилая часть. Монтаж. Радиатор с боковым подключением  33-500-1100 L FK0330511W02, со встроенным воздухоотводчиком Profil K Kermi</t>
  </si>
  <si>
    <t>Жилая часть. Монтаж. Радиатор с нижним подключением 11-300-600 FTV110300601R2Z, с термостатическим вентилем, со встроенным воздухоотводчиком Profil V,  Kermi</t>
  </si>
  <si>
    <t>Жилая часть. Монтаж. Радиатор с нижним подключением 11-300-1800 FTV110301801R2Z, с термостатическим вентилем, со встроенным воздухоотводчиком Profil V,  Kermi</t>
  </si>
  <si>
    <t>Жилая часть. Монтаж. Радиатор с нижним подключением 22-300-900 FTV220300901R2Z, с термостатическим вентилем, со встроенным воздухоотводчиком Profil V,  Kermi</t>
  </si>
  <si>
    <t>Жилая часть. Монтаж. Радиатор с нижним подключением 22-300-1800 FTV220301801R2Z, с термостатическим вентилем, со встроенным воздухоотводчиком Profil V,  Kermi</t>
  </si>
  <si>
    <t>Жилая часть. Монтаж. Радиатор с нижним подключением 33-300-600 FTV330300601R2Z, с термостатическим вентилем, со встроенным воздухоотводчиком Profil V,  Kermi</t>
  </si>
  <si>
    <t>Жилая часть. Монтаж. Радиатор с нижним подключением 33-300-700 FTV330300701R2Z, с термостатическим вентилем, со встроенным воздухоотводчиком Profil V,  Kermi</t>
  </si>
  <si>
    <t>Жилая часть. Монтаж. Радиатор с нижним подключением 33-300-800 FTV330300801R2Z, с термостатическим вентилем, со встроенным воздухоотводчиком Profil V,  Kermi</t>
  </si>
  <si>
    <t>Жилая часть. Монтаж. Кран шаровой, полнопроходной, ручка рычаг, с внутренней резьбой, DN65 PN16 ^^^.DN065  LD</t>
  </si>
  <si>
    <t>Жилая часть. Монтаж. Кран шаровый латунный c внутренней резьбой LD Pride 47.20.В-В.Р  LD</t>
  </si>
  <si>
    <t>Жилая часть. Монтаж. Кран шаровый латунный c внутренней резьбой LD Pride 47.25.В-В.Р  LD</t>
  </si>
  <si>
    <t>Жилая часть. Монтаж. Узел нижнего подключенияРИД-LV-КВ-П прямой для двухтрубных систем, подключение к радиатору НР 1/2''   Ридан</t>
  </si>
  <si>
    <t>Жилая часть. Монтаж. Узел нижнего подключения РИД-LV-КВ-У угловой для двухтрубных систем, подключение к радиатору НР 1/2"   Ридан</t>
  </si>
  <si>
    <t>Жилая часть. Монтаж. Узел теплого пола на 6 выходов, правый   Valtec</t>
  </si>
  <si>
    <t xml:space="preserve">Жилая часть. Монтаж. Коллекторный блок из нержавеющей стали с регулирующими клапанами и расходомерами, 1", 6 х 3/4", "евроконус"  VTc.596.EMNX.0607 </t>
  </si>
  <si>
    <t>Жилая часть. Монтаж. Клапан ручной балансировочный MNT-R, DN15 MNT—R DN15 003Z2331R Ридан</t>
  </si>
  <si>
    <t>Жилая часть. Монтаж. Кран шаровый латунный внутренняя резьба/внутренняя резьба, DN15 BVR-R O65B82O7R Ридан</t>
  </si>
  <si>
    <t>Жилая часть. Монтаж. Кран шаровый латунный внутренняя резьба/внутренняя резьба, DN20 BVR-R O65B82O8R Ридан</t>
  </si>
  <si>
    <t xml:space="preserve">Жилая часть. Монтаж. Теплосчетчик механический Пульсар с импульсным выходом, интерфейс RS485 DN15 Н00003768 PLSR-90685512 </t>
  </si>
  <si>
    <t xml:space="preserve">Жилая часть. Монтаж. Клапан ручной балансировочный MNT-R, DN15 MNT-R DN15  </t>
  </si>
  <si>
    <t xml:space="preserve">Жилая часть. Монтаж. Клапан ручной балансировочный MNT-R, DN20 MNT-R DN20  </t>
  </si>
  <si>
    <t xml:space="preserve">Жилая часть. Монтаж. Шаровой кран для подключения датчика температуры, DN20   </t>
  </si>
  <si>
    <t xml:space="preserve">Жилая часть. Монтаж. Кран шаровый латунный внутренняя резьба/внутренняя резьба, DN15 BVR-R  </t>
  </si>
  <si>
    <t xml:space="preserve">Жилая часть. Монтаж. Труба из сшитого полиэтилена Ф Ф16x2.2  SANEXT </t>
  </si>
  <si>
    <t xml:space="preserve">Жилая часть. Монтаж. Труба стальная 25х3.2 длиной 500мм ГОСТ 3262-75  </t>
  </si>
  <si>
    <t xml:space="preserve">Жилая часть. Монтаж. Вырезные цилиндры из минеральной ваты толщиной 50мм для Ф76x3.5 ISOTEC Shell 76/50-2  </t>
  </si>
  <si>
    <t xml:space="preserve">Жилая часть. Монтаж. Кожух гофрированный синего цвета для труб ФI6 мм Usystems Teck кожух синий 16/11.6  </t>
  </si>
  <si>
    <t xml:space="preserve">Жилая часть. Монтаж. Краска   </t>
  </si>
  <si>
    <t xml:space="preserve">Жилая часть. Монтаж. Трубки из вспененного каучука в защитной оболочке красного цвета толщиной 9мм для ФI6 K-FLEX PE COMPACT Red 16/9-2  </t>
  </si>
  <si>
    <t xml:space="preserve">Жилая часть. Монтаж. Трубки из вспененного каучука в защитной оболочке синего цвета толщиной 9мм для ФI6 K-FLEX PE COMPACT Blue 16/9-2  </t>
  </si>
  <si>
    <t xml:space="preserve">Жилая часть. Монтаж. Трубки из вспененного каучука толщиной 19мм для Ф15 K-FLEX ST 22/19-2  </t>
  </si>
  <si>
    <t>Офис. часть. Монтаж. Конверктор напольный Элегант плюс 230x250x1000 4то, с термоклапаном, с нижним подключением, на ножках фиксированной высоты со встроенным термостатическим клапаном.  KZTO</t>
  </si>
  <si>
    <t>Офис. часть. Монтаж. Конверктор напольный Элегант плюс 230x250x1500 4то, с термоклапаном, с нижним подключением, на ножках фиксированной высоты со встроенным термостатическим клапаном.  KZTO</t>
  </si>
  <si>
    <t>Офис. часть. Монтаж. Конверктор напольный Элегант плюс 230x250x1700 4то, с термоклапаном, с нижним подключением, на ножках фиксированной высоты со встроенным термостатическим клапаном.  KZTO</t>
  </si>
  <si>
    <t>Офис. часть. Монтаж. Конверктор напольный Элегант плюс 230x250x1800 4то, с термоклапаном, с нижним подключением, на ножках фиксированной высоты со встроенным термостатическим клапаном.  KZTO</t>
  </si>
  <si>
    <t>Офис. часть. Монтаж. Радиатор с боковым подключением  22-300-900 FK0220309W02, со встроенным воздухоотводчиком Profil K Kermi</t>
  </si>
  <si>
    <t>Офис. часть. Монтаж. Радиатор с боковым подключением  22-300-1600 FK0220316W02, со встроенным воздухоотводчиком Profil K Kermi</t>
  </si>
  <si>
    <t>Офис. часть. Монтаж. Радиатор с боковым подключением  33-300-1100 L FK0330311W02, со встроенным воздухоотводчиком Profil K Kermi</t>
  </si>
  <si>
    <t>Офис. часть. Монтаж. Радиатор с боковым подключением  33-500-900 FK0330509W02, со встроенным воздухоотводчиком Profil K Kermi</t>
  </si>
  <si>
    <t>Офис. часть. Монтаж. Радиатор с боковым подключением  33-500-900 L FK0330509W02, со встроенным воздухоотводчиком Profil K Kermi</t>
  </si>
  <si>
    <t>Офис. часть. Монтаж. Радиатор с нижним подключением 22-300-700 FTV220300701R2Z, с термостатическим вентилем, со встроенным воздухоотводчиком Profil V,  Kermi</t>
  </si>
  <si>
    <t>Офис. часть. Монтаж. Радиатор с нижним подключением 22-300-1000 FTV220301001R2Z, с термостатическим вентилем, со встроенным воздухоотводчиком Profil V,  Kermi</t>
  </si>
  <si>
    <t>Офис. часть. Монтаж. Радиатор с нижним подключением 22-300-1100 FTV220301101R2Z, с термостатическим вентилем, со встроенным воздухоотводчиком Profil V,  Kermi</t>
  </si>
  <si>
    <t>Офис. часть. Монтаж. Радиатор с нижним подключением 22-300-2000 FTV220302001R2Z, с термостатическим вентилем, со встроенным воздухоотводчиком Profil V,  Kermi</t>
  </si>
  <si>
    <t>Офис. часть. Монтаж. Радиатор с нижним подключением 33-300-600 FTV330300601R2Z, с термостатическим вентилем, со встроенным воздухоотводчиком Profil V,  Kermi</t>
  </si>
  <si>
    <t>Офис. часть. Монтаж. Радиатор с нижним подключением 33-300-1300 FTV330301301R2Z, с термостатическим вентилем, со встроенным воздухоотводчиком Profil V,  Kermi</t>
  </si>
  <si>
    <t>Офис. часть. Монтаж. Радиатор с нижним подключением 33-300-1400 FTV330301401R2Z, с термостатическим вентилем, со встроенным воздухоотводчиком Profil V,  Kermi</t>
  </si>
  <si>
    <t>Офис. часть. Монтаж. Радиатор с нижним подключением 33-300-1800 FTV330301801R2Z, с термостатическим вентилем, со встроенным воздухоотводчиком Profil V,  Kermi</t>
  </si>
  <si>
    <t>Офис. часть. Монтаж. Радиатор с нижним подключением 33-300-2000 FTV330302001R2Z, с термостатическим вентилем, со встроенным воздухоотводчиком Profil V,  Kermi</t>
  </si>
  <si>
    <t>Офис. часть. Монтаж. Электрический конвектор Ballu ENZO BEC/EZER-1500  BALLU</t>
  </si>
  <si>
    <t xml:space="preserve">Офис. часть. Монтаж. Шаровой кран для подключения датчика температуры, DN25  187F0591 </t>
  </si>
  <si>
    <t>Офис. часть. Монтаж. Кран шаровый латунный c внутренней резьбой LD Pride 47.32.В-В.Р  LD</t>
  </si>
  <si>
    <t>Офис. часть. Монтаж. Кран шаровый латунный c внутренней резьбой LD Pride 47.40.В-В.Р  LD</t>
  </si>
  <si>
    <t>Офис. часть. Монтаж. Теплосчетчик механический Пульсар с импульсным выходом, интерфейс RS485 DN15 Н00003768 PLSR—90685512 ООО 'НПП Тепловодохран'</t>
  </si>
  <si>
    <t>Офис. часть. Монтаж. Фильтр сетчатый со спускным краном DN15 FVR—D 065B8241 Ридан</t>
  </si>
  <si>
    <t>Офис. часть. Монтаж. Фильтр сетчатый со спускным краном DN20 FVR—D 065B8242 Ридан</t>
  </si>
  <si>
    <t xml:space="preserve">Офис. часть. Монтаж. Обратный коллектор DN 50 мм на 6 врезок   </t>
  </si>
  <si>
    <t xml:space="preserve">Офис. часть. Монтаж. Подающий коллектор DN 50 мм на 6 врезок   </t>
  </si>
  <si>
    <t>Офис. часть. Монтаж. Клапан ручной балансировочный MNT-R, DN25 MNT-R DN25 003Z2333R Ридан</t>
  </si>
  <si>
    <t>Офис. часть. Монтаж. Кран шаровый латунный внутренняя резьба/внутренняя резьба, DN25 BVR-R 065B8209R Ридан</t>
  </si>
  <si>
    <t xml:space="preserve">Офис. часть. Монтаж. Кран воздушный конструкции Маевского DN15, Ру=1.0МПа, Т=110 C   </t>
  </si>
  <si>
    <t xml:space="preserve">Офис. часть. Монтаж. Кран шаровой полнопроходной DN32   </t>
  </si>
  <si>
    <t xml:space="preserve">Офис. часть. Монтаж. Фильтр сетчатый муфтовый косой DN32   </t>
  </si>
  <si>
    <t>Офис. часть. Монтаж. Кран шаровый латунный внутренняя резьба/внутренняя резьба, DN15 BVR-R O65B82O7R Ридан</t>
  </si>
  <si>
    <t>Офис. часть. Монтаж. Кран шаровый латунный внутренняя резьба/внутренняя резьба, DN20 BVR-R O65B82O8R Ридан</t>
  </si>
  <si>
    <t xml:space="preserve">Офис. часть. Монтаж. Обратный коллектор DN 50 мм на 9 врезок   </t>
  </si>
  <si>
    <t xml:space="preserve">Офис. часть. Монтаж. Подающий коллектор DN 50 мм на 9 врезок   </t>
  </si>
  <si>
    <t>Офис. часть. Монтаж. Клапан автоматический балансировочный APT-R3, DN25 APT-R3 003Z5703 Ридан</t>
  </si>
  <si>
    <t xml:space="preserve">Офис. часть. Монтаж. Кран воздушный конструкции Маевского DN15, Py=1.0МПа, Т=110 C   </t>
  </si>
  <si>
    <t xml:space="preserve">Офис. часть. Монтаж. Обратный коллектор DN 50 мм на 10 врезок   </t>
  </si>
  <si>
    <t xml:space="preserve">Офис. часть. Монтаж. Подающий коллектор DN 50 мм на 10 врезок   </t>
  </si>
  <si>
    <t xml:space="preserve">Офис. часть. Монтаж. Труба стальная 25х3.2 длиной 300мм ГОСТ 3262-75  </t>
  </si>
  <si>
    <t xml:space="preserve">Офис. часть. Монтаж. Труба стальная 25х3.2 длиной 500мм ГОСТ 3262-75  </t>
  </si>
  <si>
    <t xml:space="preserve">Офис. часть. Монтаж. Труба стальная 57х3.0 длиной 500мм ГОСТ 10704-91  </t>
  </si>
  <si>
    <t xml:space="preserve">Офис. часть. Монтаж. Труба стальная 76х3.0 длиной 500мм ГОСТ 10704-91  </t>
  </si>
  <si>
    <t xml:space="preserve">Офис. часть. Монтаж. Труба стальная 89х3.5 длиной 500мм ГОСТ 10704-91  </t>
  </si>
  <si>
    <t xml:space="preserve">Офис. часть. Монтаж. Труба стальная 133.5х4.5 длиной 500мм ГОСТ 10704-91  </t>
  </si>
  <si>
    <t xml:space="preserve">Офис. часть. Монтаж. Труба стальная электросварная прямошовная 108x4   </t>
  </si>
  <si>
    <t xml:space="preserve">Офис. часть. Монтаж. Вырезные цилиндры из минеральной ваты толщиной 30мм для Ф108x4 ISOTEC Shell 108/30-2  </t>
  </si>
  <si>
    <t xml:space="preserve">Офис. часть. Монтаж. Вырезные цилиндры из минеральной ваты толщиной 50мм для Ф15 ISOTEC Shell 22/50-2  </t>
  </si>
  <si>
    <t xml:space="preserve">Офис. часть. Монтаж. Вырезные цилиндры из минеральной ваты толщиной 50мм для Ф32 ISOTEC Shell 42/50-2  </t>
  </si>
  <si>
    <t xml:space="preserve">Офис. часть. Монтаж. Вырезные цилиндры из минеральной ваты толщиной 50мм для Ф40 ISOTEC Shell 48/50-2  </t>
  </si>
  <si>
    <t xml:space="preserve">Офис. часть. Монтаж. Вырезные цилиндры из минеральной ваты толщиной 50мм для Ф57x3.5 ISOTEC Shell 57/50-2  </t>
  </si>
  <si>
    <t xml:space="preserve">Офис. часть. Монтаж. Вырезные цилиндры из минеральной ваты толщиной 50мм для Ф76x3.5 ISOTEC Shell 76/50-2  </t>
  </si>
  <si>
    <t xml:space="preserve">Офис. часть. Монтаж. Вырезные цилиндры из минеральной ваты толщиной 50мм для Ф89x3.5 ISOTEC Shell 89/50-2  </t>
  </si>
  <si>
    <t xml:space="preserve">Офис. часть. Монтаж. Трубки из вспененного каучука толщиной 19мм для Ф15 K-FLEX ST 22/19-2  </t>
  </si>
  <si>
    <t xml:space="preserve">Офис. часть. Монтаж. Трубки из вспененного каучука толщиной 19мм для Ф32 K-FLEX ST 42/19-2  </t>
  </si>
  <si>
    <t xml:space="preserve">Офис. часть. Монтаж. Трубки из вспененного каучука толщиной 19мм для Ф40 K-FLEX ST 48/19-2  </t>
  </si>
  <si>
    <t>Теплоснабж. Монтаж. Кран шаровой, полнопроходной, ручка рычаг, с внутренней резьбой, DN80 PN16 КШ.Ц.Ф.0М080  LD</t>
  </si>
  <si>
    <t>Теплоснабж. Монтаж. Фильтр сетчатый со спускным краном DN50 FVR-0 065B8246 Ридан</t>
  </si>
  <si>
    <t xml:space="preserve">Теплоснабж. Монтаж. Вырезные цилиндры из минеральной ваты толщиной 50мм для Ф89x3.5 ISOTEC Shell 89/50-2  </t>
  </si>
  <si>
    <t>Теплоснабж. Монтаж. Клапан ручной балансировочный MVT-R, DN32 MVT-R DN32 003Z4044R Ридан</t>
  </si>
  <si>
    <t>Теплоснабж. Монтаж. Клапан ручной балансировочный MVT-R, DN40 MVT-R 003Z4045R Ридан</t>
  </si>
  <si>
    <t>Теплоснабж. Монтаж. Кран шаровой для монтажа термодатчика DN20 DN20 Н00002391 Пульсар</t>
  </si>
  <si>
    <t>Теплоснабж. Монтаж. Кран шаровой, полнопроходной, ручка рычаг, с внутренней резьбой, DN80 PN16 ^^^.DN080  LD</t>
  </si>
  <si>
    <t>Теплоснабж. Монтаж. Кран шаровый латунный c внутренней резьбой LD Pride 47.20.В-В.Р  LD</t>
  </si>
  <si>
    <t>Теплоснабж. Монтаж. Кран шаровый латунный c внутренней резьбой LD Pride 47.40.В-В.Р  LD</t>
  </si>
  <si>
    <t>Теплоснабж. Монтаж. Теплосчетчик механический Пульсар с импульсным выходом, интерфейс RS485 DN20 Н00004577 PLSR-53355017 ООО 'НПП Тепловодохран'</t>
  </si>
  <si>
    <t>Теплоснабж. Монтаж. Фильтр сетчатый со спускным краном DN20 FVR-D 065B8242 Ридан</t>
  </si>
  <si>
    <t>Теплоснабж. Монтаж. Фильтр сетчатый со спускным краном DN32 FVR-D 065B8244 Ридан</t>
  </si>
  <si>
    <t>Теплоснабж. Монтаж. Фильтр сетчатый со спускным краном DN40 FVR-D 065B8245 Ридан</t>
  </si>
  <si>
    <t xml:space="preserve">Теплоснабж. Монтаж. Труба стальная 32х3.2 длиной 500мм ГОСТ 3262-75  </t>
  </si>
  <si>
    <t xml:space="preserve">Теплоснабж. Монтаж. Труба стальная 57х3.0 длиной 500мм ГОСТ 10704-91  </t>
  </si>
  <si>
    <t xml:space="preserve">Теплоснабж. Монтаж. Труба стальная 89х3.5 длиной 500мм ГОСТ 10704-91  </t>
  </si>
  <si>
    <t xml:space="preserve">Теплоснабж. Монтаж. Труба стальная 133.5х4.5 длиной 500мм ГОСТ 10704-91  </t>
  </si>
  <si>
    <t xml:space="preserve">Теплоснабж. Монтаж. Труба стальная водогазопроводная Ф 40   </t>
  </si>
  <si>
    <t xml:space="preserve">Теплоснабж. Монтаж. Труба стальная электросварная прямошовная 108x4   </t>
  </si>
  <si>
    <t xml:space="preserve">Теплоснабж. Монтаж. Вырезные цилиндры из минеральной ваты толщиной 30мм для Ф15 ISOTEC Shell 22/30-2  </t>
  </si>
  <si>
    <t xml:space="preserve">Теплоснабж. Монтаж. Вырезные цилиндры из минеральной ваты толщиной 30мм для Ф40 ISOTEC Shell 48/30-2  </t>
  </si>
  <si>
    <t xml:space="preserve">Теплоснабж. Монтаж. Вырезные цилиндры из минеральной ваты толщиной 30мм для Ф108x4 ISOTEC Shell 108/30-2  </t>
  </si>
  <si>
    <t xml:space="preserve">Теплоснабж. Монтаж. Вырезные цилиндры из минеральной ваты толщиной 50мм для Ф20 ISOTEC Shell 28/50-2  </t>
  </si>
  <si>
    <t xml:space="preserve">Теплоснабж. Монтаж. Вырезные цилиндры из минеральной ваты толщиной 50мм для Ф32 ISOTEC Shell 42/50-2  </t>
  </si>
  <si>
    <t xml:space="preserve">Теплоснабж. Монтаж. Вырезные цилиндры из минеральной ваты толщиной 50мм для Ф40 ISOTEC Shell 48/50-2  </t>
  </si>
  <si>
    <t xml:space="preserve">Теплоснабж. Монтаж. Вырезные цилиндры из минеральной ваты толщиной 50мм для Ф57x3.5 ISOTEC Shell 57/50-2  </t>
  </si>
  <si>
    <t>Приложение к ТЗ № 80</t>
  </si>
  <si>
    <t xml:space="preserve">Директор _________________________ /  /  </t>
  </si>
  <si>
    <t xml:space="preserve">Шифр проекта: 32-23-00-С10,А7-ОВ1 изм. 1; 32-23-00-С11,А8-ОВ1 изм. 1; </t>
  </si>
  <si>
    <t>03.04.03.01.74</t>
  </si>
  <si>
    <t>03.04.03.01.180</t>
  </si>
  <si>
    <t>03.04.03.01.181</t>
  </si>
  <si>
    <t>03.04.03.01.196</t>
  </si>
  <si>
    <t>8. ***** - Материал спецификации РД (футорка и патрубок с футоркой для подключения импульсной трубки) учесть в стоимости материала трубопровода.</t>
  </si>
  <si>
    <t xml:space="preserve">Пуско-наладочные работы систем отопления и теплоснабжения   </t>
  </si>
  <si>
    <t>в том числе НДС 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</si>
</sst>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Helvetica Neue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theme="1" tint="0.34998626667073579"/>
        <bgColor theme="0"/>
      </patternFill>
    </fill>
    <fill>
      <patternFill patternType="solid">
        <fgColor theme="1" tint="0.34998626667073579"/>
        <bgColor indexed="65"/>
      </patternFill>
    </fill>
    <fill>
      <patternFill patternType="solid">
        <fgColor theme="1" tint="0.499984740745262"/>
        <bgColor theme="0"/>
      </patternFill>
    </fill>
    <fill>
      <patternFill patternType="solid">
        <fgColor theme="1" tint="0.499984740745262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theme="0" tint="-0.499984740745262"/>
      </patternFill>
    </fill>
    <fill>
      <patternFill patternType="solid">
        <fgColor theme="1" tint="0.34998626667073579"/>
        <bgColor rgb="FFFFC000"/>
      </patternFill>
    </fill>
    <fill>
      <patternFill patternType="solid">
        <fgColor theme="1" tint="0.499984740745262"/>
        <bgColor rgb="FFFFC000"/>
      </patternFill>
    </fill>
    <fill>
      <patternFill patternType="solid">
        <fgColor theme="0" tint="-0.249977111117893"/>
        <bgColor indexed="5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0" tint="-0.34998626667073579"/>
      </patternFill>
    </fill>
    <fill>
      <patternFill patternType="solid">
        <fgColor indexed="65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 applyNumberFormat="0" applyFill="0" applyBorder="0" applyProtection="0">
      <alignment vertical="top"/>
    </xf>
    <xf numFmtId="0" fontId="5" fillId="0" borderId="0"/>
    <xf numFmtId="0" fontId="2" fillId="0" borderId="0"/>
    <xf numFmtId="0" fontId="9" fillId="0" borderId="0"/>
    <xf numFmtId="0" fontId="1" fillId="0" borderId="0"/>
  </cellStyleXfs>
  <cellXfs count="139">
    <xf numFmtId="0" fontId="0" fillId="0" borderId="0" xfId="0"/>
    <xf numFmtId="0" fontId="6" fillId="3" borderId="0" xfId="2" applyFont="1" applyFill="1" applyAlignment="1">
      <alignment horizontal="center" vertical="center"/>
    </xf>
    <xf numFmtId="0" fontId="6" fillId="3" borderId="0" xfId="2" applyFont="1" applyFill="1" applyAlignment="1">
      <alignment vertical="top" wrapText="1"/>
    </xf>
    <xf numFmtId="0" fontId="6" fillId="3" borderId="0" xfId="2" applyFont="1" applyFill="1" applyAlignment="1">
      <alignment vertical="top"/>
    </xf>
    <xf numFmtId="0" fontId="6" fillId="3" borderId="0" xfId="2" applyFont="1" applyFill="1"/>
    <xf numFmtId="0" fontId="6" fillId="3" borderId="0" xfId="2" applyFont="1" applyFill="1" applyAlignment="1">
      <alignment vertical="center"/>
    </xf>
    <xf numFmtId="0" fontId="6" fillId="3" borderId="0" xfId="7" applyFont="1" applyFill="1" applyAlignment="1">
      <alignment horizontal="center" vertical="center"/>
    </xf>
    <xf numFmtId="4" fontId="6" fillId="3" borderId="0" xfId="7" applyNumberFormat="1" applyFont="1" applyFill="1" applyAlignment="1">
      <alignment horizontal="center" vertical="center"/>
    </xf>
    <xf numFmtId="0" fontId="7" fillId="0" borderId="0" xfId="8" applyFont="1" applyAlignment="1">
      <alignment vertical="center"/>
    </xf>
    <xf numFmtId="0" fontId="7" fillId="0" borderId="0" xfId="5" applyFont="1">
      <alignment vertical="top"/>
    </xf>
    <xf numFmtId="0" fontId="6" fillId="2" borderId="0" xfId="4" applyFont="1" applyFill="1" applyAlignment="1">
      <alignment vertical="top"/>
    </xf>
    <xf numFmtId="0" fontId="6" fillId="2" borderId="0" xfId="4" applyFont="1" applyFill="1" applyAlignment="1">
      <alignment horizontal="center" vertical="center"/>
    </xf>
    <xf numFmtId="0" fontId="6" fillId="2" borderId="0" xfId="4" applyFont="1" applyFill="1" applyAlignment="1">
      <alignment horizontal="center" vertical="top"/>
    </xf>
    <xf numFmtId="0" fontId="6" fillId="2" borderId="0" xfId="4" applyFont="1" applyFill="1" applyAlignment="1">
      <alignment horizontal="center" vertical="center" wrapText="1"/>
    </xf>
    <xf numFmtId="4" fontId="6" fillId="2" borderId="0" xfId="4" applyNumberFormat="1" applyFont="1" applyFill="1" applyAlignment="1">
      <alignment horizontal="center" vertical="center" wrapText="1"/>
    </xf>
    <xf numFmtId="0" fontId="6" fillId="3" borderId="0" xfId="7" applyFont="1" applyFill="1" applyAlignment="1">
      <alignment vertical="center"/>
    </xf>
    <xf numFmtId="0" fontId="8" fillId="3" borderId="0" xfId="7" applyFont="1" applyFill="1" applyAlignment="1">
      <alignment horizontal="center" vertical="center"/>
    </xf>
    <xf numFmtId="4" fontId="8" fillId="3" borderId="0" xfId="7" applyNumberFormat="1" applyFont="1" applyFill="1" applyAlignment="1">
      <alignment horizontal="center" vertical="center"/>
    </xf>
    <xf numFmtId="0" fontId="8" fillId="3" borderId="0" xfId="4" applyFont="1" applyFill="1" applyAlignment="1" applyProtection="1">
      <alignment vertical="center"/>
      <protection locked="0"/>
    </xf>
    <xf numFmtId="0" fontId="8" fillId="3" borderId="4" xfId="4" applyFont="1" applyFill="1" applyBorder="1" applyAlignment="1" applyProtection="1">
      <alignment vertical="center"/>
      <protection locked="0"/>
    </xf>
    <xf numFmtId="0" fontId="6" fillId="0" borderId="0" xfId="4" applyFont="1" applyAlignment="1">
      <alignment horizontal="center" vertical="center"/>
    </xf>
    <xf numFmtId="0" fontId="13" fillId="3" borderId="3" xfId="5" applyFont="1" applyFill="1" applyBorder="1" applyAlignment="1">
      <alignment horizontal="center" vertical="center"/>
    </xf>
    <xf numFmtId="0" fontId="13" fillId="3" borderId="3" xfId="5" applyFont="1" applyFill="1" applyBorder="1" applyAlignment="1">
      <alignment horizontal="center" vertical="center" wrapText="1"/>
    </xf>
    <xf numFmtId="0" fontId="13" fillId="3" borderId="3" xfId="2" applyFont="1" applyFill="1" applyBorder="1" applyAlignment="1">
      <alignment horizontal="center" vertical="center" wrapText="1"/>
    </xf>
    <xf numFmtId="0" fontId="11" fillId="3" borderId="2" xfId="5" applyFont="1" applyFill="1" applyBorder="1" applyAlignment="1" applyProtection="1">
      <alignment horizontal="center" vertical="center"/>
      <protection hidden="1"/>
    </xf>
    <xf numFmtId="4" fontId="11" fillId="3" borderId="2" xfId="5" applyNumberFormat="1" applyFont="1" applyFill="1" applyBorder="1" applyAlignment="1" applyProtection="1">
      <alignment horizontal="center" vertical="center"/>
      <protection hidden="1"/>
    </xf>
    <xf numFmtId="49" fontId="13" fillId="3" borderId="3" xfId="3" applyNumberFormat="1" applyFont="1" applyFill="1" applyBorder="1" applyAlignment="1">
      <alignment horizontal="right" vertical="center"/>
    </xf>
    <xf numFmtId="4" fontId="13" fillId="2" borderId="3" xfId="5" applyNumberFormat="1" applyFont="1" applyFill="1" applyBorder="1" applyAlignment="1" applyProtection="1">
      <alignment horizontal="center" vertical="center"/>
      <protection hidden="1"/>
    </xf>
    <xf numFmtId="4" fontId="13" fillId="2" borderId="2" xfId="5" applyNumberFormat="1" applyFont="1" applyFill="1" applyBorder="1" applyAlignment="1" applyProtection="1">
      <alignment horizontal="center" vertical="center"/>
      <protection hidden="1"/>
    </xf>
    <xf numFmtId="4" fontId="13" fillId="0" borderId="2" xfId="5" applyNumberFormat="1" applyFont="1" applyFill="1" applyBorder="1" applyAlignment="1" applyProtection="1">
      <alignment horizontal="center" vertical="center" wrapText="1"/>
      <protection hidden="1"/>
    </xf>
    <xf numFmtId="0" fontId="11" fillId="0" borderId="3" xfId="2" applyFont="1" applyBorder="1" applyAlignment="1">
      <alignment horizontal="center" vertical="center" wrapText="1"/>
    </xf>
    <xf numFmtId="4" fontId="11" fillId="0" borderId="3" xfId="2" applyNumberFormat="1" applyFont="1" applyBorder="1" applyAlignment="1">
      <alignment horizontal="center" vertical="center" wrapText="1"/>
    </xf>
    <xf numFmtId="49" fontId="15" fillId="5" borderId="3" xfId="9" applyNumberFormat="1" applyFont="1" applyFill="1" applyBorder="1" applyAlignment="1">
      <alignment horizontal="right" vertical="center" wrapText="1"/>
    </xf>
    <xf numFmtId="0" fontId="15" fillId="6" borderId="3" xfId="9" applyFont="1" applyFill="1" applyBorder="1" applyAlignment="1">
      <alignment vertical="center" wrapText="1"/>
    </xf>
    <xf numFmtId="4" fontId="15" fillId="6" borderId="3" xfId="9" applyNumberFormat="1" applyFont="1" applyFill="1" applyBorder="1" applyAlignment="1">
      <alignment horizontal="center" vertical="center" wrapText="1"/>
    </xf>
    <xf numFmtId="0" fontId="16" fillId="0" borderId="0" xfId="2" applyFont="1" applyAlignment="1">
      <alignment vertical="center" wrapText="1"/>
    </xf>
    <xf numFmtId="49" fontId="15" fillId="7" borderId="3" xfId="9" applyNumberFormat="1" applyFont="1" applyFill="1" applyBorder="1" applyAlignment="1">
      <alignment horizontal="right" vertical="center" wrapText="1"/>
    </xf>
    <xf numFmtId="0" fontId="15" fillId="8" borderId="3" xfId="9" applyFont="1" applyFill="1" applyBorder="1" applyAlignment="1">
      <alignment vertical="center" wrapText="1"/>
    </xf>
    <xf numFmtId="4" fontId="17" fillId="8" borderId="3" xfId="9" applyNumberFormat="1" applyFont="1" applyFill="1" applyBorder="1" applyAlignment="1">
      <alignment horizontal="center" vertical="center" wrapText="1"/>
    </xf>
    <xf numFmtId="4" fontId="15" fillId="8" borderId="3" xfId="9" applyNumberFormat="1" applyFont="1" applyFill="1" applyBorder="1" applyAlignment="1">
      <alignment horizontal="center" vertical="center" wrapText="1"/>
    </xf>
    <xf numFmtId="0" fontId="11" fillId="9" borderId="3" xfId="9" applyFont="1" applyFill="1" applyBorder="1" applyAlignment="1">
      <alignment vertical="center" wrapText="1"/>
    </xf>
    <xf numFmtId="0" fontId="11" fillId="10" borderId="3" xfId="9" applyFont="1" applyFill="1" applyBorder="1" applyAlignment="1">
      <alignment vertical="center" wrapText="1"/>
    </xf>
    <xf numFmtId="4" fontId="17" fillId="10" borderId="3" xfId="9" applyNumberFormat="1" applyFont="1" applyFill="1" applyBorder="1" applyAlignment="1">
      <alignment horizontal="center" vertical="center" wrapText="1"/>
    </xf>
    <xf numFmtId="4" fontId="11" fillId="10" borderId="3" xfId="9" applyNumberFormat="1" applyFont="1" applyFill="1" applyBorder="1" applyAlignment="1">
      <alignment horizontal="center" vertical="center" wrapText="1"/>
    </xf>
    <xf numFmtId="0" fontId="11" fillId="4" borderId="3" xfId="9" applyFont="1" applyFill="1" applyBorder="1" applyAlignment="1">
      <alignment vertical="center" wrapText="1"/>
    </xf>
    <xf numFmtId="0" fontId="11" fillId="2" borderId="3" xfId="9" applyFont="1" applyFill="1" applyBorder="1" applyAlignment="1">
      <alignment vertical="center" wrapText="1"/>
    </xf>
    <xf numFmtId="4" fontId="17" fillId="2" borderId="3" xfId="9" applyNumberFormat="1" applyFont="1" applyFill="1" applyBorder="1" applyAlignment="1">
      <alignment horizontal="center" vertical="center" wrapText="1"/>
    </xf>
    <xf numFmtId="4" fontId="11" fillId="2" borderId="3" xfId="9" applyNumberFormat="1" applyFont="1" applyFill="1" applyBorder="1" applyAlignment="1">
      <alignment horizontal="center" vertical="center" wrapText="1"/>
    </xf>
    <xf numFmtId="4" fontId="11" fillId="10" borderId="3" xfId="2" applyNumberFormat="1" applyFont="1" applyFill="1" applyBorder="1" applyAlignment="1" applyProtection="1">
      <alignment horizontal="center" vertical="center"/>
      <protection locked="0"/>
    </xf>
    <xf numFmtId="4" fontId="14" fillId="2" borderId="3" xfId="2" applyNumberFormat="1" applyFont="1" applyFill="1" applyBorder="1" applyAlignment="1" applyProtection="1">
      <alignment horizontal="center" vertical="center" wrapText="1"/>
      <protection locked="0"/>
    </xf>
    <xf numFmtId="0" fontId="6" fillId="3" borderId="0" xfId="7" applyFont="1" applyFill="1" applyAlignment="1">
      <alignment horizontal="left" vertical="center" wrapText="1"/>
    </xf>
    <xf numFmtId="0" fontId="6" fillId="3" borderId="0" xfId="7" applyFont="1" applyFill="1" applyAlignment="1">
      <alignment horizontal="left" vertical="center"/>
    </xf>
    <xf numFmtId="4" fontId="6" fillId="2" borderId="0" xfId="4" applyNumberFormat="1" applyFont="1" applyFill="1" applyAlignment="1">
      <alignment horizontal="center" vertical="center"/>
    </xf>
    <xf numFmtId="4" fontId="11" fillId="12" borderId="3" xfId="4" applyNumberFormat="1" applyFont="1" applyFill="1" applyBorder="1" applyAlignment="1">
      <alignment vertical="center"/>
    </xf>
    <xf numFmtId="4" fontId="11" fillId="13" borderId="3" xfId="4" applyNumberFormat="1" applyFont="1" applyFill="1" applyBorder="1" applyAlignment="1">
      <alignment vertical="center"/>
    </xf>
    <xf numFmtId="4" fontId="11" fillId="14" borderId="3" xfId="3" applyNumberFormat="1" applyFont="1" applyFill="1" applyBorder="1" applyAlignment="1">
      <alignment horizontal="right" vertical="center"/>
    </xf>
    <xf numFmtId="4" fontId="11" fillId="14" borderId="3" xfId="3" applyNumberFormat="1" applyFont="1" applyFill="1" applyBorder="1" applyAlignment="1">
      <alignment horizontal="center" vertical="center"/>
    </xf>
    <xf numFmtId="4" fontId="15" fillId="12" borderId="3" xfId="4" applyNumberFormat="1" applyFont="1" applyFill="1" applyBorder="1" applyAlignment="1">
      <alignment horizontal="center" vertical="center"/>
    </xf>
    <xf numFmtId="4" fontId="15" fillId="13" borderId="3" xfId="4" applyNumberFormat="1" applyFont="1" applyFill="1" applyBorder="1" applyAlignment="1">
      <alignment horizontal="center" vertical="center"/>
    </xf>
    <xf numFmtId="49" fontId="13" fillId="15" borderId="3" xfId="3" applyNumberFormat="1" applyFont="1" applyFill="1" applyBorder="1" applyAlignment="1">
      <alignment horizontal="right" vertical="center"/>
    </xf>
    <xf numFmtId="4" fontId="11" fillId="0" borderId="3" xfId="7" applyNumberFormat="1" applyFont="1" applyBorder="1" applyAlignment="1">
      <alignment horizontal="center" vertical="center" wrapText="1"/>
    </xf>
    <xf numFmtId="0" fontId="6" fillId="0" borderId="0" xfId="7" applyFont="1" applyAlignment="1">
      <alignment horizontal="center" vertical="center"/>
    </xf>
    <xf numFmtId="4" fontId="6" fillId="0" borderId="0" xfId="7" applyNumberFormat="1" applyFont="1" applyAlignment="1">
      <alignment horizontal="center" vertical="center"/>
    </xf>
    <xf numFmtId="4" fontId="7" fillId="0" borderId="0" xfId="7" applyNumberFormat="1" applyFont="1" applyAlignment="1">
      <alignment horizontal="center" vertical="center"/>
    </xf>
    <xf numFmtId="0" fontId="6" fillId="0" borderId="0" xfId="7" applyFont="1" applyAlignment="1">
      <alignment vertical="center"/>
    </xf>
    <xf numFmtId="0" fontId="13" fillId="0" borderId="3" xfId="2" applyFont="1" applyBorder="1" applyAlignment="1">
      <alignment horizontal="center" vertical="center" wrapText="1"/>
    </xf>
    <xf numFmtId="4" fontId="15" fillId="0" borderId="3" xfId="9" applyNumberFormat="1" applyFont="1" applyBorder="1" applyAlignment="1">
      <alignment horizontal="center" vertical="center" wrapText="1"/>
    </xf>
    <xf numFmtId="4" fontId="11" fillId="0" borderId="3" xfId="9" applyNumberFormat="1" applyFont="1" applyBorder="1" applyAlignment="1">
      <alignment horizontal="center" vertical="center" wrapText="1"/>
    </xf>
    <xf numFmtId="4" fontId="17" fillId="0" borderId="3" xfId="9" applyNumberFormat="1" applyFont="1" applyBorder="1" applyAlignment="1">
      <alignment vertical="center" wrapText="1"/>
    </xf>
    <xf numFmtId="4" fontId="11" fillId="0" borderId="3" xfId="2" applyNumberFormat="1" applyFont="1" applyBorder="1" applyAlignment="1" applyProtection="1">
      <alignment horizontal="center" vertical="center"/>
      <protection locked="0"/>
    </xf>
    <xf numFmtId="4" fontId="14" fillId="0" borderId="3" xfId="2" applyNumberFormat="1" applyFont="1" applyBorder="1" applyAlignment="1" applyProtection="1">
      <alignment horizontal="center" vertical="center" wrapText="1"/>
      <protection locked="0"/>
    </xf>
    <xf numFmtId="4" fontId="11" fillId="0" borderId="3" xfId="4" applyNumberFormat="1" applyFont="1" applyBorder="1" applyAlignment="1">
      <alignment horizontal="center" vertical="center" wrapText="1"/>
    </xf>
    <xf numFmtId="4" fontId="11" fillId="0" borderId="3" xfId="3" applyNumberFormat="1" applyFont="1" applyBorder="1" applyAlignment="1">
      <alignment horizontal="center" vertical="center" wrapText="1"/>
    </xf>
    <xf numFmtId="4" fontId="11" fillId="0" borderId="2" xfId="5" applyNumberFormat="1" applyFont="1" applyFill="1" applyBorder="1" applyAlignment="1" applyProtection="1">
      <alignment horizontal="center" vertical="center" wrapText="1"/>
      <protection hidden="1"/>
    </xf>
    <xf numFmtId="4" fontId="14" fillId="0" borderId="3" xfId="7" applyNumberFormat="1" applyFont="1" applyBorder="1" applyAlignment="1">
      <alignment horizontal="center" vertical="center" wrapText="1"/>
    </xf>
    <xf numFmtId="0" fontId="8" fillId="0" borderId="0" xfId="4" applyFont="1" applyAlignment="1" applyProtection="1">
      <alignment horizontal="center" vertical="center" wrapText="1"/>
      <protection locked="0"/>
    </xf>
    <xf numFmtId="0" fontId="7" fillId="0" borderId="0" xfId="8" applyFont="1" applyAlignment="1">
      <alignment horizontal="center" vertical="center" wrapText="1"/>
    </xf>
    <xf numFmtId="4" fontId="6" fillId="0" borderId="0" xfId="4" applyNumberFormat="1" applyFont="1" applyAlignment="1">
      <alignment horizontal="center" vertical="center" wrapText="1"/>
    </xf>
    <xf numFmtId="49" fontId="11" fillId="0" borderId="3" xfId="2" applyNumberFormat="1" applyFont="1" applyBorder="1" applyAlignment="1">
      <alignment horizontal="center" vertical="center" wrapText="1"/>
    </xf>
    <xf numFmtId="49" fontId="13" fillId="3" borderId="2" xfId="5" applyNumberFormat="1" applyFont="1" applyFill="1" applyBorder="1" applyAlignment="1">
      <alignment horizontal="center" vertical="center" wrapText="1"/>
    </xf>
    <xf numFmtId="49" fontId="11" fillId="9" borderId="3" xfId="9" applyNumberFormat="1" applyFont="1" applyFill="1" applyBorder="1" applyAlignment="1">
      <alignment horizontal="right" vertical="center" wrapText="1"/>
    </xf>
    <xf numFmtId="49" fontId="11" fillId="4" borderId="3" xfId="9" applyNumberFormat="1" applyFont="1" applyFill="1" applyBorder="1" applyAlignment="1">
      <alignment horizontal="right" vertical="center" wrapText="1"/>
    </xf>
    <xf numFmtId="49" fontId="8" fillId="3" borderId="0" xfId="4" applyNumberFormat="1" applyFont="1" applyFill="1" applyAlignment="1" applyProtection="1">
      <alignment vertical="center"/>
      <protection locked="0"/>
    </xf>
    <xf numFmtId="49" fontId="7" fillId="0" borderId="0" xfId="8" applyNumberFormat="1" applyFont="1" applyAlignment="1">
      <alignment vertical="center"/>
    </xf>
    <xf numFmtId="49" fontId="6" fillId="2" borderId="0" xfId="4" applyNumberFormat="1" applyFont="1" applyFill="1" applyAlignment="1">
      <alignment horizontal="center" vertical="center" wrapText="1"/>
    </xf>
    <xf numFmtId="49" fontId="6" fillId="2" borderId="0" xfId="4" applyNumberFormat="1" applyFont="1" applyFill="1" applyAlignment="1">
      <alignment horizontal="center" vertical="center"/>
    </xf>
    <xf numFmtId="0" fontId="15" fillId="6" borderId="3" xfId="9" applyFont="1" applyFill="1" applyBorder="1" applyAlignment="1">
      <alignment horizontal="center" vertical="center" wrapText="1"/>
    </xf>
    <xf numFmtId="0" fontId="15" fillId="8" borderId="3" xfId="9" applyFont="1" applyFill="1" applyBorder="1" applyAlignment="1">
      <alignment horizontal="center" vertical="center" wrapText="1"/>
    </xf>
    <xf numFmtId="0" fontId="11" fillId="10" borderId="3" xfId="9" applyFont="1" applyFill="1" applyBorder="1" applyAlignment="1">
      <alignment horizontal="center" vertical="center" wrapText="1"/>
    </xf>
    <xf numFmtId="0" fontId="11" fillId="2" borderId="3" xfId="9" applyFont="1" applyFill="1" applyBorder="1" applyAlignment="1">
      <alignment horizontal="center" vertical="center" wrapText="1"/>
    </xf>
    <xf numFmtId="0" fontId="11" fillId="12" borderId="3" xfId="4" applyFont="1" applyFill="1" applyBorder="1" applyAlignment="1">
      <alignment horizontal="center" vertical="center"/>
    </xf>
    <xf numFmtId="0" fontId="11" fillId="13" borderId="3" xfId="4" applyFont="1" applyFill="1" applyBorder="1" applyAlignment="1">
      <alignment horizontal="center" vertical="center"/>
    </xf>
    <xf numFmtId="49" fontId="11" fillId="14" borderId="3" xfId="3" applyNumberFormat="1" applyFont="1" applyFill="1" applyBorder="1" applyAlignment="1">
      <alignment horizontal="center" vertical="center"/>
    </xf>
    <xf numFmtId="0" fontId="8" fillId="3" borderId="0" xfId="4" applyFont="1" applyFill="1" applyAlignment="1" applyProtection="1">
      <alignment horizontal="center" vertical="center"/>
      <protection locked="0"/>
    </xf>
    <xf numFmtId="0" fontId="7" fillId="0" borderId="0" xfId="5" applyFont="1" applyAlignment="1">
      <alignment horizontal="center" vertical="top"/>
    </xf>
    <xf numFmtId="0" fontId="13" fillId="3" borderId="3" xfId="0" applyFont="1" applyFill="1" applyBorder="1" applyAlignment="1" applyProtection="1">
      <alignment vertical="center" wrapText="1"/>
      <protection hidden="1"/>
    </xf>
    <xf numFmtId="0" fontId="14" fillId="3" borderId="0" xfId="4" applyFont="1" applyFill="1" applyAlignment="1" applyProtection="1">
      <alignment vertical="center"/>
      <protection locked="0"/>
    </xf>
    <xf numFmtId="0" fontId="11" fillId="0" borderId="0" xfId="8" applyFont="1" applyAlignment="1">
      <alignment vertical="center"/>
    </xf>
    <xf numFmtId="0" fontId="13" fillId="2" borderId="0" xfId="4" applyFont="1" applyFill="1" applyAlignment="1">
      <alignment vertical="center" wrapText="1"/>
    </xf>
    <xf numFmtId="0" fontId="13" fillId="2" borderId="0" xfId="4" applyFont="1" applyFill="1" applyAlignment="1">
      <alignment vertical="center"/>
    </xf>
    <xf numFmtId="0" fontId="13" fillId="2" borderId="0" xfId="4" applyFont="1" applyFill="1" applyAlignment="1">
      <alignment horizontal="center" vertical="center"/>
    </xf>
    <xf numFmtId="4" fontId="11" fillId="12" borderId="3" xfId="4" applyNumberFormat="1" applyFont="1" applyFill="1" applyBorder="1" applyAlignment="1">
      <alignment horizontal="center" vertical="center"/>
    </xf>
    <xf numFmtId="4" fontId="11" fillId="13" borderId="3" xfId="4" applyNumberFormat="1" applyFont="1" applyFill="1" applyBorder="1" applyAlignment="1">
      <alignment horizontal="center" vertical="center"/>
    </xf>
    <xf numFmtId="4" fontId="8" fillId="3" borderId="0" xfId="4" applyNumberFormat="1" applyFont="1" applyFill="1" applyAlignment="1" applyProtection="1">
      <alignment horizontal="center" vertical="center"/>
      <protection locked="0"/>
    </xf>
    <xf numFmtId="4" fontId="7" fillId="0" borderId="0" xfId="8" applyNumberFormat="1" applyFont="1" applyAlignment="1">
      <alignment horizontal="center" vertical="center"/>
    </xf>
    <xf numFmtId="0" fontId="7" fillId="17" borderId="0" xfId="0" applyFont="1" applyFill="1" applyAlignment="1">
      <alignment vertical="center" wrapText="1"/>
    </xf>
    <xf numFmtId="4" fontId="14" fillId="0" borderId="3" xfId="0" applyNumberFormat="1" applyFont="1" applyBorder="1" applyAlignment="1" applyProtection="1">
      <alignment horizontal="center" vertical="center" wrapText="1"/>
      <protection locked="0"/>
    </xf>
    <xf numFmtId="4" fontId="11" fillId="16" borderId="3" xfId="0" applyNumberFormat="1" applyFont="1" applyFill="1" applyBorder="1" applyAlignment="1" applyProtection="1">
      <alignment horizontal="center" vertical="center"/>
      <protection locked="0"/>
    </xf>
    <xf numFmtId="49" fontId="13" fillId="3" borderId="3" xfId="3" applyNumberFormat="1" applyFont="1" applyFill="1" applyBorder="1" applyAlignment="1">
      <alignment horizontal="center" vertical="center" wrapText="1"/>
    </xf>
    <xf numFmtId="4" fontId="11" fillId="15" borderId="3" xfId="7" applyNumberFormat="1" applyFont="1" applyFill="1" applyBorder="1" applyAlignment="1">
      <alignment horizontal="center" vertical="center"/>
    </xf>
    <xf numFmtId="0" fontId="11" fillId="0" borderId="7" xfId="5" applyFont="1" applyFill="1" applyBorder="1" applyAlignment="1">
      <alignment horizontal="center" vertical="center" wrapText="1"/>
    </xf>
    <xf numFmtId="4" fontId="13" fillId="3" borderId="3" xfId="3" applyNumberFormat="1" applyFont="1" applyFill="1" applyBorder="1" applyAlignment="1">
      <alignment horizontal="center" vertical="center" wrapText="1"/>
    </xf>
    <xf numFmtId="3" fontId="13" fillId="3" borderId="3" xfId="5" applyNumberFormat="1" applyFont="1" applyFill="1" applyBorder="1" applyAlignment="1">
      <alignment horizontal="center" vertical="center" wrapText="1"/>
    </xf>
    <xf numFmtId="49" fontId="7" fillId="18" borderId="0" xfId="7" applyNumberFormat="1" applyFont="1" applyFill="1" applyAlignment="1">
      <alignment horizontal="left" vertical="center"/>
    </xf>
    <xf numFmtId="0" fontId="13" fillId="18" borderId="0" xfId="7" applyFont="1" applyFill="1" applyAlignment="1">
      <alignment horizontal="left" vertical="center"/>
    </xf>
    <xf numFmtId="0" fontId="6" fillId="18" borderId="0" xfId="7" applyFont="1" applyFill="1" applyAlignment="1">
      <alignment horizontal="center" vertical="center"/>
    </xf>
    <xf numFmtId="4" fontId="6" fillId="18" borderId="0" xfId="7" applyNumberFormat="1" applyFont="1" applyFill="1" applyAlignment="1">
      <alignment horizontal="center" vertical="center"/>
    </xf>
    <xf numFmtId="0" fontId="6" fillId="18" borderId="0" xfId="7" applyFont="1" applyFill="1" applyAlignment="1">
      <alignment horizontal="left" vertical="center"/>
    </xf>
    <xf numFmtId="0" fontId="14" fillId="2" borderId="3" xfId="2" applyFont="1" applyFill="1" applyBorder="1" applyAlignment="1" applyProtection="1">
      <alignment horizontal="right" vertical="center"/>
      <protection locked="0"/>
    </xf>
    <xf numFmtId="0" fontId="11" fillId="0" borderId="5" xfId="5" applyFont="1" applyFill="1" applyBorder="1" applyAlignment="1">
      <alignment horizontal="center" vertical="center" wrapText="1"/>
    </xf>
    <xf numFmtId="0" fontId="11" fillId="0" borderId="6" xfId="5" applyFont="1" applyFill="1" applyBorder="1" applyAlignment="1">
      <alignment horizontal="center" vertical="center" wrapText="1"/>
    </xf>
    <xf numFmtId="0" fontId="11" fillId="0" borderId="7" xfId="5" applyFont="1" applyFill="1" applyBorder="1" applyAlignment="1">
      <alignment horizontal="center" vertical="center" wrapText="1"/>
    </xf>
    <xf numFmtId="49" fontId="6" fillId="18" borderId="0" xfId="7" applyNumberFormat="1" applyFont="1" applyFill="1" applyAlignment="1">
      <alignment horizontal="left" vertical="center" wrapText="1"/>
    </xf>
    <xf numFmtId="49" fontId="6" fillId="18" borderId="0" xfId="7" applyNumberFormat="1" applyFont="1" applyFill="1" applyAlignment="1">
      <alignment horizontal="left" vertical="center"/>
    </xf>
    <xf numFmtId="49" fontId="16" fillId="18" borderId="0" xfId="7" applyNumberFormat="1" applyFont="1" applyFill="1" applyAlignment="1">
      <alignment horizontal="left" vertical="center" wrapText="1"/>
    </xf>
    <xf numFmtId="49" fontId="16" fillId="18" borderId="0" xfId="7" applyNumberFormat="1" applyFont="1" applyFill="1" applyAlignment="1">
      <alignment horizontal="left" vertical="center"/>
    </xf>
    <xf numFmtId="4" fontId="6" fillId="2" borderId="0" xfId="4" applyNumberFormat="1" applyFont="1" applyFill="1" applyAlignment="1">
      <alignment horizontal="center" vertical="center"/>
    </xf>
    <xf numFmtId="0" fontId="11" fillId="16" borderId="3" xfId="0" applyFont="1" applyFill="1" applyBorder="1" applyAlignment="1" applyProtection="1">
      <alignment horizontal="right" vertical="center"/>
      <protection locked="0"/>
    </xf>
    <xf numFmtId="0" fontId="14" fillId="0" borderId="3" xfId="0" applyFont="1" applyBorder="1" applyAlignment="1" applyProtection="1">
      <alignment horizontal="right" vertical="center"/>
      <protection locked="0"/>
    </xf>
    <xf numFmtId="0" fontId="6" fillId="17" borderId="0" xfId="0" applyFont="1" applyFill="1" applyAlignment="1">
      <alignment horizontal="center" vertical="center" wrapText="1"/>
    </xf>
    <xf numFmtId="0" fontId="6" fillId="18" borderId="0" xfId="7" applyFont="1" applyFill="1" applyAlignment="1">
      <alignment horizontal="left" vertical="center"/>
    </xf>
    <xf numFmtId="0" fontId="11" fillId="15" borderId="3" xfId="0" applyFont="1" applyFill="1" applyBorder="1" applyAlignment="1" applyProtection="1">
      <alignment horizontal="right" vertical="center"/>
      <protection locked="0"/>
    </xf>
    <xf numFmtId="0" fontId="6" fillId="18" borderId="0" xfId="7" applyFont="1" applyFill="1" applyAlignment="1">
      <alignment horizontal="left" vertical="center" wrapText="1"/>
    </xf>
    <xf numFmtId="0" fontId="13" fillId="3" borderId="0" xfId="2" applyFont="1" applyFill="1" applyAlignment="1">
      <alignment horizontal="center" vertical="center" wrapText="1"/>
    </xf>
    <xf numFmtId="0" fontId="12" fillId="3" borderId="0" xfId="2" applyFont="1" applyFill="1" applyAlignment="1">
      <alignment horizontal="center" vertical="center" wrapText="1"/>
    </xf>
    <xf numFmtId="0" fontId="13" fillId="2" borderId="1" xfId="4" applyFont="1" applyFill="1" applyBorder="1" applyAlignment="1">
      <alignment horizontal="center" vertical="center" wrapText="1"/>
    </xf>
    <xf numFmtId="4" fontId="17" fillId="11" borderId="5" xfId="0" applyNumberFormat="1" applyFont="1" applyFill="1" applyBorder="1" applyAlignment="1">
      <alignment horizontal="right" vertical="center"/>
    </xf>
    <xf numFmtId="4" fontId="17" fillId="11" borderId="6" xfId="0" applyNumberFormat="1" applyFont="1" applyFill="1" applyBorder="1" applyAlignment="1">
      <alignment horizontal="right" vertical="center"/>
    </xf>
    <xf numFmtId="4" fontId="17" fillId="11" borderId="7" xfId="0" applyNumberFormat="1" applyFont="1" applyFill="1" applyBorder="1" applyAlignment="1">
      <alignment horizontal="right" vertical="center"/>
    </xf>
  </cellXfs>
  <cellStyles count="10">
    <cellStyle name="Обычный" xfId="0" builtinId="0"/>
    <cellStyle name="Обычный 15" xfId="7" xr:uid="{143EF20E-0753-45C4-ADA1-F53BF438DC49}"/>
    <cellStyle name="Обычный 16" xfId="1" xr:uid="{00000000-0005-0000-0000-000001000000}"/>
    <cellStyle name="Обычный 17" xfId="6" xr:uid="{15A8F644-1CDE-46A5-AC33-F081113F0D87}"/>
    <cellStyle name="Обычный 2" xfId="2" xr:uid="{00000000-0005-0000-0000-000002000000}"/>
    <cellStyle name="Обычный 2 2 2 4" xfId="9" xr:uid="{DA175BB7-0E32-473B-AD7A-DCA1F1E2B677}"/>
    <cellStyle name="Обычный 2 2 2 4 2" xfId="3" xr:uid="{00000000-0005-0000-0000-000003000000}"/>
    <cellStyle name="Обычный 2 2 2 4 5" xfId="4" xr:uid="{00000000-0005-0000-0000-000004000000}"/>
    <cellStyle name="Обычный 4" xfId="5" xr:uid="{00000000-0005-0000-0000-000005000000}"/>
    <cellStyle name="Обычный 6" xfId="8" xr:uid="{5B66D42D-A160-41C4-B4A1-6ABC9741DD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121F-3EB5-42A6-AF85-A08DA988B695}">
  <sheetPr>
    <tabColor rgb="FF92D050"/>
    <pageSetUpPr fitToPage="1"/>
  </sheetPr>
  <dimension ref="A1:FF1182"/>
  <sheetViews>
    <sheetView tabSelected="1" zoomScale="70" zoomScaleNormal="70" zoomScaleSheetLayoutView="55" workbookViewId="0">
      <pane xSplit="4" ySplit="7" topLeftCell="E911" activePane="bottomRight" state="frozen"/>
      <selection activeCell="F1055" sqref="F1055"/>
      <selection pane="topRight"/>
      <selection pane="bottomLeft"/>
      <selection pane="bottomRight" activeCell="A926" sqref="A926"/>
    </sheetView>
  </sheetViews>
  <sheetFormatPr defaultColWidth="9.109375" defaultRowHeight="15.6"/>
  <cols>
    <col min="1" max="1" width="23.6640625" style="85" customWidth="1"/>
    <col min="2" max="2" width="73.6640625" style="100" customWidth="1"/>
    <col min="3" max="3" width="12.6640625" style="11" customWidth="1"/>
    <col min="4" max="4" width="17.6640625" style="52" customWidth="1"/>
    <col min="5" max="10" width="20.6640625" style="52" customWidth="1"/>
    <col min="11" max="11" width="23.6640625" style="77" customWidth="1"/>
    <col min="12" max="12" width="13.5546875" style="11" bestFit="1" customWidth="1"/>
    <col min="13" max="16384" width="9.109375" style="11"/>
  </cols>
  <sheetData>
    <row r="1" spans="1:162">
      <c r="J1" s="126" t="s">
        <v>905</v>
      </c>
      <c r="K1" s="126"/>
    </row>
    <row r="2" spans="1:162" ht="39.75" customHeight="1">
      <c r="A2" s="129" t="s">
        <v>319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</row>
    <row r="3" spans="1:162" s="4" customFormat="1">
      <c r="A3" s="133" t="s">
        <v>172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</row>
    <row r="4" spans="1:162" s="3" customFormat="1" ht="20.399999999999999">
      <c r="A4" s="134" t="s">
        <v>315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2"/>
    </row>
    <row r="5" spans="1:162" s="10" customFormat="1">
      <c r="A5" s="135" t="s">
        <v>907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</row>
    <row r="6" spans="1:162" s="1" customFormat="1" ht="62.4">
      <c r="A6" s="78" t="s">
        <v>0</v>
      </c>
      <c r="B6" s="30" t="s">
        <v>1</v>
      </c>
      <c r="C6" s="30" t="s">
        <v>175</v>
      </c>
      <c r="D6" s="31" t="s">
        <v>2</v>
      </c>
      <c r="E6" s="30" t="s">
        <v>3</v>
      </c>
      <c r="F6" s="30" t="s">
        <v>4</v>
      </c>
      <c r="G6" s="30" t="s">
        <v>5</v>
      </c>
      <c r="H6" s="30" t="s">
        <v>6</v>
      </c>
      <c r="I6" s="30" t="s">
        <v>7</v>
      </c>
      <c r="J6" s="30" t="s">
        <v>8</v>
      </c>
      <c r="K6" s="30" t="s">
        <v>173</v>
      </c>
      <c r="L6" s="5"/>
      <c r="M6" s="5"/>
    </row>
    <row r="7" spans="1:162" s="1" customFormat="1">
      <c r="A7" s="79">
        <v>1</v>
      </c>
      <c r="B7" s="21">
        <v>2</v>
      </c>
      <c r="C7" s="22">
        <v>3</v>
      </c>
      <c r="D7" s="112">
        <v>4</v>
      </c>
      <c r="E7" s="23">
        <v>5</v>
      </c>
      <c r="F7" s="23">
        <v>6</v>
      </c>
      <c r="G7" s="23">
        <v>7</v>
      </c>
      <c r="H7" s="23">
        <v>8</v>
      </c>
      <c r="I7" s="23">
        <v>9</v>
      </c>
      <c r="J7" s="23">
        <v>10</v>
      </c>
      <c r="K7" s="65">
        <v>11</v>
      </c>
    </row>
    <row r="8" spans="1:162">
      <c r="A8" s="119" t="s">
        <v>344</v>
      </c>
      <c r="B8" s="120"/>
      <c r="C8" s="120"/>
      <c r="D8" s="120"/>
      <c r="E8" s="120"/>
      <c r="F8" s="120"/>
      <c r="G8" s="120"/>
      <c r="H8" s="120"/>
      <c r="I8" s="120"/>
      <c r="J8" s="121"/>
      <c r="K8" s="110"/>
    </row>
    <row r="9" spans="1:162" s="35" customFormat="1" ht="15" customHeight="1">
      <c r="A9" s="32" t="s">
        <v>9</v>
      </c>
      <c r="B9" s="33" t="s">
        <v>10</v>
      </c>
      <c r="C9" s="86"/>
      <c r="D9" s="34"/>
      <c r="E9" s="33"/>
      <c r="F9" s="33"/>
      <c r="G9" s="33"/>
      <c r="H9" s="34"/>
      <c r="I9" s="34"/>
      <c r="J9" s="34">
        <f>J10</f>
        <v>0</v>
      </c>
      <c r="K9" s="66"/>
    </row>
    <row r="10" spans="1:162" s="35" customFormat="1" ht="15" customHeight="1">
      <c r="A10" s="36" t="s">
        <v>11</v>
      </c>
      <c r="B10" s="37" t="s">
        <v>12</v>
      </c>
      <c r="C10" s="87"/>
      <c r="D10" s="39"/>
      <c r="E10" s="37"/>
      <c r="F10" s="37"/>
      <c r="G10" s="37"/>
      <c r="H10" s="38"/>
      <c r="I10" s="38"/>
      <c r="J10" s="39">
        <f>J11</f>
        <v>0</v>
      </c>
      <c r="K10" s="66"/>
    </row>
    <row r="11" spans="1:162" s="35" customFormat="1">
      <c r="A11" s="80" t="s">
        <v>13</v>
      </c>
      <c r="B11" s="40" t="s">
        <v>14</v>
      </c>
      <c r="C11" s="88"/>
      <c r="D11" s="43"/>
      <c r="E11" s="41"/>
      <c r="F11" s="41"/>
      <c r="G11" s="41"/>
      <c r="H11" s="42"/>
      <c r="I11" s="42"/>
      <c r="J11" s="43">
        <f>J12</f>
        <v>0</v>
      </c>
      <c r="K11" s="67"/>
    </row>
    <row r="12" spans="1:162" s="35" customFormat="1">
      <c r="A12" s="81" t="s">
        <v>15</v>
      </c>
      <c r="B12" s="44" t="s">
        <v>16</v>
      </c>
      <c r="C12" s="89"/>
      <c r="D12" s="47"/>
      <c r="E12" s="45"/>
      <c r="F12" s="45"/>
      <c r="G12" s="45"/>
      <c r="H12" s="46"/>
      <c r="I12" s="46"/>
      <c r="J12" s="47">
        <f>SUM(J13:J456)</f>
        <v>0</v>
      </c>
      <c r="K12" s="68"/>
    </row>
    <row r="13" spans="1:162" ht="62.4">
      <c r="A13" s="26" t="s">
        <v>17</v>
      </c>
      <c r="B13" s="95" t="s">
        <v>505</v>
      </c>
      <c r="C13" s="108" t="s">
        <v>313</v>
      </c>
      <c r="D13" s="111">
        <v>2</v>
      </c>
      <c r="E13" s="27">
        <v>0</v>
      </c>
      <c r="F13" s="27">
        <v>0</v>
      </c>
      <c r="G13" s="27">
        <f>E13+F13</f>
        <v>0</v>
      </c>
      <c r="H13" s="28">
        <f>D13*E13</f>
        <v>0</v>
      </c>
      <c r="I13" s="28">
        <f>D13*F13</f>
        <v>0</v>
      </c>
      <c r="J13" s="28">
        <f>H13+I13</f>
        <v>0</v>
      </c>
      <c r="K13" s="29"/>
    </row>
    <row r="14" spans="1:162" ht="62.4">
      <c r="A14" s="26" t="s">
        <v>18</v>
      </c>
      <c r="B14" s="95" t="s">
        <v>506</v>
      </c>
      <c r="C14" s="108" t="s">
        <v>313</v>
      </c>
      <c r="D14" s="111">
        <v>5</v>
      </c>
      <c r="E14" s="27">
        <v>0</v>
      </c>
      <c r="F14" s="27">
        <v>0</v>
      </c>
      <c r="G14" s="27">
        <f t="shared" ref="G14:G75" si="0">E14+F14</f>
        <v>0</v>
      </c>
      <c r="H14" s="28">
        <f t="shared" ref="H14:H75" si="1">D14*E14</f>
        <v>0</v>
      </c>
      <c r="I14" s="28">
        <f t="shared" ref="I14:I75" si="2">D14*F14</f>
        <v>0</v>
      </c>
      <c r="J14" s="28">
        <f t="shared" ref="J14:J75" si="3">H14+I14</f>
        <v>0</v>
      </c>
      <c r="K14" s="29"/>
    </row>
    <row r="15" spans="1:162" ht="62.4">
      <c r="A15" s="26" t="s">
        <v>19</v>
      </c>
      <c r="B15" s="95" t="s">
        <v>507</v>
      </c>
      <c r="C15" s="108" t="s">
        <v>313</v>
      </c>
      <c r="D15" s="111">
        <v>13</v>
      </c>
      <c r="E15" s="27">
        <v>0</v>
      </c>
      <c r="F15" s="27">
        <v>0</v>
      </c>
      <c r="G15" s="27">
        <f t="shared" si="0"/>
        <v>0</v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9"/>
    </row>
    <row r="16" spans="1:162" ht="62.4">
      <c r="A16" s="26" t="s">
        <v>20</v>
      </c>
      <c r="B16" s="95" t="s">
        <v>508</v>
      </c>
      <c r="C16" s="108" t="s">
        <v>313</v>
      </c>
      <c r="D16" s="111">
        <v>2</v>
      </c>
      <c r="E16" s="27">
        <v>0</v>
      </c>
      <c r="F16" s="27">
        <v>0</v>
      </c>
      <c r="G16" s="27">
        <f t="shared" si="0"/>
        <v>0</v>
      </c>
      <c r="H16" s="28">
        <f t="shared" si="1"/>
        <v>0</v>
      </c>
      <c r="I16" s="28">
        <f t="shared" si="2"/>
        <v>0</v>
      </c>
      <c r="J16" s="28">
        <f t="shared" si="3"/>
        <v>0</v>
      </c>
      <c r="K16" s="29"/>
    </row>
    <row r="17" spans="1:11" ht="31.2">
      <c r="A17" s="26" t="s">
        <v>21</v>
      </c>
      <c r="B17" s="95" t="s">
        <v>509</v>
      </c>
      <c r="C17" s="108" t="s">
        <v>313</v>
      </c>
      <c r="D17" s="111">
        <v>1</v>
      </c>
      <c r="E17" s="27">
        <v>0</v>
      </c>
      <c r="F17" s="27">
        <v>0</v>
      </c>
      <c r="G17" s="27">
        <f t="shared" si="0"/>
        <v>0</v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9"/>
    </row>
    <row r="18" spans="1:11" ht="31.2">
      <c r="A18" s="26" t="s">
        <v>22</v>
      </c>
      <c r="B18" s="95" t="s">
        <v>510</v>
      </c>
      <c r="C18" s="108" t="s">
        <v>313</v>
      </c>
      <c r="D18" s="111">
        <v>1</v>
      </c>
      <c r="E18" s="27">
        <v>0</v>
      </c>
      <c r="F18" s="27">
        <v>0</v>
      </c>
      <c r="G18" s="27">
        <f t="shared" si="0"/>
        <v>0</v>
      </c>
      <c r="H18" s="28">
        <f t="shared" si="1"/>
        <v>0</v>
      </c>
      <c r="I18" s="28">
        <f t="shared" si="2"/>
        <v>0</v>
      </c>
      <c r="J18" s="28">
        <f t="shared" si="3"/>
        <v>0</v>
      </c>
      <c r="K18" s="29"/>
    </row>
    <row r="19" spans="1:11" ht="31.2">
      <c r="A19" s="26" t="s">
        <v>23</v>
      </c>
      <c r="B19" s="95" t="s">
        <v>511</v>
      </c>
      <c r="C19" s="108" t="s">
        <v>313</v>
      </c>
      <c r="D19" s="111">
        <v>1</v>
      </c>
      <c r="E19" s="27">
        <v>0</v>
      </c>
      <c r="F19" s="27">
        <v>0</v>
      </c>
      <c r="G19" s="27">
        <f t="shared" si="0"/>
        <v>0</v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9"/>
    </row>
    <row r="20" spans="1:11" ht="31.2">
      <c r="A20" s="26" t="s">
        <v>24</v>
      </c>
      <c r="B20" s="95" t="s">
        <v>512</v>
      </c>
      <c r="C20" s="108" t="s">
        <v>313</v>
      </c>
      <c r="D20" s="111">
        <v>7</v>
      </c>
      <c r="E20" s="27">
        <v>0</v>
      </c>
      <c r="F20" s="27">
        <v>0</v>
      </c>
      <c r="G20" s="27">
        <f t="shared" si="0"/>
        <v>0</v>
      </c>
      <c r="H20" s="28">
        <f t="shared" si="1"/>
        <v>0</v>
      </c>
      <c r="I20" s="28">
        <f t="shared" si="2"/>
        <v>0</v>
      </c>
      <c r="J20" s="28">
        <f t="shared" si="3"/>
        <v>0</v>
      </c>
      <c r="K20" s="29"/>
    </row>
    <row r="21" spans="1:11" ht="31.2">
      <c r="A21" s="26" t="s">
        <v>25</v>
      </c>
      <c r="B21" s="95" t="s">
        <v>513</v>
      </c>
      <c r="C21" s="108" t="s">
        <v>313</v>
      </c>
      <c r="D21" s="111">
        <v>6</v>
      </c>
      <c r="E21" s="27">
        <v>0</v>
      </c>
      <c r="F21" s="27">
        <v>0</v>
      </c>
      <c r="G21" s="27">
        <f t="shared" si="0"/>
        <v>0</v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9"/>
    </row>
    <row r="22" spans="1:11" ht="31.2">
      <c r="A22" s="26" t="s">
        <v>26</v>
      </c>
      <c r="B22" s="95" t="s">
        <v>514</v>
      </c>
      <c r="C22" s="108" t="s">
        <v>313</v>
      </c>
      <c r="D22" s="111">
        <v>1</v>
      </c>
      <c r="E22" s="27">
        <v>0</v>
      </c>
      <c r="F22" s="27">
        <v>0</v>
      </c>
      <c r="G22" s="27">
        <f t="shared" si="0"/>
        <v>0</v>
      </c>
      <c r="H22" s="28">
        <f t="shared" si="1"/>
        <v>0</v>
      </c>
      <c r="I22" s="28">
        <f t="shared" si="2"/>
        <v>0</v>
      </c>
      <c r="J22" s="28">
        <f t="shared" si="3"/>
        <v>0</v>
      </c>
      <c r="K22" s="29"/>
    </row>
    <row r="23" spans="1:11" ht="31.2">
      <c r="A23" s="26" t="s">
        <v>27</v>
      </c>
      <c r="B23" s="95" t="s">
        <v>515</v>
      </c>
      <c r="C23" s="108" t="s">
        <v>313</v>
      </c>
      <c r="D23" s="111">
        <v>1</v>
      </c>
      <c r="E23" s="27">
        <v>0</v>
      </c>
      <c r="F23" s="27">
        <v>0</v>
      </c>
      <c r="G23" s="27">
        <f t="shared" si="0"/>
        <v>0</v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9"/>
    </row>
    <row r="24" spans="1:11" ht="46.8">
      <c r="A24" s="26" t="s">
        <v>28</v>
      </c>
      <c r="B24" s="95" t="s">
        <v>516</v>
      </c>
      <c r="C24" s="108" t="s">
        <v>313</v>
      </c>
      <c r="D24" s="111">
        <v>53</v>
      </c>
      <c r="E24" s="27">
        <v>0</v>
      </c>
      <c r="F24" s="27">
        <v>0</v>
      </c>
      <c r="G24" s="27">
        <f t="shared" si="0"/>
        <v>0</v>
      </c>
      <c r="H24" s="28">
        <f t="shared" si="1"/>
        <v>0</v>
      </c>
      <c r="I24" s="28">
        <f t="shared" si="2"/>
        <v>0</v>
      </c>
      <c r="J24" s="28">
        <f t="shared" si="3"/>
        <v>0</v>
      </c>
      <c r="K24" s="29"/>
    </row>
    <row r="25" spans="1:11" ht="46.8">
      <c r="A25" s="26" t="s">
        <v>29</v>
      </c>
      <c r="B25" s="95" t="s">
        <v>517</v>
      </c>
      <c r="C25" s="108" t="s">
        <v>313</v>
      </c>
      <c r="D25" s="111">
        <v>3</v>
      </c>
      <c r="E25" s="27">
        <v>0</v>
      </c>
      <c r="F25" s="27">
        <v>0</v>
      </c>
      <c r="G25" s="27">
        <f t="shared" si="0"/>
        <v>0</v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9"/>
    </row>
    <row r="26" spans="1:11" ht="46.8">
      <c r="A26" s="26" t="s">
        <v>30</v>
      </c>
      <c r="B26" s="95" t="s">
        <v>518</v>
      </c>
      <c r="C26" s="108" t="s">
        <v>313</v>
      </c>
      <c r="D26" s="111">
        <v>11</v>
      </c>
      <c r="E26" s="27">
        <v>0</v>
      </c>
      <c r="F26" s="27">
        <v>0</v>
      </c>
      <c r="G26" s="27">
        <f t="shared" si="0"/>
        <v>0</v>
      </c>
      <c r="H26" s="28">
        <f t="shared" si="1"/>
        <v>0</v>
      </c>
      <c r="I26" s="28">
        <f t="shared" si="2"/>
        <v>0</v>
      </c>
      <c r="J26" s="28">
        <f t="shared" si="3"/>
        <v>0</v>
      </c>
      <c r="K26" s="29"/>
    </row>
    <row r="27" spans="1:11" ht="46.8">
      <c r="A27" s="26" t="s">
        <v>31</v>
      </c>
      <c r="B27" s="95" t="s">
        <v>519</v>
      </c>
      <c r="C27" s="108" t="s">
        <v>313</v>
      </c>
      <c r="D27" s="111">
        <v>70</v>
      </c>
      <c r="E27" s="27">
        <v>0</v>
      </c>
      <c r="F27" s="27">
        <v>0</v>
      </c>
      <c r="G27" s="27">
        <f t="shared" si="0"/>
        <v>0</v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9"/>
    </row>
    <row r="28" spans="1:11" ht="46.8">
      <c r="A28" s="26" t="s">
        <v>32</v>
      </c>
      <c r="B28" s="95" t="s">
        <v>520</v>
      </c>
      <c r="C28" s="108" t="s">
        <v>313</v>
      </c>
      <c r="D28" s="111">
        <v>14</v>
      </c>
      <c r="E28" s="27">
        <v>0</v>
      </c>
      <c r="F28" s="27">
        <v>0</v>
      </c>
      <c r="G28" s="27">
        <f t="shared" si="0"/>
        <v>0</v>
      </c>
      <c r="H28" s="28">
        <f t="shared" si="1"/>
        <v>0</v>
      </c>
      <c r="I28" s="28">
        <f t="shared" si="2"/>
        <v>0</v>
      </c>
      <c r="J28" s="28">
        <f t="shared" si="3"/>
        <v>0</v>
      </c>
      <c r="K28" s="29"/>
    </row>
    <row r="29" spans="1:11" ht="46.8">
      <c r="A29" s="26" t="s">
        <v>33</v>
      </c>
      <c r="B29" s="95" t="s">
        <v>521</v>
      </c>
      <c r="C29" s="108" t="s">
        <v>313</v>
      </c>
      <c r="D29" s="111">
        <v>66</v>
      </c>
      <c r="E29" s="27">
        <v>0</v>
      </c>
      <c r="F29" s="27">
        <v>0</v>
      </c>
      <c r="G29" s="27">
        <f t="shared" si="0"/>
        <v>0</v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9"/>
    </row>
    <row r="30" spans="1:11" ht="46.8">
      <c r="A30" s="26" t="s">
        <v>34</v>
      </c>
      <c r="B30" s="95" t="s">
        <v>522</v>
      </c>
      <c r="C30" s="108" t="s">
        <v>313</v>
      </c>
      <c r="D30" s="111">
        <v>130</v>
      </c>
      <c r="E30" s="27">
        <v>0</v>
      </c>
      <c r="F30" s="27">
        <v>0</v>
      </c>
      <c r="G30" s="27">
        <f t="shared" si="0"/>
        <v>0</v>
      </c>
      <c r="H30" s="28">
        <f t="shared" si="1"/>
        <v>0</v>
      </c>
      <c r="I30" s="28">
        <f t="shared" si="2"/>
        <v>0</v>
      </c>
      <c r="J30" s="28">
        <f t="shared" si="3"/>
        <v>0</v>
      </c>
      <c r="K30" s="29"/>
    </row>
    <row r="31" spans="1:11" ht="46.8">
      <c r="A31" s="26" t="s">
        <v>35</v>
      </c>
      <c r="B31" s="95" t="s">
        <v>523</v>
      </c>
      <c r="C31" s="108" t="s">
        <v>313</v>
      </c>
      <c r="D31" s="111">
        <v>237</v>
      </c>
      <c r="E31" s="27">
        <v>0</v>
      </c>
      <c r="F31" s="27">
        <v>0</v>
      </c>
      <c r="G31" s="27">
        <f t="shared" si="0"/>
        <v>0</v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9"/>
    </row>
    <row r="32" spans="1:11" ht="46.8">
      <c r="A32" s="26" t="s">
        <v>36</v>
      </c>
      <c r="B32" s="95" t="s">
        <v>524</v>
      </c>
      <c r="C32" s="108" t="s">
        <v>313</v>
      </c>
      <c r="D32" s="111">
        <v>1</v>
      </c>
      <c r="E32" s="27">
        <v>0</v>
      </c>
      <c r="F32" s="27">
        <v>0</v>
      </c>
      <c r="G32" s="27">
        <f t="shared" si="0"/>
        <v>0</v>
      </c>
      <c r="H32" s="28">
        <f t="shared" si="1"/>
        <v>0</v>
      </c>
      <c r="I32" s="28">
        <f t="shared" si="2"/>
        <v>0</v>
      </c>
      <c r="J32" s="28">
        <f t="shared" si="3"/>
        <v>0</v>
      </c>
      <c r="K32" s="29"/>
    </row>
    <row r="33" spans="1:11" ht="46.8">
      <c r="A33" s="26" t="s">
        <v>37</v>
      </c>
      <c r="B33" s="95" t="s">
        <v>525</v>
      </c>
      <c r="C33" s="108" t="s">
        <v>313</v>
      </c>
      <c r="D33" s="111">
        <v>2</v>
      </c>
      <c r="E33" s="27">
        <v>0</v>
      </c>
      <c r="F33" s="27">
        <v>0</v>
      </c>
      <c r="G33" s="27">
        <f t="shared" si="0"/>
        <v>0</v>
      </c>
      <c r="H33" s="28">
        <f t="shared" si="1"/>
        <v>0</v>
      </c>
      <c r="I33" s="28">
        <f t="shared" si="2"/>
        <v>0</v>
      </c>
      <c r="J33" s="28">
        <f t="shared" si="3"/>
        <v>0</v>
      </c>
      <c r="K33" s="29"/>
    </row>
    <row r="34" spans="1:11" ht="46.8">
      <c r="A34" s="26" t="s">
        <v>38</v>
      </c>
      <c r="B34" s="95" t="s">
        <v>526</v>
      </c>
      <c r="C34" s="108" t="s">
        <v>313</v>
      </c>
      <c r="D34" s="111">
        <v>1</v>
      </c>
      <c r="E34" s="27">
        <v>0</v>
      </c>
      <c r="F34" s="27">
        <v>0</v>
      </c>
      <c r="G34" s="27">
        <f t="shared" si="0"/>
        <v>0</v>
      </c>
      <c r="H34" s="28">
        <f t="shared" si="1"/>
        <v>0</v>
      </c>
      <c r="I34" s="28">
        <f t="shared" si="2"/>
        <v>0</v>
      </c>
      <c r="J34" s="28">
        <f t="shared" si="3"/>
        <v>0</v>
      </c>
      <c r="K34" s="29"/>
    </row>
    <row r="35" spans="1:11" ht="46.8">
      <c r="A35" s="26" t="s">
        <v>39</v>
      </c>
      <c r="B35" s="95" t="s">
        <v>527</v>
      </c>
      <c r="C35" s="108" t="s">
        <v>313</v>
      </c>
      <c r="D35" s="111">
        <v>141</v>
      </c>
      <c r="E35" s="27">
        <v>0</v>
      </c>
      <c r="F35" s="27">
        <v>0</v>
      </c>
      <c r="G35" s="27">
        <f t="shared" si="0"/>
        <v>0</v>
      </c>
      <c r="H35" s="28">
        <f t="shared" si="1"/>
        <v>0</v>
      </c>
      <c r="I35" s="28">
        <f t="shared" si="2"/>
        <v>0</v>
      </c>
      <c r="J35" s="28">
        <f t="shared" si="3"/>
        <v>0</v>
      </c>
      <c r="K35" s="29"/>
    </row>
    <row r="36" spans="1:11" ht="46.8">
      <c r="A36" s="26" t="s">
        <v>40</v>
      </c>
      <c r="B36" s="95" t="s">
        <v>528</v>
      </c>
      <c r="C36" s="108" t="s">
        <v>313</v>
      </c>
      <c r="D36" s="111">
        <v>51</v>
      </c>
      <c r="E36" s="27">
        <v>0</v>
      </c>
      <c r="F36" s="27">
        <v>0</v>
      </c>
      <c r="G36" s="27">
        <f t="shared" si="0"/>
        <v>0</v>
      </c>
      <c r="H36" s="28">
        <f t="shared" si="1"/>
        <v>0</v>
      </c>
      <c r="I36" s="28">
        <f t="shared" si="2"/>
        <v>0</v>
      </c>
      <c r="J36" s="28">
        <f t="shared" si="3"/>
        <v>0</v>
      </c>
      <c r="K36" s="29"/>
    </row>
    <row r="37" spans="1:11" ht="46.8">
      <c r="A37" s="26" t="s">
        <v>41</v>
      </c>
      <c r="B37" s="95" t="s">
        <v>529</v>
      </c>
      <c r="C37" s="108" t="s">
        <v>313</v>
      </c>
      <c r="D37" s="111">
        <v>4</v>
      </c>
      <c r="E37" s="27">
        <v>0</v>
      </c>
      <c r="F37" s="27">
        <v>0</v>
      </c>
      <c r="G37" s="27">
        <f t="shared" si="0"/>
        <v>0</v>
      </c>
      <c r="H37" s="28">
        <f t="shared" si="1"/>
        <v>0</v>
      </c>
      <c r="I37" s="28">
        <f t="shared" si="2"/>
        <v>0</v>
      </c>
      <c r="J37" s="28">
        <f t="shared" si="3"/>
        <v>0</v>
      </c>
      <c r="K37" s="29"/>
    </row>
    <row r="38" spans="1:11" ht="46.8">
      <c r="A38" s="26" t="s">
        <v>42</v>
      </c>
      <c r="B38" s="95" t="s">
        <v>530</v>
      </c>
      <c r="C38" s="108" t="s">
        <v>313</v>
      </c>
      <c r="D38" s="111">
        <v>6</v>
      </c>
      <c r="E38" s="27">
        <v>0</v>
      </c>
      <c r="F38" s="27">
        <v>0</v>
      </c>
      <c r="G38" s="27">
        <f t="shared" si="0"/>
        <v>0</v>
      </c>
      <c r="H38" s="28">
        <f t="shared" si="1"/>
        <v>0</v>
      </c>
      <c r="I38" s="28">
        <f t="shared" si="2"/>
        <v>0</v>
      </c>
      <c r="J38" s="28">
        <f t="shared" si="3"/>
        <v>0</v>
      </c>
      <c r="K38" s="29"/>
    </row>
    <row r="39" spans="1:11" ht="46.8">
      <c r="A39" s="26" t="s">
        <v>43</v>
      </c>
      <c r="B39" s="95" t="s">
        <v>531</v>
      </c>
      <c r="C39" s="108" t="s">
        <v>313</v>
      </c>
      <c r="D39" s="111">
        <v>8</v>
      </c>
      <c r="E39" s="27">
        <v>0</v>
      </c>
      <c r="F39" s="27">
        <v>0</v>
      </c>
      <c r="G39" s="27">
        <f t="shared" si="0"/>
        <v>0</v>
      </c>
      <c r="H39" s="28">
        <f t="shared" si="1"/>
        <v>0</v>
      </c>
      <c r="I39" s="28">
        <f t="shared" si="2"/>
        <v>0</v>
      </c>
      <c r="J39" s="28">
        <f t="shared" si="3"/>
        <v>0</v>
      </c>
      <c r="K39" s="29"/>
    </row>
    <row r="40" spans="1:11" ht="46.8">
      <c r="A40" s="26" t="s">
        <v>44</v>
      </c>
      <c r="B40" s="95" t="s">
        <v>532</v>
      </c>
      <c r="C40" s="108" t="s">
        <v>313</v>
      </c>
      <c r="D40" s="111">
        <v>4</v>
      </c>
      <c r="E40" s="27">
        <v>0</v>
      </c>
      <c r="F40" s="27">
        <v>0</v>
      </c>
      <c r="G40" s="27">
        <f t="shared" si="0"/>
        <v>0</v>
      </c>
      <c r="H40" s="28">
        <f t="shared" si="1"/>
        <v>0</v>
      </c>
      <c r="I40" s="28">
        <f t="shared" si="2"/>
        <v>0</v>
      </c>
      <c r="J40" s="28">
        <f t="shared" si="3"/>
        <v>0</v>
      </c>
      <c r="K40" s="29"/>
    </row>
    <row r="41" spans="1:11" ht="46.8">
      <c r="A41" s="26" t="s">
        <v>45</v>
      </c>
      <c r="B41" s="95" t="s">
        <v>533</v>
      </c>
      <c r="C41" s="108" t="s">
        <v>313</v>
      </c>
      <c r="D41" s="111">
        <v>5</v>
      </c>
      <c r="E41" s="27">
        <v>0</v>
      </c>
      <c r="F41" s="27">
        <v>0</v>
      </c>
      <c r="G41" s="27">
        <f t="shared" si="0"/>
        <v>0</v>
      </c>
      <c r="H41" s="28">
        <f t="shared" si="1"/>
        <v>0</v>
      </c>
      <c r="I41" s="28">
        <f t="shared" si="2"/>
        <v>0</v>
      </c>
      <c r="J41" s="28">
        <f t="shared" si="3"/>
        <v>0</v>
      </c>
      <c r="K41" s="29"/>
    </row>
    <row r="42" spans="1:11" ht="46.8">
      <c r="A42" s="26" t="s">
        <v>46</v>
      </c>
      <c r="B42" s="95" t="s">
        <v>534</v>
      </c>
      <c r="C42" s="108" t="s">
        <v>313</v>
      </c>
      <c r="D42" s="111">
        <v>3</v>
      </c>
      <c r="E42" s="27">
        <v>0</v>
      </c>
      <c r="F42" s="27">
        <v>0</v>
      </c>
      <c r="G42" s="27">
        <f t="shared" si="0"/>
        <v>0</v>
      </c>
      <c r="H42" s="28">
        <f t="shared" si="1"/>
        <v>0</v>
      </c>
      <c r="I42" s="28">
        <f t="shared" si="2"/>
        <v>0</v>
      </c>
      <c r="J42" s="28">
        <f t="shared" si="3"/>
        <v>0</v>
      </c>
      <c r="K42" s="29"/>
    </row>
    <row r="43" spans="1:11" ht="31.2">
      <c r="A43" s="26" t="s">
        <v>47</v>
      </c>
      <c r="B43" s="95" t="s">
        <v>535</v>
      </c>
      <c r="C43" s="108" t="s">
        <v>313</v>
      </c>
      <c r="D43" s="111" t="s">
        <v>320</v>
      </c>
      <c r="E43" s="27">
        <v>0</v>
      </c>
      <c r="F43" s="27">
        <v>0</v>
      </c>
      <c r="G43" s="27">
        <f t="shared" si="0"/>
        <v>0</v>
      </c>
      <c r="H43" s="28">
        <f t="shared" si="1"/>
        <v>0</v>
      </c>
      <c r="I43" s="28">
        <f t="shared" si="2"/>
        <v>0</v>
      </c>
      <c r="J43" s="28">
        <f t="shared" si="3"/>
        <v>0</v>
      </c>
      <c r="K43" s="29"/>
    </row>
    <row r="44" spans="1:11" ht="31.2">
      <c r="A44" s="26" t="s">
        <v>48</v>
      </c>
      <c r="B44" s="95" t="s">
        <v>536</v>
      </c>
      <c r="C44" s="108" t="s">
        <v>313</v>
      </c>
      <c r="D44" s="111">
        <v>1</v>
      </c>
      <c r="E44" s="27">
        <v>0</v>
      </c>
      <c r="F44" s="27">
        <v>0</v>
      </c>
      <c r="G44" s="27">
        <f t="shared" si="0"/>
        <v>0</v>
      </c>
      <c r="H44" s="28">
        <f t="shared" si="1"/>
        <v>0</v>
      </c>
      <c r="I44" s="28">
        <f t="shared" si="2"/>
        <v>0</v>
      </c>
      <c r="J44" s="28">
        <f t="shared" si="3"/>
        <v>0</v>
      </c>
      <c r="K44" s="29"/>
    </row>
    <row r="45" spans="1:11">
      <c r="A45" s="26" t="s">
        <v>49</v>
      </c>
      <c r="B45" s="95" t="s">
        <v>537</v>
      </c>
      <c r="C45" s="108" t="s">
        <v>313</v>
      </c>
      <c r="D45" s="111">
        <v>10</v>
      </c>
      <c r="E45" s="27">
        <v>0</v>
      </c>
      <c r="F45" s="27">
        <v>0</v>
      </c>
      <c r="G45" s="27">
        <f t="shared" si="0"/>
        <v>0</v>
      </c>
      <c r="H45" s="28">
        <f t="shared" si="1"/>
        <v>0</v>
      </c>
      <c r="I45" s="28">
        <f t="shared" si="2"/>
        <v>0</v>
      </c>
      <c r="J45" s="28">
        <f t="shared" si="3"/>
        <v>0</v>
      </c>
      <c r="K45" s="29"/>
    </row>
    <row r="46" spans="1:11" ht="31.2">
      <c r="A46" s="26" t="s">
        <v>50</v>
      </c>
      <c r="B46" s="95" t="s">
        <v>538</v>
      </c>
      <c r="C46" s="108" t="s">
        <v>313</v>
      </c>
      <c r="D46" s="111">
        <v>810</v>
      </c>
      <c r="E46" s="27">
        <v>0</v>
      </c>
      <c r="F46" s="27">
        <v>0</v>
      </c>
      <c r="G46" s="27">
        <f t="shared" si="0"/>
        <v>0</v>
      </c>
      <c r="H46" s="28">
        <f t="shared" si="1"/>
        <v>0</v>
      </c>
      <c r="I46" s="28">
        <f t="shared" si="2"/>
        <v>0</v>
      </c>
      <c r="J46" s="28">
        <f t="shared" si="3"/>
        <v>0</v>
      </c>
      <c r="K46" s="29"/>
    </row>
    <row r="47" spans="1:11" ht="31.2">
      <c r="A47" s="26" t="s">
        <v>51</v>
      </c>
      <c r="B47" s="95" t="s">
        <v>539</v>
      </c>
      <c r="C47" s="108" t="s">
        <v>313</v>
      </c>
      <c r="D47" s="111">
        <v>18</v>
      </c>
      <c r="E47" s="27">
        <v>0</v>
      </c>
      <c r="F47" s="27">
        <v>0</v>
      </c>
      <c r="G47" s="27">
        <f t="shared" si="0"/>
        <v>0</v>
      </c>
      <c r="H47" s="28">
        <f t="shared" si="1"/>
        <v>0</v>
      </c>
      <c r="I47" s="28">
        <f t="shared" si="2"/>
        <v>0</v>
      </c>
      <c r="J47" s="28">
        <f t="shared" si="3"/>
        <v>0</v>
      </c>
      <c r="K47" s="29"/>
    </row>
    <row r="48" spans="1:11" ht="31.2">
      <c r="A48" s="26" t="s">
        <v>52</v>
      </c>
      <c r="B48" s="95" t="s">
        <v>540</v>
      </c>
      <c r="C48" s="108" t="s">
        <v>313</v>
      </c>
      <c r="D48" s="111">
        <v>8</v>
      </c>
      <c r="E48" s="27">
        <v>0</v>
      </c>
      <c r="F48" s="27">
        <v>0</v>
      </c>
      <c r="G48" s="27">
        <f t="shared" si="0"/>
        <v>0</v>
      </c>
      <c r="H48" s="28">
        <f t="shared" si="1"/>
        <v>0</v>
      </c>
      <c r="I48" s="28">
        <f t="shared" si="2"/>
        <v>0</v>
      </c>
      <c r="J48" s="28">
        <f t="shared" si="3"/>
        <v>0</v>
      </c>
      <c r="K48" s="29"/>
    </row>
    <row r="49" spans="1:11" ht="31.2">
      <c r="A49" s="26" t="s">
        <v>53</v>
      </c>
      <c r="B49" s="95" t="s">
        <v>541</v>
      </c>
      <c r="C49" s="108" t="s">
        <v>313</v>
      </c>
      <c r="D49" s="111">
        <v>18</v>
      </c>
      <c r="E49" s="27">
        <v>0</v>
      </c>
      <c r="F49" s="27">
        <v>0</v>
      </c>
      <c r="G49" s="27">
        <f t="shared" si="0"/>
        <v>0</v>
      </c>
      <c r="H49" s="28">
        <f t="shared" si="1"/>
        <v>0</v>
      </c>
      <c r="I49" s="28">
        <f t="shared" si="2"/>
        <v>0</v>
      </c>
      <c r="J49" s="28">
        <f t="shared" si="3"/>
        <v>0</v>
      </c>
      <c r="K49" s="29"/>
    </row>
    <row r="50" spans="1:11" ht="31.2">
      <c r="A50" s="26" t="s">
        <v>54</v>
      </c>
      <c r="B50" s="95" t="s">
        <v>542</v>
      </c>
      <c r="C50" s="108" t="s">
        <v>313</v>
      </c>
      <c r="D50" s="111">
        <v>34</v>
      </c>
      <c r="E50" s="27">
        <v>0</v>
      </c>
      <c r="F50" s="27">
        <v>0</v>
      </c>
      <c r="G50" s="27">
        <f t="shared" si="0"/>
        <v>0</v>
      </c>
      <c r="H50" s="28">
        <f t="shared" si="1"/>
        <v>0</v>
      </c>
      <c r="I50" s="28">
        <f t="shared" si="2"/>
        <v>0</v>
      </c>
      <c r="J50" s="28">
        <f t="shared" si="3"/>
        <v>0</v>
      </c>
      <c r="K50" s="29"/>
    </row>
    <row r="51" spans="1:11">
      <c r="A51" s="26" t="s">
        <v>55</v>
      </c>
      <c r="B51" s="95" t="s">
        <v>543</v>
      </c>
      <c r="C51" s="108" t="s">
        <v>313</v>
      </c>
      <c r="D51" s="111">
        <v>828</v>
      </c>
      <c r="E51" s="27">
        <v>0</v>
      </c>
      <c r="F51" s="27">
        <v>0</v>
      </c>
      <c r="G51" s="27">
        <f t="shared" si="0"/>
        <v>0</v>
      </c>
      <c r="H51" s="28">
        <f t="shared" si="1"/>
        <v>0</v>
      </c>
      <c r="I51" s="28">
        <f t="shared" si="2"/>
        <v>0</v>
      </c>
      <c r="J51" s="28">
        <f t="shared" si="3"/>
        <v>0</v>
      </c>
      <c r="K51" s="29"/>
    </row>
    <row r="52" spans="1:11" s="12" customFormat="1" ht="31.2">
      <c r="A52" s="26" t="s">
        <v>56</v>
      </c>
      <c r="B52" s="95" t="s">
        <v>544</v>
      </c>
      <c r="C52" s="108" t="s">
        <v>313</v>
      </c>
      <c r="D52" s="111">
        <v>4</v>
      </c>
      <c r="E52" s="27">
        <v>0</v>
      </c>
      <c r="F52" s="27">
        <v>0</v>
      </c>
      <c r="G52" s="27">
        <f t="shared" si="0"/>
        <v>0</v>
      </c>
      <c r="H52" s="28">
        <f t="shared" si="1"/>
        <v>0</v>
      </c>
      <c r="I52" s="28">
        <f t="shared" si="2"/>
        <v>0</v>
      </c>
      <c r="J52" s="28">
        <f t="shared" si="3"/>
        <v>0</v>
      </c>
      <c r="K52" s="29" t="s">
        <v>321</v>
      </c>
    </row>
    <row r="53" spans="1:11" ht="31.2">
      <c r="A53" s="26" t="s">
        <v>57</v>
      </c>
      <c r="B53" s="95" t="s">
        <v>545</v>
      </c>
      <c r="C53" s="108" t="s">
        <v>313</v>
      </c>
      <c r="D53" s="111">
        <v>4</v>
      </c>
      <c r="E53" s="27">
        <v>0</v>
      </c>
      <c r="F53" s="27">
        <v>0</v>
      </c>
      <c r="G53" s="27">
        <f t="shared" si="0"/>
        <v>0</v>
      </c>
      <c r="H53" s="28">
        <f t="shared" si="1"/>
        <v>0</v>
      </c>
      <c r="I53" s="28">
        <f t="shared" si="2"/>
        <v>0</v>
      </c>
      <c r="J53" s="28">
        <f t="shared" si="3"/>
        <v>0</v>
      </c>
      <c r="K53" s="29" t="s">
        <v>321</v>
      </c>
    </row>
    <row r="54" spans="1:11" ht="31.2">
      <c r="A54" s="26" t="s">
        <v>58</v>
      </c>
      <c r="B54" s="95" t="s">
        <v>546</v>
      </c>
      <c r="C54" s="108" t="s">
        <v>313</v>
      </c>
      <c r="D54" s="111">
        <v>6</v>
      </c>
      <c r="E54" s="27">
        <v>0</v>
      </c>
      <c r="F54" s="27">
        <v>0</v>
      </c>
      <c r="G54" s="27">
        <f t="shared" si="0"/>
        <v>0</v>
      </c>
      <c r="H54" s="28">
        <f t="shared" si="1"/>
        <v>0</v>
      </c>
      <c r="I54" s="28">
        <f t="shared" si="2"/>
        <v>0</v>
      </c>
      <c r="J54" s="28">
        <f t="shared" si="3"/>
        <v>0</v>
      </c>
      <c r="K54" s="29" t="s">
        <v>321</v>
      </c>
    </row>
    <row r="55" spans="1:11" ht="31.2">
      <c r="A55" s="26" t="s">
        <v>59</v>
      </c>
      <c r="B55" s="95" t="s">
        <v>547</v>
      </c>
      <c r="C55" s="108" t="s">
        <v>313</v>
      </c>
      <c r="D55" s="111">
        <v>2</v>
      </c>
      <c r="E55" s="27">
        <v>0</v>
      </c>
      <c r="F55" s="27">
        <v>0</v>
      </c>
      <c r="G55" s="27">
        <f t="shared" si="0"/>
        <v>0</v>
      </c>
      <c r="H55" s="28">
        <f t="shared" si="1"/>
        <v>0</v>
      </c>
      <c r="I55" s="28">
        <f t="shared" si="2"/>
        <v>0</v>
      </c>
      <c r="J55" s="28">
        <f t="shared" si="3"/>
        <v>0</v>
      </c>
      <c r="K55" s="29" t="s">
        <v>321</v>
      </c>
    </row>
    <row r="56" spans="1:11" ht="31.2">
      <c r="A56" s="26" t="s">
        <v>60</v>
      </c>
      <c r="B56" s="95" t="s">
        <v>548</v>
      </c>
      <c r="C56" s="108" t="s">
        <v>313</v>
      </c>
      <c r="D56" s="111">
        <v>20</v>
      </c>
      <c r="E56" s="27">
        <v>0</v>
      </c>
      <c r="F56" s="27">
        <v>0</v>
      </c>
      <c r="G56" s="27">
        <f t="shared" si="0"/>
        <v>0</v>
      </c>
      <c r="H56" s="28">
        <f t="shared" si="1"/>
        <v>0</v>
      </c>
      <c r="I56" s="28">
        <f t="shared" si="2"/>
        <v>0</v>
      </c>
      <c r="J56" s="28">
        <f t="shared" si="3"/>
        <v>0</v>
      </c>
      <c r="K56" s="29" t="s">
        <v>321</v>
      </c>
    </row>
    <row r="57" spans="1:11" ht="31.2">
      <c r="A57" s="26" t="s">
        <v>61</v>
      </c>
      <c r="B57" s="95" t="s">
        <v>549</v>
      </c>
      <c r="C57" s="108" t="s">
        <v>313</v>
      </c>
      <c r="D57" s="111">
        <v>24</v>
      </c>
      <c r="E57" s="27">
        <v>0</v>
      </c>
      <c r="F57" s="27">
        <v>0</v>
      </c>
      <c r="G57" s="27">
        <f t="shared" si="0"/>
        <v>0</v>
      </c>
      <c r="H57" s="28">
        <f t="shared" si="1"/>
        <v>0</v>
      </c>
      <c r="I57" s="28">
        <f t="shared" si="2"/>
        <v>0</v>
      </c>
      <c r="J57" s="28">
        <f t="shared" si="3"/>
        <v>0</v>
      </c>
      <c r="K57" s="29" t="s">
        <v>321</v>
      </c>
    </row>
    <row r="58" spans="1:11" ht="31.2">
      <c r="A58" s="26" t="s">
        <v>62</v>
      </c>
      <c r="B58" s="95" t="s">
        <v>550</v>
      </c>
      <c r="C58" s="108" t="s">
        <v>313</v>
      </c>
      <c r="D58" s="111">
        <v>38</v>
      </c>
      <c r="E58" s="27">
        <v>0</v>
      </c>
      <c r="F58" s="27">
        <v>0</v>
      </c>
      <c r="G58" s="27">
        <f t="shared" si="0"/>
        <v>0</v>
      </c>
      <c r="H58" s="28">
        <f t="shared" si="1"/>
        <v>0</v>
      </c>
      <c r="I58" s="28">
        <f t="shared" si="2"/>
        <v>0</v>
      </c>
      <c r="J58" s="28">
        <f t="shared" si="3"/>
        <v>0</v>
      </c>
      <c r="K58" s="29" t="s">
        <v>321</v>
      </c>
    </row>
    <row r="59" spans="1:11" ht="31.2">
      <c r="A59" s="26" t="s">
        <v>63</v>
      </c>
      <c r="B59" s="95" t="s">
        <v>551</v>
      </c>
      <c r="C59" s="108" t="s">
        <v>313</v>
      </c>
      <c r="D59" s="111">
        <v>92</v>
      </c>
      <c r="E59" s="27">
        <v>0</v>
      </c>
      <c r="F59" s="27">
        <v>0</v>
      </c>
      <c r="G59" s="27">
        <f t="shared" si="0"/>
        <v>0</v>
      </c>
      <c r="H59" s="28">
        <f t="shared" si="1"/>
        <v>0</v>
      </c>
      <c r="I59" s="28">
        <f t="shared" si="2"/>
        <v>0</v>
      </c>
      <c r="J59" s="28">
        <f t="shared" si="3"/>
        <v>0</v>
      </c>
      <c r="K59" s="29" t="s">
        <v>321</v>
      </c>
    </row>
    <row r="60" spans="1:11" ht="46.8">
      <c r="A60" s="26" t="s">
        <v>64</v>
      </c>
      <c r="B60" s="95" t="s">
        <v>552</v>
      </c>
      <c r="C60" s="108" t="s">
        <v>313</v>
      </c>
      <c r="D60" s="111">
        <v>58</v>
      </c>
      <c r="E60" s="27">
        <v>0</v>
      </c>
      <c r="F60" s="27">
        <v>0</v>
      </c>
      <c r="G60" s="27">
        <f t="shared" si="0"/>
        <v>0</v>
      </c>
      <c r="H60" s="28">
        <f t="shared" si="1"/>
        <v>0</v>
      </c>
      <c r="I60" s="28">
        <f t="shared" si="2"/>
        <v>0</v>
      </c>
      <c r="J60" s="28">
        <f t="shared" si="3"/>
        <v>0</v>
      </c>
      <c r="K60" s="73"/>
    </row>
    <row r="61" spans="1:11" ht="46.8">
      <c r="A61" s="26" t="s">
        <v>65</v>
      </c>
      <c r="B61" s="95" t="s">
        <v>553</v>
      </c>
      <c r="C61" s="108" t="s">
        <v>313</v>
      </c>
      <c r="D61" s="111">
        <v>752</v>
      </c>
      <c r="E61" s="27">
        <v>0</v>
      </c>
      <c r="F61" s="27">
        <v>0</v>
      </c>
      <c r="G61" s="27">
        <f t="shared" si="0"/>
        <v>0</v>
      </c>
      <c r="H61" s="28">
        <f t="shared" si="1"/>
        <v>0</v>
      </c>
      <c r="I61" s="28">
        <f t="shared" si="2"/>
        <v>0</v>
      </c>
      <c r="J61" s="28">
        <f t="shared" si="3"/>
        <v>0</v>
      </c>
      <c r="K61" s="73"/>
    </row>
    <row r="62" spans="1:11">
      <c r="A62" s="26" t="s">
        <v>66</v>
      </c>
      <c r="B62" s="95" t="s">
        <v>554</v>
      </c>
      <c r="C62" s="108" t="s">
        <v>313</v>
      </c>
      <c r="D62" s="111">
        <v>28</v>
      </c>
      <c r="E62" s="27">
        <v>0</v>
      </c>
      <c r="F62" s="27">
        <v>0</v>
      </c>
      <c r="G62" s="27">
        <f t="shared" si="0"/>
        <v>0</v>
      </c>
      <c r="H62" s="28">
        <f t="shared" si="1"/>
        <v>0</v>
      </c>
      <c r="I62" s="28">
        <f t="shared" si="2"/>
        <v>0</v>
      </c>
      <c r="J62" s="28">
        <f t="shared" si="3"/>
        <v>0</v>
      </c>
      <c r="K62" s="73"/>
    </row>
    <row r="63" spans="1:11">
      <c r="A63" s="26" t="s">
        <v>67</v>
      </c>
      <c r="B63" s="95" t="s">
        <v>555</v>
      </c>
      <c r="C63" s="108" t="s">
        <v>313</v>
      </c>
      <c r="D63" s="111">
        <v>1</v>
      </c>
      <c r="E63" s="27">
        <v>0</v>
      </c>
      <c r="F63" s="27">
        <v>0</v>
      </c>
      <c r="G63" s="27">
        <f t="shared" si="0"/>
        <v>0</v>
      </c>
      <c r="H63" s="28">
        <f t="shared" si="1"/>
        <v>0</v>
      </c>
      <c r="I63" s="28">
        <f t="shared" si="2"/>
        <v>0</v>
      </c>
      <c r="J63" s="28">
        <f t="shared" si="3"/>
        <v>0</v>
      </c>
      <c r="K63" s="73"/>
    </row>
    <row r="64" spans="1:11" ht="31.2">
      <c r="A64" s="26" t="s">
        <v>68</v>
      </c>
      <c r="B64" s="95" t="s">
        <v>556</v>
      </c>
      <c r="C64" s="108" t="s">
        <v>313</v>
      </c>
      <c r="D64" s="111">
        <v>2</v>
      </c>
      <c r="E64" s="27">
        <v>0</v>
      </c>
      <c r="F64" s="27">
        <v>0</v>
      </c>
      <c r="G64" s="27">
        <f t="shared" si="0"/>
        <v>0</v>
      </c>
      <c r="H64" s="28">
        <f t="shared" si="1"/>
        <v>0</v>
      </c>
      <c r="I64" s="28">
        <f t="shared" si="2"/>
        <v>0</v>
      </c>
      <c r="J64" s="28">
        <f t="shared" si="3"/>
        <v>0</v>
      </c>
      <c r="K64" s="73"/>
    </row>
    <row r="65" spans="1:11" ht="31.2">
      <c r="A65" s="26" t="s">
        <v>69</v>
      </c>
      <c r="B65" s="95" t="s">
        <v>557</v>
      </c>
      <c r="C65" s="108" t="s">
        <v>313</v>
      </c>
      <c r="D65" s="111">
        <v>1</v>
      </c>
      <c r="E65" s="27">
        <v>0</v>
      </c>
      <c r="F65" s="27">
        <v>0</v>
      </c>
      <c r="G65" s="27">
        <f t="shared" si="0"/>
        <v>0</v>
      </c>
      <c r="H65" s="28">
        <f t="shared" si="1"/>
        <v>0</v>
      </c>
      <c r="I65" s="28">
        <f t="shared" si="2"/>
        <v>0</v>
      </c>
      <c r="J65" s="28">
        <f t="shared" si="3"/>
        <v>0</v>
      </c>
      <c r="K65" s="73"/>
    </row>
    <row r="66" spans="1:11" ht="46.8">
      <c r="A66" s="26" t="s">
        <v>70</v>
      </c>
      <c r="B66" s="95" t="s">
        <v>558</v>
      </c>
      <c r="C66" s="108" t="s">
        <v>313</v>
      </c>
      <c r="D66" s="111">
        <v>1</v>
      </c>
      <c r="E66" s="27">
        <v>0</v>
      </c>
      <c r="F66" s="27">
        <v>0</v>
      </c>
      <c r="G66" s="27">
        <f t="shared" si="0"/>
        <v>0</v>
      </c>
      <c r="H66" s="28">
        <f t="shared" si="1"/>
        <v>0</v>
      </c>
      <c r="I66" s="28">
        <f t="shared" si="2"/>
        <v>0</v>
      </c>
      <c r="J66" s="28">
        <f t="shared" si="3"/>
        <v>0</v>
      </c>
      <c r="K66" s="73"/>
    </row>
    <row r="67" spans="1:11">
      <c r="A67" s="26" t="s">
        <v>71</v>
      </c>
      <c r="B67" s="95" t="s">
        <v>559</v>
      </c>
      <c r="C67" s="108" t="s">
        <v>313</v>
      </c>
      <c r="D67" s="111">
        <v>2</v>
      </c>
      <c r="E67" s="27">
        <v>0</v>
      </c>
      <c r="F67" s="27">
        <v>0</v>
      </c>
      <c r="G67" s="27">
        <f t="shared" si="0"/>
        <v>0</v>
      </c>
      <c r="H67" s="28">
        <f t="shared" si="1"/>
        <v>0</v>
      </c>
      <c r="I67" s="28">
        <f t="shared" si="2"/>
        <v>0</v>
      </c>
      <c r="J67" s="28">
        <f t="shared" si="3"/>
        <v>0</v>
      </c>
      <c r="K67" s="73"/>
    </row>
    <row r="68" spans="1:11" ht="31.2">
      <c r="A68" s="26" t="s">
        <v>72</v>
      </c>
      <c r="B68" s="95" t="s">
        <v>560</v>
      </c>
      <c r="C68" s="108" t="s">
        <v>313</v>
      </c>
      <c r="D68" s="111">
        <v>2</v>
      </c>
      <c r="E68" s="27">
        <v>0</v>
      </c>
      <c r="F68" s="27">
        <v>0</v>
      </c>
      <c r="G68" s="27">
        <f t="shared" si="0"/>
        <v>0</v>
      </c>
      <c r="H68" s="28">
        <f t="shared" si="1"/>
        <v>0</v>
      </c>
      <c r="I68" s="28">
        <f t="shared" si="2"/>
        <v>0</v>
      </c>
      <c r="J68" s="28">
        <f t="shared" si="3"/>
        <v>0</v>
      </c>
      <c r="K68" s="73"/>
    </row>
    <row r="69" spans="1:11">
      <c r="A69" s="26" t="s">
        <v>73</v>
      </c>
      <c r="B69" s="95" t="s">
        <v>561</v>
      </c>
      <c r="C69" s="108" t="s">
        <v>313</v>
      </c>
      <c r="D69" s="111">
        <v>2</v>
      </c>
      <c r="E69" s="27">
        <v>0</v>
      </c>
      <c r="F69" s="27">
        <v>0</v>
      </c>
      <c r="G69" s="27">
        <f t="shared" si="0"/>
        <v>0</v>
      </c>
      <c r="H69" s="28">
        <f t="shared" si="1"/>
        <v>0</v>
      </c>
      <c r="I69" s="28">
        <f t="shared" si="2"/>
        <v>0</v>
      </c>
      <c r="J69" s="28">
        <f t="shared" si="3"/>
        <v>0</v>
      </c>
      <c r="K69" s="73"/>
    </row>
    <row r="70" spans="1:11" ht="31.2">
      <c r="A70" s="26" t="s">
        <v>74</v>
      </c>
      <c r="B70" s="95" t="s">
        <v>562</v>
      </c>
      <c r="C70" s="108" t="s">
        <v>313</v>
      </c>
      <c r="D70" s="111">
        <v>2</v>
      </c>
      <c r="E70" s="27">
        <v>0</v>
      </c>
      <c r="F70" s="27">
        <v>0</v>
      </c>
      <c r="G70" s="27">
        <f t="shared" si="0"/>
        <v>0</v>
      </c>
      <c r="H70" s="28">
        <f t="shared" si="1"/>
        <v>0</v>
      </c>
      <c r="I70" s="28">
        <f t="shared" si="2"/>
        <v>0</v>
      </c>
      <c r="J70" s="28">
        <f t="shared" si="3"/>
        <v>0</v>
      </c>
      <c r="K70" s="73"/>
    </row>
    <row r="71" spans="1:11" ht="31.2">
      <c r="A71" s="26" t="s">
        <v>75</v>
      </c>
      <c r="B71" s="95" t="s">
        <v>563</v>
      </c>
      <c r="C71" s="108" t="s">
        <v>313</v>
      </c>
      <c r="D71" s="111">
        <v>1</v>
      </c>
      <c r="E71" s="27">
        <v>0</v>
      </c>
      <c r="F71" s="27">
        <v>0</v>
      </c>
      <c r="G71" s="27">
        <f t="shared" si="0"/>
        <v>0</v>
      </c>
      <c r="H71" s="28">
        <f t="shared" si="1"/>
        <v>0</v>
      </c>
      <c r="I71" s="28">
        <f t="shared" si="2"/>
        <v>0</v>
      </c>
      <c r="J71" s="28">
        <f t="shared" si="3"/>
        <v>0</v>
      </c>
      <c r="K71" s="73"/>
    </row>
    <row r="72" spans="1:11" ht="31.2">
      <c r="A72" s="26" t="s">
        <v>76</v>
      </c>
      <c r="B72" s="95" t="s">
        <v>564</v>
      </c>
      <c r="C72" s="108" t="s">
        <v>313</v>
      </c>
      <c r="D72" s="111">
        <v>1</v>
      </c>
      <c r="E72" s="27">
        <v>0</v>
      </c>
      <c r="F72" s="27">
        <v>0</v>
      </c>
      <c r="G72" s="27">
        <f t="shared" si="0"/>
        <v>0</v>
      </c>
      <c r="H72" s="28">
        <f t="shared" si="1"/>
        <v>0</v>
      </c>
      <c r="I72" s="28">
        <f t="shared" si="2"/>
        <v>0</v>
      </c>
      <c r="J72" s="28">
        <f t="shared" si="3"/>
        <v>0</v>
      </c>
      <c r="K72" s="73"/>
    </row>
    <row r="73" spans="1:11">
      <c r="A73" s="26" t="s">
        <v>77</v>
      </c>
      <c r="B73" s="95" t="s">
        <v>565</v>
      </c>
      <c r="C73" s="108" t="s">
        <v>313</v>
      </c>
      <c r="D73" s="111">
        <v>2</v>
      </c>
      <c r="E73" s="27">
        <v>0</v>
      </c>
      <c r="F73" s="27">
        <v>0</v>
      </c>
      <c r="G73" s="27">
        <f t="shared" si="0"/>
        <v>0</v>
      </c>
      <c r="H73" s="28">
        <f t="shared" si="1"/>
        <v>0</v>
      </c>
      <c r="I73" s="28">
        <f t="shared" si="2"/>
        <v>0</v>
      </c>
      <c r="J73" s="28">
        <f t="shared" si="3"/>
        <v>0</v>
      </c>
      <c r="K73" s="29"/>
    </row>
    <row r="74" spans="1:11">
      <c r="A74" s="26" t="s">
        <v>78</v>
      </c>
      <c r="B74" s="95" t="s">
        <v>554</v>
      </c>
      <c r="C74" s="108" t="s">
        <v>313</v>
      </c>
      <c r="D74" s="111">
        <v>1</v>
      </c>
      <c r="E74" s="27">
        <v>0</v>
      </c>
      <c r="F74" s="27">
        <v>0</v>
      </c>
      <c r="G74" s="27">
        <f t="shared" si="0"/>
        <v>0</v>
      </c>
      <c r="H74" s="28">
        <f t="shared" si="1"/>
        <v>0</v>
      </c>
      <c r="I74" s="28">
        <f t="shared" si="2"/>
        <v>0</v>
      </c>
      <c r="J74" s="28">
        <f t="shared" si="3"/>
        <v>0</v>
      </c>
      <c r="K74" s="29"/>
    </row>
    <row r="75" spans="1:11" ht="31.2">
      <c r="A75" s="26" t="s">
        <v>79</v>
      </c>
      <c r="B75" s="95" t="s">
        <v>566</v>
      </c>
      <c r="C75" s="108" t="s">
        <v>313</v>
      </c>
      <c r="D75" s="111">
        <v>2</v>
      </c>
      <c r="E75" s="27">
        <v>0</v>
      </c>
      <c r="F75" s="27">
        <v>0</v>
      </c>
      <c r="G75" s="27">
        <f t="shared" si="0"/>
        <v>0</v>
      </c>
      <c r="H75" s="28">
        <f t="shared" si="1"/>
        <v>0</v>
      </c>
      <c r="I75" s="28">
        <f t="shared" si="2"/>
        <v>0</v>
      </c>
      <c r="J75" s="28">
        <f t="shared" si="3"/>
        <v>0</v>
      </c>
      <c r="K75" s="29"/>
    </row>
    <row r="76" spans="1:11" ht="31.2">
      <c r="A76" s="26" t="s">
        <v>80</v>
      </c>
      <c r="B76" s="95" t="s">
        <v>567</v>
      </c>
      <c r="C76" s="108" t="s">
        <v>313</v>
      </c>
      <c r="D76" s="111">
        <v>2</v>
      </c>
      <c r="E76" s="27">
        <v>0</v>
      </c>
      <c r="F76" s="27">
        <v>0</v>
      </c>
      <c r="G76" s="27">
        <f t="shared" ref="G76:G127" si="4">E76+F76</f>
        <v>0</v>
      </c>
      <c r="H76" s="28">
        <f t="shared" ref="H76:H127" si="5">D76*E76</f>
        <v>0</v>
      </c>
      <c r="I76" s="28">
        <f t="shared" ref="I76:I127" si="6">D76*F76</f>
        <v>0</v>
      </c>
      <c r="J76" s="28">
        <f t="shared" ref="J76:J127" si="7">H76+I76</f>
        <v>0</v>
      </c>
      <c r="K76" s="29"/>
    </row>
    <row r="77" spans="1:11" ht="31.2">
      <c r="A77" s="26" t="s">
        <v>81</v>
      </c>
      <c r="B77" s="95" t="s">
        <v>568</v>
      </c>
      <c r="C77" s="108" t="s">
        <v>313</v>
      </c>
      <c r="D77" s="111">
        <v>2</v>
      </c>
      <c r="E77" s="27">
        <v>0</v>
      </c>
      <c r="F77" s="27">
        <v>0</v>
      </c>
      <c r="G77" s="27">
        <f t="shared" si="4"/>
        <v>0</v>
      </c>
      <c r="H77" s="28">
        <f t="shared" si="5"/>
        <v>0</v>
      </c>
      <c r="I77" s="28">
        <f t="shared" si="6"/>
        <v>0</v>
      </c>
      <c r="J77" s="28">
        <f t="shared" si="7"/>
        <v>0</v>
      </c>
      <c r="K77" s="29"/>
    </row>
    <row r="78" spans="1:11" ht="46.8">
      <c r="A78" s="26" t="s">
        <v>82</v>
      </c>
      <c r="B78" s="95" t="s">
        <v>569</v>
      </c>
      <c r="C78" s="108" t="s">
        <v>313</v>
      </c>
      <c r="D78" s="111">
        <v>2</v>
      </c>
      <c r="E78" s="27">
        <v>0</v>
      </c>
      <c r="F78" s="27">
        <v>0</v>
      </c>
      <c r="G78" s="27">
        <f t="shared" si="4"/>
        <v>0</v>
      </c>
      <c r="H78" s="28">
        <f t="shared" si="5"/>
        <v>0</v>
      </c>
      <c r="I78" s="28">
        <f t="shared" si="6"/>
        <v>0</v>
      </c>
      <c r="J78" s="28">
        <f t="shared" si="7"/>
        <v>0</v>
      </c>
      <c r="K78" s="29"/>
    </row>
    <row r="79" spans="1:11">
      <c r="A79" s="26" t="s">
        <v>83</v>
      </c>
      <c r="B79" s="95" t="s">
        <v>570</v>
      </c>
      <c r="C79" s="108" t="s">
        <v>313</v>
      </c>
      <c r="D79" s="111">
        <v>1</v>
      </c>
      <c r="E79" s="27">
        <v>0</v>
      </c>
      <c r="F79" s="27">
        <v>0</v>
      </c>
      <c r="G79" s="27">
        <f t="shared" si="4"/>
        <v>0</v>
      </c>
      <c r="H79" s="28">
        <f t="shared" si="5"/>
        <v>0</v>
      </c>
      <c r="I79" s="28">
        <f t="shared" si="6"/>
        <v>0</v>
      </c>
      <c r="J79" s="28">
        <f t="shared" si="7"/>
        <v>0</v>
      </c>
      <c r="K79" s="29"/>
    </row>
    <row r="80" spans="1:11">
      <c r="A80" s="26" t="s">
        <v>84</v>
      </c>
      <c r="B80" s="95" t="s">
        <v>571</v>
      </c>
      <c r="C80" s="108" t="s">
        <v>313</v>
      </c>
      <c r="D80" s="111">
        <v>1</v>
      </c>
      <c r="E80" s="27">
        <v>0</v>
      </c>
      <c r="F80" s="27">
        <v>0</v>
      </c>
      <c r="G80" s="27">
        <f t="shared" si="4"/>
        <v>0</v>
      </c>
      <c r="H80" s="28">
        <f t="shared" si="5"/>
        <v>0</v>
      </c>
      <c r="I80" s="28">
        <f t="shared" si="6"/>
        <v>0</v>
      </c>
      <c r="J80" s="28">
        <f t="shared" si="7"/>
        <v>0</v>
      </c>
      <c r="K80" s="29"/>
    </row>
    <row r="81" spans="1:11" ht="31.2">
      <c r="A81" s="26" t="s">
        <v>85</v>
      </c>
      <c r="B81" s="95" t="s">
        <v>572</v>
      </c>
      <c r="C81" s="108" t="s">
        <v>313</v>
      </c>
      <c r="D81" s="111">
        <v>1</v>
      </c>
      <c r="E81" s="27">
        <v>0</v>
      </c>
      <c r="F81" s="27">
        <v>0</v>
      </c>
      <c r="G81" s="27">
        <f t="shared" si="4"/>
        <v>0</v>
      </c>
      <c r="H81" s="28">
        <f t="shared" si="5"/>
        <v>0</v>
      </c>
      <c r="I81" s="28">
        <f t="shared" si="6"/>
        <v>0</v>
      </c>
      <c r="J81" s="28">
        <f t="shared" si="7"/>
        <v>0</v>
      </c>
      <c r="K81" s="29"/>
    </row>
    <row r="82" spans="1:11" ht="31.2">
      <c r="A82" s="26" t="s">
        <v>86</v>
      </c>
      <c r="B82" s="95" t="s">
        <v>573</v>
      </c>
      <c r="C82" s="108" t="s">
        <v>313</v>
      </c>
      <c r="D82" s="111">
        <v>2</v>
      </c>
      <c r="E82" s="27">
        <v>0</v>
      </c>
      <c r="F82" s="27">
        <v>0</v>
      </c>
      <c r="G82" s="27">
        <f t="shared" si="4"/>
        <v>0</v>
      </c>
      <c r="H82" s="28">
        <f t="shared" si="5"/>
        <v>0</v>
      </c>
      <c r="I82" s="28">
        <f t="shared" si="6"/>
        <v>0</v>
      </c>
      <c r="J82" s="28">
        <f t="shared" si="7"/>
        <v>0</v>
      </c>
      <c r="K82" s="29"/>
    </row>
    <row r="83" spans="1:11">
      <c r="A83" s="26" t="s">
        <v>87</v>
      </c>
      <c r="B83" s="95" t="s">
        <v>565</v>
      </c>
      <c r="C83" s="108" t="s">
        <v>313</v>
      </c>
      <c r="D83" s="111">
        <v>2</v>
      </c>
      <c r="E83" s="27">
        <v>0</v>
      </c>
      <c r="F83" s="27">
        <v>0</v>
      </c>
      <c r="G83" s="27">
        <f t="shared" si="4"/>
        <v>0</v>
      </c>
      <c r="H83" s="28">
        <f t="shared" si="5"/>
        <v>0</v>
      </c>
      <c r="I83" s="28">
        <f t="shared" si="6"/>
        <v>0</v>
      </c>
      <c r="J83" s="28">
        <f t="shared" si="7"/>
        <v>0</v>
      </c>
      <c r="K83" s="29"/>
    </row>
    <row r="84" spans="1:11" ht="31.2">
      <c r="A84" s="26" t="s">
        <v>88</v>
      </c>
      <c r="B84" s="95" t="s">
        <v>574</v>
      </c>
      <c r="C84" s="108" t="s">
        <v>313</v>
      </c>
      <c r="D84" s="111">
        <v>2</v>
      </c>
      <c r="E84" s="27">
        <v>0</v>
      </c>
      <c r="F84" s="27">
        <v>0</v>
      </c>
      <c r="G84" s="27">
        <f t="shared" si="4"/>
        <v>0</v>
      </c>
      <c r="H84" s="28">
        <f t="shared" si="5"/>
        <v>0</v>
      </c>
      <c r="I84" s="28">
        <f t="shared" si="6"/>
        <v>0</v>
      </c>
      <c r="J84" s="28">
        <f t="shared" si="7"/>
        <v>0</v>
      </c>
      <c r="K84" s="29"/>
    </row>
    <row r="85" spans="1:11" ht="31.2">
      <c r="A85" s="26" t="s">
        <v>89</v>
      </c>
      <c r="B85" s="95" t="s">
        <v>575</v>
      </c>
      <c r="C85" s="108" t="s">
        <v>313</v>
      </c>
      <c r="D85" s="111">
        <v>2</v>
      </c>
      <c r="E85" s="27">
        <v>0</v>
      </c>
      <c r="F85" s="27">
        <v>0</v>
      </c>
      <c r="G85" s="27">
        <f t="shared" si="4"/>
        <v>0</v>
      </c>
      <c r="H85" s="28">
        <f t="shared" si="5"/>
        <v>0</v>
      </c>
      <c r="I85" s="28">
        <f t="shared" si="6"/>
        <v>0</v>
      </c>
      <c r="J85" s="28">
        <f t="shared" si="7"/>
        <v>0</v>
      </c>
      <c r="K85" s="29"/>
    </row>
    <row r="86" spans="1:11" ht="31.2">
      <c r="A86" s="26" t="s">
        <v>908</v>
      </c>
      <c r="B86" s="95" t="s">
        <v>576</v>
      </c>
      <c r="C86" s="108" t="s">
        <v>313</v>
      </c>
      <c r="D86" s="111">
        <v>2</v>
      </c>
      <c r="E86" s="27">
        <v>0</v>
      </c>
      <c r="F86" s="27">
        <v>0</v>
      </c>
      <c r="G86" s="27">
        <f t="shared" si="4"/>
        <v>0</v>
      </c>
      <c r="H86" s="28">
        <f t="shared" si="5"/>
        <v>0</v>
      </c>
      <c r="I86" s="28">
        <f t="shared" si="6"/>
        <v>0</v>
      </c>
      <c r="J86" s="28">
        <f t="shared" si="7"/>
        <v>0</v>
      </c>
      <c r="K86" s="29"/>
    </row>
    <row r="87" spans="1:11" ht="46.8">
      <c r="A87" s="26" t="s">
        <v>90</v>
      </c>
      <c r="B87" s="95" t="s">
        <v>569</v>
      </c>
      <c r="C87" s="108" t="s">
        <v>313</v>
      </c>
      <c r="D87" s="111">
        <v>2</v>
      </c>
      <c r="E87" s="27">
        <v>0</v>
      </c>
      <c r="F87" s="27">
        <v>0</v>
      </c>
      <c r="G87" s="27">
        <f t="shared" si="4"/>
        <v>0</v>
      </c>
      <c r="H87" s="28">
        <f t="shared" si="5"/>
        <v>0</v>
      </c>
      <c r="I87" s="28">
        <f t="shared" si="6"/>
        <v>0</v>
      </c>
      <c r="J87" s="28">
        <f t="shared" si="7"/>
        <v>0</v>
      </c>
      <c r="K87" s="29"/>
    </row>
    <row r="88" spans="1:11">
      <c r="A88" s="26" t="s">
        <v>91</v>
      </c>
      <c r="B88" s="95" t="s">
        <v>570</v>
      </c>
      <c r="C88" s="108" t="s">
        <v>313</v>
      </c>
      <c r="D88" s="111">
        <v>1</v>
      </c>
      <c r="E88" s="27">
        <v>0</v>
      </c>
      <c r="F88" s="27">
        <v>0</v>
      </c>
      <c r="G88" s="27">
        <f t="shared" si="4"/>
        <v>0</v>
      </c>
      <c r="H88" s="28">
        <f t="shared" si="5"/>
        <v>0</v>
      </c>
      <c r="I88" s="28">
        <f t="shared" si="6"/>
        <v>0</v>
      </c>
      <c r="J88" s="28">
        <f t="shared" si="7"/>
        <v>0</v>
      </c>
      <c r="K88" s="29"/>
    </row>
    <row r="89" spans="1:11">
      <c r="A89" s="26" t="s">
        <v>92</v>
      </c>
      <c r="B89" s="95" t="s">
        <v>571</v>
      </c>
      <c r="C89" s="108" t="s">
        <v>313</v>
      </c>
      <c r="D89" s="111">
        <v>1</v>
      </c>
      <c r="E89" s="27">
        <v>0</v>
      </c>
      <c r="F89" s="27">
        <v>0</v>
      </c>
      <c r="G89" s="27">
        <f t="shared" si="4"/>
        <v>0</v>
      </c>
      <c r="H89" s="28">
        <f t="shared" si="5"/>
        <v>0</v>
      </c>
      <c r="I89" s="28">
        <f t="shared" si="6"/>
        <v>0</v>
      </c>
      <c r="J89" s="28">
        <f t="shared" si="7"/>
        <v>0</v>
      </c>
      <c r="K89" s="29"/>
    </row>
    <row r="90" spans="1:11" ht="31.2">
      <c r="A90" s="26" t="s">
        <v>93</v>
      </c>
      <c r="B90" s="95" t="s">
        <v>572</v>
      </c>
      <c r="C90" s="108" t="s">
        <v>313</v>
      </c>
      <c r="D90" s="111">
        <v>1</v>
      </c>
      <c r="E90" s="27">
        <v>0</v>
      </c>
      <c r="F90" s="27">
        <v>0</v>
      </c>
      <c r="G90" s="27">
        <f t="shared" si="4"/>
        <v>0</v>
      </c>
      <c r="H90" s="28">
        <f t="shared" si="5"/>
        <v>0</v>
      </c>
      <c r="I90" s="28">
        <f t="shared" si="6"/>
        <v>0</v>
      </c>
      <c r="J90" s="28">
        <f t="shared" si="7"/>
        <v>0</v>
      </c>
      <c r="K90" s="29"/>
    </row>
    <row r="91" spans="1:11" ht="31.2">
      <c r="A91" s="26" t="s">
        <v>94</v>
      </c>
      <c r="B91" s="95" t="s">
        <v>573</v>
      </c>
      <c r="C91" s="108" t="s">
        <v>313</v>
      </c>
      <c r="D91" s="111">
        <v>2</v>
      </c>
      <c r="E91" s="27">
        <v>0</v>
      </c>
      <c r="F91" s="27">
        <v>0</v>
      </c>
      <c r="G91" s="27">
        <f t="shared" si="4"/>
        <v>0</v>
      </c>
      <c r="H91" s="28">
        <f t="shared" si="5"/>
        <v>0</v>
      </c>
      <c r="I91" s="28">
        <f t="shared" si="6"/>
        <v>0</v>
      </c>
      <c r="J91" s="28">
        <f t="shared" si="7"/>
        <v>0</v>
      </c>
      <c r="K91" s="29"/>
    </row>
    <row r="92" spans="1:11">
      <c r="A92" s="26" t="s">
        <v>95</v>
      </c>
      <c r="B92" s="95" t="s">
        <v>565</v>
      </c>
      <c r="C92" s="108" t="s">
        <v>313</v>
      </c>
      <c r="D92" s="111">
        <v>8</v>
      </c>
      <c r="E92" s="27">
        <v>0</v>
      </c>
      <c r="F92" s="27">
        <v>0</v>
      </c>
      <c r="G92" s="27">
        <f t="shared" si="4"/>
        <v>0</v>
      </c>
      <c r="H92" s="28">
        <f t="shared" si="5"/>
        <v>0</v>
      </c>
      <c r="I92" s="28">
        <f t="shared" si="6"/>
        <v>0</v>
      </c>
      <c r="J92" s="28">
        <f t="shared" si="7"/>
        <v>0</v>
      </c>
      <c r="K92" s="29"/>
    </row>
    <row r="93" spans="1:11">
      <c r="A93" s="26" t="s">
        <v>96</v>
      </c>
      <c r="B93" s="95" t="s">
        <v>554</v>
      </c>
      <c r="C93" s="108" t="s">
        <v>313</v>
      </c>
      <c r="D93" s="111">
        <v>4</v>
      </c>
      <c r="E93" s="27">
        <v>0</v>
      </c>
      <c r="F93" s="27">
        <v>0</v>
      </c>
      <c r="G93" s="27">
        <f t="shared" si="4"/>
        <v>0</v>
      </c>
      <c r="H93" s="28">
        <f t="shared" si="5"/>
        <v>0</v>
      </c>
      <c r="I93" s="28">
        <f t="shared" si="6"/>
        <v>0</v>
      </c>
      <c r="J93" s="28">
        <f t="shared" si="7"/>
        <v>0</v>
      </c>
      <c r="K93" s="29"/>
    </row>
    <row r="94" spans="1:11" ht="31.2">
      <c r="A94" s="26" t="s">
        <v>97</v>
      </c>
      <c r="B94" s="95" t="s">
        <v>574</v>
      </c>
      <c r="C94" s="108" t="s">
        <v>313</v>
      </c>
      <c r="D94" s="111">
        <v>8</v>
      </c>
      <c r="E94" s="27">
        <v>0</v>
      </c>
      <c r="F94" s="27">
        <v>0</v>
      </c>
      <c r="G94" s="27">
        <f t="shared" si="4"/>
        <v>0</v>
      </c>
      <c r="H94" s="28">
        <f t="shared" si="5"/>
        <v>0</v>
      </c>
      <c r="I94" s="28">
        <f t="shared" si="6"/>
        <v>0</v>
      </c>
      <c r="J94" s="28">
        <f t="shared" si="7"/>
        <v>0</v>
      </c>
      <c r="K94" s="29"/>
    </row>
    <row r="95" spans="1:11" ht="31.2">
      <c r="A95" s="26" t="s">
        <v>98</v>
      </c>
      <c r="B95" s="95" t="s">
        <v>566</v>
      </c>
      <c r="C95" s="108" t="s">
        <v>313</v>
      </c>
      <c r="D95" s="111">
        <v>4</v>
      </c>
      <c r="E95" s="27">
        <v>0</v>
      </c>
      <c r="F95" s="27">
        <v>0</v>
      </c>
      <c r="G95" s="27">
        <f t="shared" si="4"/>
        <v>0</v>
      </c>
      <c r="H95" s="28">
        <f t="shared" si="5"/>
        <v>0</v>
      </c>
      <c r="I95" s="28">
        <f t="shared" si="6"/>
        <v>0</v>
      </c>
      <c r="J95" s="28">
        <f t="shared" si="7"/>
        <v>0</v>
      </c>
      <c r="K95" s="29"/>
    </row>
    <row r="96" spans="1:11" ht="31.2">
      <c r="A96" s="26" t="s">
        <v>99</v>
      </c>
      <c r="B96" s="95" t="s">
        <v>575</v>
      </c>
      <c r="C96" s="108" t="s">
        <v>313</v>
      </c>
      <c r="D96" s="111">
        <v>8</v>
      </c>
      <c r="E96" s="27">
        <v>0</v>
      </c>
      <c r="F96" s="27">
        <v>0</v>
      </c>
      <c r="G96" s="27">
        <f t="shared" si="4"/>
        <v>0</v>
      </c>
      <c r="H96" s="28">
        <f t="shared" si="5"/>
        <v>0</v>
      </c>
      <c r="I96" s="28">
        <f t="shared" si="6"/>
        <v>0</v>
      </c>
      <c r="J96" s="28">
        <f t="shared" si="7"/>
        <v>0</v>
      </c>
      <c r="K96" s="29"/>
    </row>
    <row r="97" spans="1:11" ht="31.2">
      <c r="A97" s="26" t="s">
        <v>100</v>
      </c>
      <c r="B97" s="95" t="s">
        <v>567</v>
      </c>
      <c r="C97" s="108" t="s">
        <v>313</v>
      </c>
      <c r="D97" s="111">
        <v>4</v>
      </c>
      <c r="E97" s="27">
        <v>0</v>
      </c>
      <c r="F97" s="27">
        <v>0</v>
      </c>
      <c r="G97" s="27">
        <f t="shared" si="4"/>
        <v>0</v>
      </c>
      <c r="H97" s="28">
        <f t="shared" si="5"/>
        <v>0</v>
      </c>
      <c r="I97" s="28">
        <f t="shared" si="6"/>
        <v>0</v>
      </c>
      <c r="J97" s="28">
        <f t="shared" si="7"/>
        <v>0</v>
      </c>
      <c r="K97" s="29"/>
    </row>
    <row r="98" spans="1:11" ht="31.2">
      <c r="A98" s="26" t="s">
        <v>101</v>
      </c>
      <c r="B98" s="95" t="s">
        <v>576</v>
      </c>
      <c r="C98" s="108" t="s">
        <v>313</v>
      </c>
      <c r="D98" s="111">
        <v>8</v>
      </c>
      <c r="E98" s="27">
        <v>0</v>
      </c>
      <c r="F98" s="27">
        <v>0</v>
      </c>
      <c r="G98" s="27">
        <f t="shared" si="4"/>
        <v>0</v>
      </c>
      <c r="H98" s="28">
        <f t="shared" si="5"/>
        <v>0</v>
      </c>
      <c r="I98" s="28">
        <f t="shared" si="6"/>
        <v>0</v>
      </c>
      <c r="J98" s="28">
        <f t="shared" si="7"/>
        <v>0</v>
      </c>
      <c r="K98" s="29"/>
    </row>
    <row r="99" spans="1:11" ht="31.2">
      <c r="A99" s="26" t="s">
        <v>102</v>
      </c>
      <c r="B99" s="95" t="s">
        <v>568</v>
      </c>
      <c r="C99" s="108" t="s">
        <v>313</v>
      </c>
      <c r="D99" s="111">
        <v>4</v>
      </c>
      <c r="E99" s="27">
        <v>0</v>
      </c>
      <c r="F99" s="27">
        <v>0</v>
      </c>
      <c r="G99" s="27">
        <f t="shared" si="4"/>
        <v>0</v>
      </c>
      <c r="H99" s="28">
        <f t="shared" si="5"/>
        <v>0</v>
      </c>
      <c r="I99" s="28">
        <f t="shared" si="6"/>
        <v>0</v>
      </c>
      <c r="J99" s="28">
        <f t="shared" si="7"/>
        <v>0</v>
      </c>
      <c r="K99" s="29"/>
    </row>
    <row r="100" spans="1:11" ht="46.8">
      <c r="A100" s="26" t="s">
        <v>103</v>
      </c>
      <c r="B100" s="95" t="s">
        <v>569</v>
      </c>
      <c r="C100" s="108" t="s">
        <v>313</v>
      </c>
      <c r="D100" s="111">
        <v>12</v>
      </c>
      <c r="E100" s="27">
        <v>0</v>
      </c>
      <c r="F100" s="27">
        <v>0</v>
      </c>
      <c r="G100" s="27">
        <f t="shared" si="4"/>
        <v>0</v>
      </c>
      <c r="H100" s="28">
        <f t="shared" si="5"/>
        <v>0</v>
      </c>
      <c r="I100" s="28">
        <f t="shared" si="6"/>
        <v>0</v>
      </c>
      <c r="J100" s="28">
        <f t="shared" si="7"/>
        <v>0</v>
      </c>
      <c r="K100" s="29"/>
    </row>
    <row r="101" spans="1:11">
      <c r="A101" s="26" t="s">
        <v>104</v>
      </c>
      <c r="B101" s="95" t="s">
        <v>577</v>
      </c>
      <c r="C101" s="108" t="s">
        <v>313</v>
      </c>
      <c r="D101" s="111">
        <v>4</v>
      </c>
      <c r="E101" s="27">
        <v>0</v>
      </c>
      <c r="F101" s="27">
        <v>0</v>
      </c>
      <c r="G101" s="27">
        <f t="shared" si="4"/>
        <v>0</v>
      </c>
      <c r="H101" s="28">
        <f t="shared" si="5"/>
        <v>0</v>
      </c>
      <c r="I101" s="28">
        <f t="shared" si="6"/>
        <v>0</v>
      </c>
      <c r="J101" s="28">
        <f t="shared" si="7"/>
        <v>0</v>
      </c>
      <c r="K101" s="29"/>
    </row>
    <row r="102" spans="1:11">
      <c r="A102" s="26" t="s">
        <v>105</v>
      </c>
      <c r="B102" s="95" t="s">
        <v>578</v>
      </c>
      <c r="C102" s="108" t="s">
        <v>313</v>
      </c>
      <c r="D102" s="111">
        <v>4</v>
      </c>
      <c r="E102" s="27">
        <v>0</v>
      </c>
      <c r="F102" s="27">
        <v>0</v>
      </c>
      <c r="G102" s="27">
        <f t="shared" si="4"/>
        <v>0</v>
      </c>
      <c r="H102" s="28">
        <f t="shared" si="5"/>
        <v>0</v>
      </c>
      <c r="I102" s="28">
        <f t="shared" si="6"/>
        <v>0</v>
      </c>
      <c r="J102" s="28">
        <f t="shared" si="7"/>
        <v>0</v>
      </c>
      <c r="K102" s="29"/>
    </row>
    <row r="103" spans="1:11" ht="31.2">
      <c r="A103" s="26" t="s">
        <v>106</v>
      </c>
      <c r="B103" s="95" t="s">
        <v>572</v>
      </c>
      <c r="C103" s="108" t="s">
        <v>313</v>
      </c>
      <c r="D103" s="111">
        <v>4</v>
      </c>
      <c r="E103" s="27">
        <v>0</v>
      </c>
      <c r="F103" s="27">
        <v>0</v>
      </c>
      <c r="G103" s="27">
        <f t="shared" si="4"/>
        <v>0</v>
      </c>
      <c r="H103" s="28">
        <f t="shared" si="5"/>
        <v>0</v>
      </c>
      <c r="I103" s="28">
        <f t="shared" si="6"/>
        <v>0</v>
      </c>
      <c r="J103" s="28">
        <f t="shared" si="7"/>
        <v>0</v>
      </c>
      <c r="K103" s="29"/>
    </row>
    <row r="104" spans="1:11" ht="31.2">
      <c r="A104" s="26" t="s">
        <v>107</v>
      </c>
      <c r="B104" s="95" t="s">
        <v>579</v>
      </c>
      <c r="C104" s="108" t="s">
        <v>313</v>
      </c>
      <c r="D104" s="111">
        <v>8</v>
      </c>
      <c r="E104" s="27">
        <v>0</v>
      </c>
      <c r="F104" s="27">
        <v>0</v>
      </c>
      <c r="G104" s="27">
        <f t="shared" si="4"/>
        <v>0</v>
      </c>
      <c r="H104" s="28">
        <f t="shared" si="5"/>
        <v>0</v>
      </c>
      <c r="I104" s="28">
        <f t="shared" si="6"/>
        <v>0</v>
      </c>
      <c r="J104" s="28">
        <f t="shared" si="7"/>
        <v>0</v>
      </c>
      <c r="K104" s="29"/>
    </row>
    <row r="105" spans="1:11">
      <c r="A105" s="26" t="s">
        <v>108</v>
      </c>
      <c r="B105" s="95" t="s">
        <v>565</v>
      </c>
      <c r="C105" s="108" t="s">
        <v>313</v>
      </c>
      <c r="D105" s="111">
        <v>2</v>
      </c>
      <c r="E105" s="27">
        <v>0</v>
      </c>
      <c r="F105" s="27">
        <v>0</v>
      </c>
      <c r="G105" s="27">
        <f t="shared" si="4"/>
        <v>0</v>
      </c>
      <c r="H105" s="28">
        <f t="shared" si="5"/>
        <v>0</v>
      </c>
      <c r="I105" s="28">
        <f t="shared" si="6"/>
        <v>0</v>
      </c>
      <c r="J105" s="28">
        <f t="shared" si="7"/>
        <v>0</v>
      </c>
      <c r="K105" s="29"/>
    </row>
    <row r="106" spans="1:11">
      <c r="A106" s="26" t="s">
        <v>109</v>
      </c>
      <c r="B106" s="95" t="s">
        <v>554</v>
      </c>
      <c r="C106" s="108" t="s">
        <v>313</v>
      </c>
      <c r="D106" s="111">
        <v>1</v>
      </c>
      <c r="E106" s="27">
        <v>0</v>
      </c>
      <c r="F106" s="27">
        <v>0</v>
      </c>
      <c r="G106" s="27">
        <f t="shared" si="4"/>
        <v>0</v>
      </c>
      <c r="H106" s="28">
        <f t="shared" si="5"/>
        <v>0</v>
      </c>
      <c r="I106" s="28">
        <f t="shared" si="6"/>
        <v>0</v>
      </c>
      <c r="J106" s="28">
        <f t="shared" si="7"/>
        <v>0</v>
      </c>
      <c r="K106" s="29"/>
    </row>
    <row r="107" spans="1:11" ht="31.2">
      <c r="A107" s="26" t="s">
        <v>110</v>
      </c>
      <c r="B107" s="95" t="s">
        <v>574</v>
      </c>
      <c r="C107" s="108" t="s">
        <v>313</v>
      </c>
      <c r="D107" s="111">
        <v>1</v>
      </c>
      <c r="E107" s="27">
        <v>0</v>
      </c>
      <c r="F107" s="27">
        <v>0</v>
      </c>
      <c r="G107" s="27">
        <f t="shared" si="4"/>
        <v>0</v>
      </c>
      <c r="H107" s="28">
        <f t="shared" si="5"/>
        <v>0</v>
      </c>
      <c r="I107" s="28">
        <f t="shared" si="6"/>
        <v>0</v>
      </c>
      <c r="J107" s="28">
        <f t="shared" si="7"/>
        <v>0</v>
      </c>
      <c r="K107" s="29"/>
    </row>
    <row r="108" spans="1:11" ht="31.2">
      <c r="A108" s="26" t="s">
        <v>111</v>
      </c>
      <c r="B108" s="95" t="s">
        <v>566</v>
      </c>
      <c r="C108" s="108" t="s">
        <v>313</v>
      </c>
      <c r="D108" s="111">
        <v>2</v>
      </c>
      <c r="E108" s="27">
        <v>0</v>
      </c>
      <c r="F108" s="27">
        <v>0</v>
      </c>
      <c r="G108" s="27">
        <f t="shared" si="4"/>
        <v>0</v>
      </c>
      <c r="H108" s="28">
        <f t="shared" si="5"/>
        <v>0</v>
      </c>
      <c r="I108" s="28">
        <f t="shared" si="6"/>
        <v>0</v>
      </c>
      <c r="J108" s="28">
        <f t="shared" si="7"/>
        <v>0</v>
      </c>
      <c r="K108" s="29"/>
    </row>
    <row r="109" spans="1:11" ht="31.2">
      <c r="A109" s="26" t="s">
        <v>112</v>
      </c>
      <c r="B109" s="95" t="s">
        <v>575</v>
      </c>
      <c r="C109" s="108" t="s">
        <v>313</v>
      </c>
      <c r="D109" s="111">
        <v>1</v>
      </c>
      <c r="E109" s="27">
        <v>0</v>
      </c>
      <c r="F109" s="27">
        <v>0</v>
      </c>
      <c r="G109" s="27">
        <f t="shared" si="4"/>
        <v>0</v>
      </c>
      <c r="H109" s="28">
        <f t="shared" si="5"/>
        <v>0</v>
      </c>
      <c r="I109" s="28">
        <f t="shared" si="6"/>
        <v>0</v>
      </c>
      <c r="J109" s="28">
        <f t="shared" si="7"/>
        <v>0</v>
      </c>
      <c r="K109" s="29"/>
    </row>
    <row r="110" spans="1:11" ht="31.2">
      <c r="A110" s="26" t="s">
        <v>113</v>
      </c>
      <c r="B110" s="95" t="s">
        <v>567</v>
      </c>
      <c r="C110" s="108" t="s">
        <v>313</v>
      </c>
      <c r="D110" s="111">
        <v>2</v>
      </c>
      <c r="E110" s="27">
        <v>0</v>
      </c>
      <c r="F110" s="27">
        <v>0</v>
      </c>
      <c r="G110" s="27">
        <f t="shared" si="4"/>
        <v>0</v>
      </c>
      <c r="H110" s="28">
        <f t="shared" si="5"/>
        <v>0</v>
      </c>
      <c r="I110" s="28">
        <f t="shared" si="6"/>
        <v>0</v>
      </c>
      <c r="J110" s="28">
        <f t="shared" si="7"/>
        <v>0</v>
      </c>
      <c r="K110" s="29"/>
    </row>
    <row r="111" spans="1:11" ht="31.2">
      <c r="A111" s="26" t="s">
        <v>114</v>
      </c>
      <c r="B111" s="95" t="s">
        <v>576</v>
      </c>
      <c r="C111" s="108" t="s">
        <v>313</v>
      </c>
      <c r="D111" s="111">
        <v>1</v>
      </c>
      <c r="E111" s="27">
        <v>0</v>
      </c>
      <c r="F111" s="27">
        <v>0</v>
      </c>
      <c r="G111" s="27">
        <f t="shared" si="4"/>
        <v>0</v>
      </c>
      <c r="H111" s="28">
        <f t="shared" si="5"/>
        <v>0</v>
      </c>
      <c r="I111" s="28">
        <f t="shared" si="6"/>
        <v>0</v>
      </c>
      <c r="J111" s="28">
        <f t="shared" si="7"/>
        <v>0</v>
      </c>
      <c r="K111" s="29"/>
    </row>
    <row r="112" spans="1:11" ht="31.2">
      <c r="A112" s="26" t="s">
        <v>115</v>
      </c>
      <c r="B112" s="95" t="s">
        <v>568</v>
      </c>
      <c r="C112" s="108" t="s">
        <v>313</v>
      </c>
      <c r="D112" s="111">
        <v>2</v>
      </c>
      <c r="E112" s="27">
        <v>0</v>
      </c>
      <c r="F112" s="27">
        <v>0</v>
      </c>
      <c r="G112" s="27">
        <f t="shared" si="4"/>
        <v>0</v>
      </c>
      <c r="H112" s="28">
        <f t="shared" si="5"/>
        <v>0</v>
      </c>
      <c r="I112" s="28">
        <f t="shared" si="6"/>
        <v>0</v>
      </c>
      <c r="J112" s="28">
        <f t="shared" si="7"/>
        <v>0</v>
      </c>
      <c r="K112" s="29"/>
    </row>
    <row r="113" spans="1:11" ht="46.8">
      <c r="A113" s="26" t="s">
        <v>116</v>
      </c>
      <c r="B113" s="95" t="s">
        <v>569</v>
      </c>
      <c r="C113" s="108" t="s">
        <v>313</v>
      </c>
      <c r="D113" s="111">
        <v>3</v>
      </c>
      <c r="E113" s="27">
        <v>0</v>
      </c>
      <c r="F113" s="27">
        <v>0</v>
      </c>
      <c r="G113" s="27">
        <f t="shared" si="4"/>
        <v>0</v>
      </c>
      <c r="H113" s="28">
        <f t="shared" si="5"/>
        <v>0</v>
      </c>
      <c r="I113" s="28">
        <f t="shared" si="6"/>
        <v>0</v>
      </c>
      <c r="J113" s="28">
        <f t="shared" si="7"/>
        <v>0</v>
      </c>
      <c r="K113" s="29"/>
    </row>
    <row r="114" spans="1:11">
      <c r="A114" s="26" t="s">
        <v>117</v>
      </c>
      <c r="B114" s="95" t="s">
        <v>577</v>
      </c>
      <c r="C114" s="108" t="s">
        <v>313</v>
      </c>
      <c r="D114" s="111">
        <v>1</v>
      </c>
      <c r="E114" s="27">
        <v>0</v>
      </c>
      <c r="F114" s="27">
        <v>0</v>
      </c>
      <c r="G114" s="27">
        <f t="shared" si="4"/>
        <v>0</v>
      </c>
      <c r="H114" s="28">
        <f t="shared" si="5"/>
        <v>0</v>
      </c>
      <c r="I114" s="28">
        <f t="shared" si="6"/>
        <v>0</v>
      </c>
      <c r="J114" s="28">
        <f t="shared" si="7"/>
        <v>0</v>
      </c>
      <c r="K114" s="29"/>
    </row>
    <row r="115" spans="1:11">
      <c r="A115" s="26" t="s">
        <v>118</v>
      </c>
      <c r="B115" s="95" t="s">
        <v>578</v>
      </c>
      <c r="C115" s="108" t="s">
        <v>313</v>
      </c>
      <c r="D115" s="111">
        <v>1</v>
      </c>
      <c r="E115" s="27">
        <v>0</v>
      </c>
      <c r="F115" s="27">
        <v>0</v>
      </c>
      <c r="G115" s="27">
        <f t="shared" si="4"/>
        <v>0</v>
      </c>
      <c r="H115" s="28">
        <f t="shared" si="5"/>
        <v>0</v>
      </c>
      <c r="I115" s="28">
        <f t="shared" si="6"/>
        <v>0</v>
      </c>
      <c r="J115" s="28">
        <f t="shared" si="7"/>
        <v>0</v>
      </c>
      <c r="K115" s="29"/>
    </row>
    <row r="116" spans="1:11" ht="31.2">
      <c r="A116" s="26" t="s">
        <v>119</v>
      </c>
      <c r="B116" s="95" t="s">
        <v>572</v>
      </c>
      <c r="C116" s="108" t="s">
        <v>313</v>
      </c>
      <c r="D116" s="111">
        <v>1</v>
      </c>
      <c r="E116" s="27">
        <v>0</v>
      </c>
      <c r="F116" s="27">
        <v>0</v>
      </c>
      <c r="G116" s="27">
        <f t="shared" si="4"/>
        <v>0</v>
      </c>
      <c r="H116" s="28">
        <f t="shared" si="5"/>
        <v>0</v>
      </c>
      <c r="I116" s="28">
        <f t="shared" si="6"/>
        <v>0</v>
      </c>
      <c r="J116" s="28">
        <f t="shared" si="7"/>
        <v>0</v>
      </c>
      <c r="K116" s="29"/>
    </row>
    <row r="117" spans="1:11" ht="31.2">
      <c r="A117" s="26" t="s">
        <v>120</v>
      </c>
      <c r="B117" s="95" t="s">
        <v>580</v>
      </c>
      <c r="C117" s="108" t="s">
        <v>313</v>
      </c>
      <c r="D117" s="111">
        <v>2</v>
      </c>
      <c r="E117" s="27">
        <v>0</v>
      </c>
      <c r="F117" s="27">
        <v>0</v>
      </c>
      <c r="G117" s="27">
        <f t="shared" si="4"/>
        <v>0</v>
      </c>
      <c r="H117" s="28">
        <f t="shared" si="5"/>
        <v>0</v>
      </c>
      <c r="I117" s="28">
        <f t="shared" si="6"/>
        <v>0</v>
      </c>
      <c r="J117" s="28">
        <f t="shared" si="7"/>
        <v>0</v>
      </c>
      <c r="K117" s="29"/>
    </row>
    <row r="118" spans="1:11">
      <c r="A118" s="26" t="s">
        <v>121</v>
      </c>
      <c r="B118" s="95" t="s">
        <v>565</v>
      </c>
      <c r="C118" s="108" t="s">
        <v>313</v>
      </c>
      <c r="D118" s="111">
        <v>6</v>
      </c>
      <c r="E118" s="27">
        <v>0</v>
      </c>
      <c r="F118" s="27">
        <v>0</v>
      </c>
      <c r="G118" s="27">
        <f t="shared" si="4"/>
        <v>0</v>
      </c>
      <c r="H118" s="28">
        <f t="shared" si="5"/>
        <v>0</v>
      </c>
      <c r="I118" s="28">
        <f t="shared" si="6"/>
        <v>0</v>
      </c>
      <c r="J118" s="28">
        <f t="shared" si="7"/>
        <v>0</v>
      </c>
      <c r="K118" s="29"/>
    </row>
    <row r="119" spans="1:11">
      <c r="A119" s="26" t="s">
        <v>122</v>
      </c>
      <c r="B119" s="95" t="s">
        <v>554</v>
      </c>
      <c r="C119" s="108" t="s">
        <v>313</v>
      </c>
      <c r="D119" s="111">
        <v>3</v>
      </c>
      <c r="E119" s="27">
        <v>0</v>
      </c>
      <c r="F119" s="27">
        <v>0</v>
      </c>
      <c r="G119" s="27">
        <f t="shared" si="4"/>
        <v>0</v>
      </c>
      <c r="H119" s="28">
        <f t="shared" si="5"/>
        <v>0</v>
      </c>
      <c r="I119" s="28">
        <f t="shared" si="6"/>
        <v>0</v>
      </c>
      <c r="J119" s="28">
        <f t="shared" si="7"/>
        <v>0</v>
      </c>
      <c r="K119" s="73"/>
    </row>
    <row r="120" spans="1:11" ht="31.2">
      <c r="A120" s="26" t="s">
        <v>123</v>
      </c>
      <c r="B120" s="95" t="s">
        <v>574</v>
      </c>
      <c r="C120" s="108" t="s">
        <v>313</v>
      </c>
      <c r="D120" s="111">
        <v>3</v>
      </c>
      <c r="E120" s="27">
        <v>0</v>
      </c>
      <c r="F120" s="27">
        <v>0</v>
      </c>
      <c r="G120" s="27">
        <f t="shared" si="4"/>
        <v>0</v>
      </c>
      <c r="H120" s="28">
        <f t="shared" si="5"/>
        <v>0</v>
      </c>
      <c r="I120" s="28">
        <f t="shared" si="6"/>
        <v>0</v>
      </c>
      <c r="J120" s="28">
        <f t="shared" si="7"/>
        <v>0</v>
      </c>
      <c r="K120" s="73"/>
    </row>
    <row r="121" spans="1:11" ht="31.2">
      <c r="A121" s="26" t="s">
        <v>124</v>
      </c>
      <c r="B121" s="95" t="s">
        <v>566</v>
      </c>
      <c r="C121" s="108" t="s">
        <v>313</v>
      </c>
      <c r="D121" s="111">
        <v>6</v>
      </c>
      <c r="E121" s="27">
        <v>0</v>
      </c>
      <c r="F121" s="27">
        <v>0</v>
      </c>
      <c r="G121" s="27">
        <f t="shared" si="4"/>
        <v>0</v>
      </c>
      <c r="H121" s="28">
        <f t="shared" si="5"/>
        <v>0</v>
      </c>
      <c r="I121" s="28">
        <f t="shared" si="6"/>
        <v>0</v>
      </c>
      <c r="J121" s="28">
        <f t="shared" si="7"/>
        <v>0</v>
      </c>
      <c r="K121" s="73"/>
    </row>
    <row r="122" spans="1:11" ht="31.2">
      <c r="A122" s="26" t="s">
        <v>125</v>
      </c>
      <c r="B122" s="95" t="s">
        <v>575</v>
      </c>
      <c r="C122" s="108" t="s">
        <v>313</v>
      </c>
      <c r="D122" s="111">
        <v>3</v>
      </c>
      <c r="E122" s="27">
        <v>0</v>
      </c>
      <c r="F122" s="27">
        <v>0</v>
      </c>
      <c r="G122" s="27">
        <f t="shared" si="4"/>
        <v>0</v>
      </c>
      <c r="H122" s="28">
        <f t="shared" si="5"/>
        <v>0</v>
      </c>
      <c r="I122" s="28">
        <f t="shared" si="6"/>
        <v>0</v>
      </c>
      <c r="J122" s="28">
        <f t="shared" si="7"/>
        <v>0</v>
      </c>
      <c r="K122" s="73"/>
    </row>
    <row r="123" spans="1:11" ht="31.2">
      <c r="A123" s="26" t="s">
        <v>126</v>
      </c>
      <c r="B123" s="95" t="s">
        <v>567</v>
      </c>
      <c r="C123" s="108" t="s">
        <v>313</v>
      </c>
      <c r="D123" s="111">
        <v>6</v>
      </c>
      <c r="E123" s="27">
        <v>0</v>
      </c>
      <c r="F123" s="27">
        <v>0</v>
      </c>
      <c r="G123" s="27">
        <f t="shared" si="4"/>
        <v>0</v>
      </c>
      <c r="H123" s="28">
        <f t="shared" si="5"/>
        <v>0</v>
      </c>
      <c r="I123" s="28">
        <f t="shared" si="6"/>
        <v>0</v>
      </c>
      <c r="J123" s="28">
        <f t="shared" si="7"/>
        <v>0</v>
      </c>
      <c r="K123" s="73"/>
    </row>
    <row r="124" spans="1:11" ht="31.2">
      <c r="A124" s="26" t="s">
        <v>127</v>
      </c>
      <c r="B124" s="95" t="s">
        <v>576</v>
      </c>
      <c r="C124" s="108" t="s">
        <v>313</v>
      </c>
      <c r="D124" s="111">
        <v>3</v>
      </c>
      <c r="E124" s="27">
        <v>0</v>
      </c>
      <c r="F124" s="27">
        <v>0</v>
      </c>
      <c r="G124" s="27">
        <f t="shared" si="4"/>
        <v>0</v>
      </c>
      <c r="H124" s="28">
        <f t="shared" si="5"/>
        <v>0</v>
      </c>
      <c r="I124" s="28">
        <f t="shared" si="6"/>
        <v>0</v>
      </c>
      <c r="J124" s="28">
        <f t="shared" si="7"/>
        <v>0</v>
      </c>
      <c r="K124" s="73"/>
    </row>
    <row r="125" spans="1:11" ht="31.2">
      <c r="A125" s="26" t="s">
        <v>128</v>
      </c>
      <c r="B125" s="95" t="s">
        <v>568</v>
      </c>
      <c r="C125" s="108" t="s">
        <v>313</v>
      </c>
      <c r="D125" s="111">
        <v>6</v>
      </c>
      <c r="E125" s="27">
        <v>0</v>
      </c>
      <c r="F125" s="27">
        <v>0</v>
      </c>
      <c r="G125" s="27">
        <f t="shared" si="4"/>
        <v>0</v>
      </c>
      <c r="H125" s="28">
        <f t="shared" si="5"/>
        <v>0</v>
      </c>
      <c r="I125" s="28">
        <f t="shared" si="6"/>
        <v>0</v>
      </c>
      <c r="J125" s="28">
        <f t="shared" si="7"/>
        <v>0</v>
      </c>
      <c r="K125" s="73"/>
    </row>
    <row r="126" spans="1:11" ht="46.8">
      <c r="A126" s="26" t="s">
        <v>129</v>
      </c>
      <c r="B126" s="95" t="s">
        <v>569</v>
      </c>
      <c r="C126" s="108" t="s">
        <v>313</v>
      </c>
      <c r="D126" s="111">
        <v>9</v>
      </c>
      <c r="E126" s="27">
        <v>0</v>
      </c>
      <c r="F126" s="27">
        <v>0</v>
      </c>
      <c r="G126" s="27">
        <f t="shared" si="4"/>
        <v>0</v>
      </c>
      <c r="H126" s="28">
        <f t="shared" si="5"/>
        <v>0</v>
      </c>
      <c r="I126" s="28">
        <f t="shared" si="6"/>
        <v>0</v>
      </c>
      <c r="J126" s="28">
        <f t="shared" si="7"/>
        <v>0</v>
      </c>
      <c r="K126" s="73"/>
    </row>
    <row r="127" spans="1:11">
      <c r="A127" s="26" t="s">
        <v>130</v>
      </c>
      <c r="B127" s="95" t="s">
        <v>577</v>
      </c>
      <c r="C127" s="108" t="s">
        <v>313</v>
      </c>
      <c r="D127" s="111">
        <v>3</v>
      </c>
      <c r="E127" s="27">
        <v>0</v>
      </c>
      <c r="F127" s="27">
        <v>0</v>
      </c>
      <c r="G127" s="27">
        <f t="shared" si="4"/>
        <v>0</v>
      </c>
      <c r="H127" s="28">
        <f t="shared" si="5"/>
        <v>0</v>
      </c>
      <c r="I127" s="28">
        <f t="shared" si="6"/>
        <v>0</v>
      </c>
      <c r="J127" s="28">
        <f t="shared" si="7"/>
        <v>0</v>
      </c>
      <c r="K127" s="73"/>
    </row>
    <row r="128" spans="1:11">
      <c r="A128" s="26" t="s">
        <v>131</v>
      </c>
      <c r="B128" s="95" t="s">
        <v>578</v>
      </c>
      <c r="C128" s="108" t="s">
        <v>313</v>
      </c>
      <c r="D128" s="111">
        <v>3</v>
      </c>
      <c r="E128" s="27">
        <v>0</v>
      </c>
      <c r="F128" s="27">
        <v>0</v>
      </c>
      <c r="G128" s="27">
        <f t="shared" ref="G128:G179" si="8">E128+F128</f>
        <v>0</v>
      </c>
      <c r="H128" s="28">
        <f t="shared" ref="H128:H179" si="9">D128*E128</f>
        <v>0</v>
      </c>
      <c r="I128" s="28">
        <f t="shared" ref="I128:I179" si="10">D128*F128</f>
        <v>0</v>
      </c>
      <c r="J128" s="28">
        <f t="shared" ref="J128:J179" si="11">H128+I128</f>
        <v>0</v>
      </c>
      <c r="K128" s="73"/>
    </row>
    <row r="129" spans="1:11" ht="31.2">
      <c r="A129" s="26" t="s">
        <v>132</v>
      </c>
      <c r="B129" s="95" t="s">
        <v>572</v>
      </c>
      <c r="C129" s="108" t="s">
        <v>313</v>
      </c>
      <c r="D129" s="111">
        <v>3</v>
      </c>
      <c r="E129" s="27">
        <v>0</v>
      </c>
      <c r="F129" s="27">
        <v>0</v>
      </c>
      <c r="G129" s="27">
        <f t="shared" si="8"/>
        <v>0</v>
      </c>
      <c r="H129" s="28">
        <f t="shared" si="9"/>
        <v>0</v>
      </c>
      <c r="I129" s="28">
        <f t="shared" si="10"/>
        <v>0</v>
      </c>
      <c r="J129" s="28">
        <f t="shared" si="11"/>
        <v>0</v>
      </c>
      <c r="K129" s="73"/>
    </row>
    <row r="130" spans="1:11" ht="31.2">
      <c r="A130" s="26" t="s">
        <v>133</v>
      </c>
      <c r="B130" s="95" t="s">
        <v>581</v>
      </c>
      <c r="C130" s="108" t="s">
        <v>313</v>
      </c>
      <c r="D130" s="111">
        <v>6</v>
      </c>
      <c r="E130" s="27">
        <v>0</v>
      </c>
      <c r="F130" s="27">
        <v>0</v>
      </c>
      <c r="G130" s="27">
        <f t="shared" si="8"/>
        <v>0</v>
      </c>
      <c r="H130" s="28">
        <f t="shared" si="9"/>
        <v>0</v>
      </c>
      <c r="I130" s="28">
        <f t="shared" si="10"/>
        <v>0</v>
      </c>
      <c r="J130" s="28">
        <f t="shared" si="11"/>
        <v>0</v>
      </c>
      <c r="K130" s="73"/>
    </row>
    <row r="131" spans="1:11">
      <c r="A131" s="26" t="s">
        <v>134</v>
      </c>
      <c r="B131" s="95" t="s">
        <v>582</v>
      </c>
      <c r="C131" s="108" t="s">
        <v>313</v>
      </c>
      <c r="D131" s="111">
        <v>2</v>
      </c>
      <c r="E131" s="27">
        <v>0</v>
      </c>
      <c r="F131" s="27">
        <v>0</v>
      </c>
      <c r="G131" s="27">
        <f t="shared" si="8"/>
        <v>0</v>
      </c>
      <c r="H131" s="28">
        <f t="shared" si="9"/>
        <v>0</v>
      </c>
      <c r="I131" s="28">
        <f t="shared" si="10"/>
        <v>0</v>
      </c>
      <c r="J131" s="28">
        <f t="shared" si="11"/>
        <v>0</v>
      </c>
      <c r="K131" s="29"/>
    </row>
    <row r="132" spans="1:11">
      <c r="A132" s="26" t="s">
        <v>135</v>
      </c>
      <c r="B132" s="95" t="s">
        <v>583</v>
      </c>
      <c r="C132" s="108" t="s">
        <v>313</v>
      </c>
      <c r="D132" s="111">
        <v>1</v>
      </c>
      <c r="E132" s="27">
        <v>0</v>
      </c>
      <c r="F132" s="27">
        <v>0</v>
      </c>
      <c r="G132" s="27">
        <f t="shared" si="8"/>
        <v>0</v>
      </c>
      <c r="H132" s="28">
        <f t="shared" si="9"/>
        <v>0</v>
      </c>
      <c r="I132" s="28">
        <f t="shared" si="10"/>
        <v>0</v>
      </c>
      <c r="J132" s="28">
        <f t="shared" si="11"/>
        <v>0</v>
      </c>
      <c r="K132" s="29"/>
    </row>
    <row r="133" spans="1:11" ht="31.2">
      <c r="A133" s="26" t="s">
        <v>136</v>
      </c>
      <c r="B133" s="95" t="s">
        <v>566</v>
      </c>
      <c r="C133" s="108" t="s">
        <v>313</v>
      </c>
      <c r="D133" s="111">
        <v>1</v>
      </c>
      <c r="E133" s="27">
        <v>0</v>
      </c>
      <c r="F133" s="27">
        <v>0</v>
      </c>
      <c r="G133" s="27">
        <f t="shared" si="8"/>
        <v>0</v>
      </c>
      <c r="H133" s="28">
        <f t="shared" si="9"/>
        <v>0</v>
      </c>
      <c r="I133" s="28">
        <f t="shared" si="10"/>
        <v>0</v>
      </c>
      <c r="J133" s="28">
        <f t="shared" si="11"/>
        <v>0</v>
      </c>
      <c r="K133" s="29"/>
    </row>
    <row r="134" spans="1:11" ht="31.2">
      <c r="A134" s="26" t="s">
        <v>137</v>
      </c>
      <c r="B134" s="95" t="s">
        <v>584</v>
      </c>
      <c r="C134" s="108" t="s">
        <v>313</v>
      </c>
      <c r="D134" s="111">
        <v>2</v>
      </c>
      <c r="E134" s="27">
        <v>0</v>
      </c>
      <c r="F134" s="27">
        <v>0</v>
      </c>
      <c r="G134" s="27">
        <f t="shared" si="8"/>
        <v>0</v>
      </c>
      <c r="H134" s="28">
        <f t="shared" si="9"/>
        <v>0</v>
      </c>
      <c r="I134" s="28">
        <f t="shared" si="10"/>
        <v>0</v>
      </c>
      <c r="J134" s="28">
        <f t="shared" si="11"/>
        <v>0</v>
      </c>
      <c r="K134" s="29"/>
    </row>
    <row r="135" spans="1:11" ht="31.2">
      <c r="A135" s="26" t="s">
        <v>138</v>
      </c>
      <c r="B135" s="95" t="s">
        <v>567</v>
      </c>
      <c r="C135" s="108" t="s">
        <v>313</v>
      </c>
      <c r="D135" s="111">
        <v>1</v>
      </c>
      <c r="E135" s="27">
        <v>0</v>
      </c>
      <c r="F135" s="27">
        <v>0</v>
      </c>
      <c r="G135" s="27">
        <f t="shared" si="8"/>
        <v>0</v>
      </c>
      <c r="H135" s="28">
        <f t="shared" si="9"/>
        <v>0</v>
      </c>
      <c r="I135" s="28">
        <f t="shared" si="10"/>
        <v>0</v>
      </c>
      <c r="J135" s="28">
        <f t="shared" si="11"/>
        <v>0</v>
      </c>
      <c r="K135" s="29"/>
    </row>
    <row r="136" spans="1:11" ht="31.2">
      <c r="A136" s="26" t="s">
        <v>139</v>
      </c>
      <c r="B136" s="95" t="s">
        <v>585</v>
      </c>
      <c r="C136" s="108" t="s">
        <v>313</v>
      </c>
      <c r="D136" s="111">
        <v>2</v>
      </c>
      <c r="E136" s="27">
        <v>0</v>
      </c>
      <c r="F136" s="27">
        <v>0</v>
      </c>
      <c r="G136" s="27">
        <f t="shared" si="8"/>
        <v>0</v>
      </c>
      <c r="H136" s="28">
        <f t="shared" si="9"/>
        <v>0</v>
      </c>
      <c r="I136" s="28">
        <f t="shared" si="10"/>
        <v>0</v>
      </c>
      <c r="J136" s="28">
        <f t="shared" si="11"/>
        <v>0</v>
      </c>
      <c r="K136" s="29"/>
    </row>
    <row r="137" spans="1:11" ht="31.2">
      <c r="A137" s="26" t="s">
        <v>140</v>
      </c>
      <c r="B137" s="95" t="s">
        <v>568</v>
      </c>
      <c r="C137" s="108" t="s">
        <v>313</v>
      </c>
      <c r="D137" s="111">
        <v>1</v>
      </c>
      <c r="E137" s="27">
        <v>0</v>
      </c>
      <c r="F137" s="27">
        <v>0</v>
      </c>
      <c r="G137" s="27">
        <f t="shared" si="8"/>
        <v>0</v>
      </c>
      <c r="H137" s="28">
        <f t="shared" si="9"/>
        <v>0</v>
      </c>
      <c r="I137" s="28">
        <f t="shared" si="10"/>
        <v>0</v>
      </c>
      <c r="J137" s="28">
        <f t="shared" si="11"/>
        <v>0</v>
      </c>
      <c r="K137" s="29"/>
    </row>
    <row r="138" spans="1:11" ht="31.2">
      <c r="A138" s="26" t="s">
        <v>141</v>
      </c>
      <c r="B138" s="95" t="s">
        <v>586</v>
      </c>
      <c r="C138" s="108" t="s">
        <v>313</v>
      </c>
      <c r="D138" s="111">
        <v>2</v>
      </c>
      <c r="E138" s="27">
        <v>0</v>
      </c>
      <c r="F138" s="27">
        <v>0</v>
      </c>
      <c r="G138" s="27">
        <f t="shared" si="8"/>
        <v>0</v>
      </c>
      <c r="H138" s="28">
        <f t="shared" si="9"/>
        <v>0</v>
      </c>
      <c r="I138" s="28">
        <f t="shared" si="10"/>
        <v>0</v>
      </c>
      <c r="J138" s="28">
        <f t="shared" si="11"/>
        <v>0</v>
      </c>
      <c r="K138" s="29"/>
    </row>
    <row r="139" spans="1:11" ht="46.8">
      <c r="A139" s="26" t="s">
        <v>142</v>
      </c>
      <c r="B139" s="95" t="s">
        <v>569</v>
      </c>
      <c r="C139" s="108" t="s">
        <v>313</v>
      </c>
      <c r="D139" s="111">
        <v>3</v>
      </c>
      <c r="E139" s="27">
        <v>0</v>
      </c>
      <c r="F139" s="27">
        <v>0</v>
      </c>
      <c r="G139" s="27">
        <f t="shared" si="8"/>
        <v>0</v>
      </c>
      <c r="H139" s="28">
        <f t="shared" si="9"/>
        <v>0</v>
      </c>
      <c r="I139" s="28">
        <f t="shared" si="10"/>
        <v>0</v>
      </c>
      <c r="J139" s="28">
        <f t="shared" si="11"/>
        <v>0</v>
      </c>
      <c r="K139" s="29"/>
    </row>
    <row r="140" spans="1:11">
      <c r="A140" s="26" t="s">
        <v>143</v>
      </c>
      <c r="B140" s="95" t="s">
        <v>577</v>
      </c>
      <c r="C140" s="108" t="s">
        <v>313</v>
      </c>
      <c r="D140" s="111">
        <v>1</v>
      </c>
      <c r="E140" s="27">
        <v>0</v>
      </c>
      <c r="F140" s="27">
        <v>0</v>
      </c>
      <c r="G140" s="27">
        <f t="shared" si="8"/>
        <v>0</v>
      </c>
      <c r="H140" s="28">
        <f t="shared" si="9"/>
        <v>0</v>
      </c>
      <c r="I140" s="28">
        <f t="shared" si="10"/>
        <v>0</v>
      </c>
      <c r="J140" s="28">
        <f t="shared" si="11"/>
        <v>0</v>
      </c>
      <c r="K140" s="29"/>
    </row>
    <row r="141" spans="1:11">
      <c r="A141" s="26" t="s">
        <v>144</v>
      </c>
      <c r="B141" s="95" t="s">
        <v>578</v>
      </c>
      <c r="C141" s="108" t="s">
        <v>313</v>
      </c>
      <c r="D141" s="111">
        <v>1</v>
      </c>
      <c r="E141" s="27">
        <v>0</v>
      </c>
      <c r="F141" s="27">
        <v>0</v>
      </c>
      <c r="G141" s="27">
        <f t="shared" si="8"/>
        <v>0</v>
      </c>
      <c r="H141" s="28">
        <f t="shared" si="9"/>
        <v>0</v>
      </c>
      <c r="I141" s="28">
        <f t="shared" si="10"/>
        <v>0</v>
      </c>
      <c r="J141" s="28">
        <f t="shared" si="11"/>
        <v>0</v>
      </c>
      <c r="K141" s="29"/>
    </row>
    <row r="142" spans="1:11" ht="31.2">
      <c r="A142" s="26" t="s">
        <v>145</v>
      </c>
      <c r="B142" s="95" t="s">
        <v>587</v>
      </c>
      <c r="C142" s="108" t="s">
        <v>313</v>
      </c>
      <c r="D142" s="111">
        <v>1</v>
      </c>
      <c r="E142" s="27">
        <v>0</v>
      </c>
      <c r="F142" s="27">
        <v>0</v>
      </c>
      <c r="G142" s="27">
        <f t="shared" si="8"/>
        <v>0</v>
      </c>
      <c r="H142" s="28">
        <f t="shared" si="9"/>
        <v>0</v>
      </c>
      <c r="I142" s="28">
        <f t="shared" si="10"/>
        <v>0</v>
      </c>
      <c r="J142" s="28">
        <f t="shared" si="11"/>
        <v>0</v>
      </c>
      <c r="K142" s="29"/>
    </row>
    <row r="143" spans="1:11" ht="31.2">
      <c r="A143" s="26" t="s">
        <v>146</v>
      </c>
      <c r="B143" s="95" t="s">
        <v>581</v>
      </c>
      <c r="C143" s="108" t="s">
        <v>313</v>
      </c>
      <c r="D143" s="111">
        <v>2</v>
      </c>
      <c r="E143" s="27">
        <v>0</v>
      </c>
      <c r="F143" s="27">
        <v>0</v>
      </c>
      <c r="G143" s="27">
        <f t="shared" si="8"/>
        <v>0</v>
      </c>
      <c r="H143" s="28">
        <f t="shared" si="9"/>
        <v>0</v>
      </c>
      <c r="I143" s="28">
        <f t="shared" si="10"/>
        <v>0</v>
      </c>
      <c r="J143" s="28">
        <f t="shared" si="11"/>
        <v>0</v>
      </c>
      <c r="K143" s="29"/>
    </row>
    <row r="144" spans="1:11">
      <c r="A144" s="26" t="s">
        <v>147</v>
      </c>
      <c r="B144" s="95" t="s">
        <v>565</v>
      </c>
      <c r="C144" s="108" t="s">
        <v>313</v>
      </c>
      <c r="D144" s="111">
        <v>2</v>
      </c>
      <c r="E144" s="27">
        <v>0</v>
      </c>
      <c r="F144" s="27">
        <v>0</v>
      </c>
      <c r="G144" s="27">
        <f t="shared" si="8"/>
        <v>0</v>
      </c>
      <c r="H144" s="28">
        <f t="shared" si="9"/>
        <v>0</v>
      </c>
      <c r="I144" s="28">
        <f t="shared" si="10"/>
        <v>0</v>
      </c>
      <c r="J144" s="28">
        <f t="shared" si="11"/>
        <v>0</v>
      </c>
      <c r="K144" s="29"/>
    </row>
    <row r="145" spans="1:11" ht="31.2">
      <c r="A145" s="26" t="s">
        <v>148</v>
      </c>
      <c r="B145" s="95" t="s">
        <v>574</v>
      </c>
      <c r="C145" s="108" t="s">
        <v>313</v>
      </c>
      <c r="D145" s="111">
        <v>2</v>
      </c>
      <c r="E145" s="27">
        <v>0</v>
      </c>
      <c r="F145" s="27">
        <v>0</v>
      </c>
      <c r="G145" s="27">
        <f t="shared" si="8"/>
        <v>0</v>
      </c>
      <c r="H145" s="28">
        <f t="shared" si="9"/>
        <v>0</v>
      </c>
      <c r="I145" s="28">
        <f t="shared" si="10"/>
        <v>0</v>
      </c>
      <c r="J145" s="28">
        <f t="shared" si="11"/>
        <v>0</v>
      </c>
      <c r="K145" s="29"/>
    </row>
    <row r="146" spans="1:11" ht="31.2">
      <c r="A146" s="26" t="s">
        <v>149</v>
      </c>
      <c r="B146" s="95" t="s">
        <v>566</v>
      </c>
      <c r="C146" s="108" t="s">
        <v>313</v>
      </c>
      <c r="D146" s="111">
        <v>1</v>
      </c>
      <c r="E146" s="27">
        <v>0</v>
      </c>
      <c r="F146" s="27">
        <v>0</v>
      </c>
      <c r="G146" s="27">
        <f t="shared" si="8"/>
        <v>0</v>
      </c>
      <c r="H146" s="28">
        <f t="shared" si="9"/>
        <v>0</v>
      </c>
      <c r="I146" s="28">
        <f t="shared" si="10"/>
        <v>0</v>
      </c>
      <c r="J146" s="28">
        <f t="shared" si="11"/>
        <v>0</v>
      </c>
      <c r="K146" s="29"/>
    </row>
    <row r="147" spans="1:11" ht="31.2">
      <c r="A147" s="26" t="s">
        <v>150</v>
      </c>
      <c r="B147" s="95" t="s">
        <v>575</v>
      </c>
      <c r="C147" s="108" t="s">
        <v>313</v>
      </c>
      <c r="D147" s="111">
        <v>2</v>
      </c>
      <c r="E147" s="27">
        <v>0</v>
      </c>
      <c r="F147" s="27">
        <v>0</v>
      </c>
      <c r="G147" s="27">
        <f t="shared" si="8"/>
        <v>0</v>
      </c>
      <c r="H147" s="28">
        <f t="shared" si="9"/>
        <v>0</v>
      </c>
      <c r="I147" s="28">
        <f t="shared" si="10"/>
        <v>0</v>
      </c>
      <c r="J147" s="28">
        <f t="shared" si="11"/>
        <v>0</v>
      </c>
      <c r="K147" s="29"/>
    </row>
    <row r="148" spans="1:11" ht="31.2">
      <c r="A148" s="26" t="s">
        <v>151</v>
      </c>
      <c r="B148" s="95" t="s">
        <v>567</v>
      </c>
      <c r="C148" s="108" t="s">
        <v>313</v>
      </c>
      <c r="D148" s="111">
        <v>1</v>
      </c>
      <c r="E148" s="27">
        <v>0</v>
      </c>
      <c r="F148" s="27">
        <v>0</v>
      </c>
      <c r="G148" s="27">
        <f t="shared" si="8"/>
        <v>0</v>
      </c>
      <c r="H148" s="28">
        <f t="shared" si="9"/>
        <v>0</v>
      </c>
      <c r="I148" s="28">
        <f t="shared" si="10"/>
        <v>0</v>
      </c>
      <c r="J148" s="28">
        <f t="shared" si="11"/>
        <v>0</v>
      </c>
      <c r="K148" s="29"/>
    </row>
    <row r="149" spans="1:11" ht="31.2">
      <c r="A149" s="26" t="s">
        <v>152</v>
      </c>
      <c r="B149" s="95" t="s">
        <v>576</v>
      </c>
      <c r="C149" s="108" t="s">
        <v>313</v>
      </c>
      <c r="D149" s="111">
        <v>2</v>
      </c>
      <c r="E149" s="27">
        <v>0</v>
      </c>
      <c r="F149" s="27">
        <v>0</v>
      </c>
      <c r="G149" s="27">
        <f t="shared" si="8"/>
        <v>0</v>
      </c>
      <c r="H149" s="28">
        <f t="shared" si="9"/>
        <v>0</v>
      </c>
      <c r="I149" s="28">
        <f t="shared" si="10"/>
        <v>0</v>
      </c>
      <c r="J149" s="28">
        <f t="shared" si="11"/>
        <v>0</v>
      </c>
      <c r="K149" s="29"/>
    </row>
    <row r="150" spans="1:11" s="20" customFormat="1" ht="31.2">
      <c r="A150" s="26" t="s">
        <v>153</v>
      </c>
      <c r="B150" s="95" t="s">
        <v>568</v>
      </c>
      <c r="C150" s="108" t="s">
        <v>313</v>
      </c>
      <c r="D150" s="111">
        <v>1</v>
      </c>
      <c r="E150" s="27">
        <v>0</v>
      </c>
      <c r="F150" s="27">
        <v>0</v>
      </c>
      <c r="G150" s="27">
        <f t="shared" si="8"/>
        <v>0</v>
      </c>
      <c r="H150" s="28">
        <f t="shared" si="9"/>
        <v>0</v>
      </c>
      <c r="I150" s="28">
        <f t="shared" si="10"/>
        <v>0</v>
      </c>
      <c r="J150" s="28">
        <f t="shared" si="11"/>
        <v>0</v>
      </c>
      <c r="K150" s="29"/>
    </row>
    <row r="151" spans="1:11" s="20" customFormat="1" ht="46.8">
      <c r="A151" s="26" t="s">
        <v>154</v>
      </c>
      <c r="B151" s="95" t="s">
        <v>569</v>
      </c>
      <c r="C151" s="108" t="s">
        <v>313</v>
      </c>
      <c r="D151" s="111">
        <v>3</v>
      </c>
      <c r="E151" s="27">
        <v>0</v>
      </c>
      <c r="F151" s="27">
        <v>0</v>
      </c>
      <c r="G151" s="27">
        <f t="shared" si="8"/>
        <v>0</v>
      </c>
      <c r="H151" s="28">
        <f t="shared" si="9"/>
        <v>0</v>
      </c>
      <c r="I151" s="28">
        <f t="shared" si="10"/>
        <v>0</v>
      </c>
      <c r="J151" s="28">
        <f t="shared" si="11"/>
        <v>0</v>
      </c>
      <c r="K151" s="29"/>
    </row>
    <row r="152" spans="1:11" s="20" customFormat="1">
      <c r="A152" s="26" t="s">
        <v>155</v>
      </c>
      <c r="B152" s="95" t="s">
        <v>577</v>
      </c>
      <c r="C152" s="108" t="s">
        <v>313</v>
      </c>
      <c r="D152" s="111">
        <v>1</v>
      </c>
      <c r="E152" s="27">
        <v>0</v>
      </c>
      <c r="F152" s="27">
        <v>0</v>
      </c>
      <c r="G152" s="27">
        <f t="shared" si="8"/>
        <v>0</v>
      </c>
      <c r="H152" s="28">
        <f t="shared" si="9"/>
        <v>0</v>
      </c>
      <c r="I152" s="28">
        <f t="shared" si="10"/>
        <v>0</v>
      </c>
      <c r="J152" s="28">
        <f t="shared" si="11"/>
        <v>0</v>
      </c>
      <c r="K152" s="29"/>
    </row>
    <row r="153" spans="1:11" s="20" customFormat="1">
      <c r="A153" s="26" t="s">
        <v>156</v>
      </c>
      <c r="B153" s="95" t="s">
        <v>578</v>
      </c>
      <c r="C153" s="108" t="s">
        <v>313</v>
      </c>
      <c r="D153" s="111">
        <v>1</v>
      </c>
      <c r="E153" s="27">
        <v>0</v>
      </c>
      <c r="F153" s="27">
        <v>0</v>
      </c>
      <c r="G153" s="27">
        <f t="shared" si="8"/>
        <v>0</v>
      </c>
      <c r="H153" s="28">
        <f t="shared" si="9"/>
        <v>0</v>
      </c>
      <c r="I153" s="28">
        <f t="shared" si="10"/>
        <v>0</v>
      </c>
      <c r="J153" s="28">
        <f t="shared" si="11"/>
        <v>0</v>
      </c>
      <c r="K153" s="29"/>
    </row>
    <row r="154" spans="1:11" s="20" customFormat="1" ht="31.2">
      <c r="A154" s="26" t="s">
        <v>157</v>
      </c>
      <c r="B154" s="95" t="s">
        <v>572</v>
      </c>
      <c r="C154" s="108" t="s">
        <v>313</v>
      </c>
      <c r="D154" s="111">
        <v>1</v>
      </c>
      <c r="E154" s="27">
        <v>0</v>
      </c>
      <c r="F154" s="27">
        <v>0</v>
      </c>
      <c r="G154" s="27">
        <f t="shared" si="8"/>
        <v>0</v>
      </c>
      <c r="H154" s="28">
        <f t="shared" si="9"/>
        <v>0</v>
      </c>
      <c r="I154" s="28">
        <f t="shared" si="10"/>
        <v>0</v>
      </c>
      <c r="J154" s="28">
        <f t="shared" si="11"/>
        <v>0</v>
      </c>
      <c r="K154" s="29"/>
    </row>
    <row r="155" spans="1:11" s="20" customFormat="1" ht="31.2">
      <c r="A155" s="26" t="s">
        <v>158</v>
      </c>
      <c r="B155" s="95" t="s">
        <v>573</v>
      </c>
      <c r="C155" s="108" t="s">
        <v>313</v>
      </c>
      <c r="D155" s="111">
        <v>2</v>
      </c>
      <c r="E155" s="27">
        <v>0</v>
      </c>
      <c r="F155" s="27">
        <v>0</v>
      </c>
      <c r="G155" s="27">
        <f t="shared" si="8"/>
        <v>0</v>
      </c>
      <c r="H155" s="28">
        <f t="shared" si="9"/>
        <v>0</v>
      </c>
      <c r="I155" s="28">
        <f t="shared" si="10"/>
        <v>0</v>
      </c>
      <c r="J155" s="28">
        <f t="shared" si="11"/>
        <v>0</v>
      </c>
      <c r="K155" s="29"/>
    </row>
    <row r="156" spans="1:11" s="20" customFormat="1">
      <c r="A156" s="26" t="s">
        <v>159</v>
      </c>
      <c r="B156" s="95" t="s">
        <v>565</v>
      </c>
      <c r="C156" s="108" t="s">
        <v>313</v>
      </c>
      <c r="D156" s="111">
        <v>18</v>
      </c>
      <c r="E156" s="27">
        <v>0</v>
      </c>
      <c r="F156" s="27">
        <v>0</v>
      </c>
      <c r="G156" s="27">
        <f t="shared" si="8"/>
        <v>0</v>
      </c>
      <c r="H156" s="28">
        <f t="shared" si="9"/>
        <v>0</v>
      </c>
      <c r="I156" s="28">
        <f t="shared" si="10"/>
        <v>0</v>
      </c>
      <c r="J156" s="28">
        <f t="shared" si="11"/>
        <v>0</v>
      </c>
      <c r="K156" s="29"/>
    </row>
    <row r="157" spans="1:11" s="20" customFormat="1">
      <c r="A157" s="26" t="s">
        <v>160</v>
      </c>
      <c r="B157" s="95" t="s">
        <v>554</v>
      </c>
      <c r="C157" s="108" t="s">
        <v>313</v>
      </c>
      <c r="D157" s="111">
        <v>9</v>
      </c>
      <c r="E157" s="27">
        <v>0</v>
      </c>
      <c r="F157" s="27">
        <v>0</v>
      </c>
      <c r="G157" s="27">
        <f t="shared" si="8"/>
        <v>0</v>
      </c>
      <c r="H157" s="28">
        <f t="shared" si="9"/>
        <v>0</v>
      </c>
      <c r="I157" s="28">
        <f t="shared" si="10"/>
        <v>0</v>
      </c>
      <c r="J157" s="28">
        <f t="shared" si="11"/>
        <v>0</v>
      </c>
      <c r="K157" s="29"/>
    </row>
    <row r="158" spans="1:11" s="20" customFormat="1" ht="31.2">
      <c r="A158" s="26" t="s">
        <v>161</v>
      </c>
      <c r="B158" s="95" t="s">
        <v>574</v>
      </c>
      <c r="C158" s="108" t="s">
        <v>313</v>
      </c>
      <c r="D158" s="111">
        <v>27</v>
      </c>
      <c r="E158" s="27">
        <v>0</v>
      </c>
      <c r="F158" s="27">
        <v>0</v>
      </c>
      <c r="G158" s="27">
        <f t="shared" si="8"/>
        <v>0</v>
      </c>
      <c r="H158" s="28">
        <f t="shared" si="9"/>
        <v>0</v>
      </c>
      <c r="I158" s="28">
        <f t="shared" si="10"/>
        <v>0</v>
      </c>
      <c r="J158" s="28">
        <f t="shared" si="11"/>
        <v>0</v>
      </c>
      <c r="K158" s="29"/>
    </row>
    <row r="159" spans="1:11" s="20" customFormat="1" ht="31.2">
      <c r="A159" s="26" t="s">
        <v>162</v>
      </c>
      <c r="B159" s="95" t="s">
        <v>566</v>
      </c>
      <c r="C159" s="108" t="s">
        <v>313</v>
      </c>
      <c r="D159" s="111">
        <v>9</v>
      </c>
      <c r="E159" s="27">
        <v>0</v>
      </c>
      <c r="F159" s="27">
        <v>0</v>
      </c>
      <c r="G159" s="27">
        <f t="shared" si="8"/>
        <v>0</v>
      </c>
      <c r="H159" s="28">
        <f t="shared" si="9"/>
        <v>0</v>
      </c>
      <c r="I159" s="28">
        <f t="shared" si="10"/>
        <v>0</v>
      </c>
      <c r="J159" s="28">
        <f t="shared" si="11"/>
        <v>0</v>
      </c>
      <c r="K159" s="29"/>
    </row>
    <row r="160" spans="1:11" s="20" customFormat="1" ht="31.2">
      <c r="A160" s="26" t="s">
        <v>163</v>
      </c>
      <c r="B160" s="95" t="s">
        <v>575</v>
      </c>
      <c r="C160" s="108" t="s">
        <v>313</v>
      </c>
      <c r="D160" s="111">
        <v>27</v>
      </c>
      <c r="E160" s="27">
        <v>0</v>
      </c>
      <c r="F160" s="27">
        <v>0</v>
      </c>
      <c r="G160" s="27">
        <f t="shared" si="8"/>
        <v>0</v>
      </c>
      <c r="H160" s="28">
        <f t="shared" si="9"/>
        <v>0</v>
      </c>
      <c r="I160" s="28">
        <f t="shared" si="10"/>
        <v>0</v>
      </c>
      <c r="J160" s="28">
        <f t="shared" si="11"/>
        <v>0</v>
      </c>
      <c r="K160" s="29"/>
    </row>
    <row r="161" spans="1:11" s="20" customFormat="1" ht="31.2">
      <c r="A161" s="26" t="s">
        <v>164</v>
      </c>
      <c r="B161" s="95" t="s">
        <v>567</v>
      </c>
      <c r="C161" s="108" t="s">
        <v>313</v>
      </c>
      <c r="D161" s="111">
        <v>9</v>
      </c>
      <c r="E161" s="27">
        <v>0</v>
      </c>
      <c r="F161" s="27">
        <v>0</v>
      </c>
      <c r="G161" s="27">
        <f t="shared" si="8"/>
        <v>0</v>
      </c>
      <c r="H161" s="28">
        <f t="shared" si="9"/>
        <v>0</v>
      </c>
      <c r="I161" s="28">
        <f t="shared" si="10"/>
        <v>0</v>
      </c>
      <c r="J161" s="28">
        <f t="shared" si="11"/>
        <v>0</v>
      </c>
      <c r="K161" s="29"/>
    </row>
    <row r="162" spans="1:11" s="20" customFormat="1" ht="31.2">
      <c r="A162" s="26" t="s">
        <v>176</v>
      </c>
      <c r="B162" s="95" t="s">
        <v>576</v>
      </c>
      <c r="C162" s="108" t="s">
        <v>313</v>
      </c>
      <c r="D162" s="111">
        <v>27</v>
      </c>
      <c r="E162" s="27">
        <v>0</v>
      </c>
      <c r="F162" s="27">
        <v>0</v>
      </c>
      <c r="G162" s="27">
        <f t="shared" si="8"/>
        <v>0</v>
      </c>
      <c r="H162" s="28">
        <f t="shared" si="9"/>
        <v>0</v>
      </c>
      <c r="I162" s="28">
        <f t="shared" si="10"/>
        <v>0</v>
      </c>
      <c r="J162" s="28">
        <f t="shared" si="11"/>
        <v>0</v>
      </c>
      <c r="K162" s="29"/>
    </row>
    <row r="163" spans="1:11" s="20" customFormat="1" ht="31.2">
      <c r="A163" s="26" t="s">
        <v>177</v>
      </c>
      <c r="B163" s="95" t="s">
        <v>568</v>
      </c>
      <c r="C163" s="108" t="s">
        <v>313</v>
      </c>
      <c r="D163" s="111">
        <v>9</v>
      </c>
      <c r="E163" s="27">
        <v>0</v>
      </c>
      <c r="F163" s="27">
        <v>0</v>
      </c>
      <c r="G163" s="27">
        <f t="shared" si="8"/>
        <v>0</v>
      </c>
      <c r="H163" s="28">
        <f t="shared" si="9"/>
        <v>0</v>
      </c>
      <c r="I163" s="28">
        <f t="shared" si="10"/>
        <v>0</v>
      </c>
      <c r="J163" s="28">
        <f t="shared" si="11"/>
        <v>0</v>
      </c>
      <c r="K163" s="29"/>
    </row>
    <row r="164" spans="1:11" s="20" customFormat="1" ht="46.8">
      <c r="A164" s="26" t="s">
        <v>178</v>
      </c>
      <c r="B164" s="95" t="s">
        <v>569</v>
      </c>
      <c r="C164" s="108" t="s">
        <v>313</v>
      </c>
      <c r="D164" s="111">
        <v>36</v>
      </c>
      <c r="E164" s="27">
        <v>0</v>
      </c>
      <c r="F164" s="27">
        <v>0</v>
      </c>
      <c r="G164" s="27">
        <f t="shared" si="8"/>
        <v>0</v>
      </c>
      <c r="H164" s="28">
        <f t="shared" si="9"/>
        <v>0</v>
      </c>
      <c r="I164" s="28">
        <f t="shared" si="10"/>
        <v>0</v>
      </c>
      <c r="J164" s="28">
        <f t="shared" si="11"/>
        <v>0</v>
      </c>
      <c r="K164" s="73"/>
    </row>
    <row r="165" spans="1:11" s="20" customFormat="1">
      <c r="A165" s="26" t="s">
        <v>179</v>
      </c>
      <c r="B165" s="95" t="s">
        <v>588</v>
      </c>
      <c r="C165" s="108" t="s">
        <v>313</v>
      </c>
      <c r="D165" s="111">
        <v>9</v>
      </c>
      <c r="E165" s="27">
        <v>0</v>
      </c>
      <c r="F165" s="27">
        <v>0</v>
      </c>
      <c r="G165" s="27">
        <f t="shared" si="8"/>
        <v>0</v>
      </c>
      <c r="H165" s="28">
        <f t="shared" si="9"/>
        <v>0</v>
      </c>
      <c r="I165" s="28">
        <f t="shared" si="10"/>
        <v>0</v>
      </c>
      <c r="J165" s="28">
        <f t="shared" si="11"/>
        <v>0</v>
      </c>
      <c r="K165" s="73"/>
    </row>
    <row r="166" spans="1:11" s="20" customFormat="1">
      <c r="A166" s="26" t="s">
        <v>180</v>
      </c>
      <c r="B166" s="95" t="s">
        <v>589</v>
      </c>
      <c r="C166" s="108" t="s">
        <v>313</v>
      </c>
      <c r="D166" s="111">
        <v>9</v>
      </c>
      <c r="E166" s="27">
        <v>0</v>
      </c>
      <c r="F166" s="27">
        <v>0</v>
      </c>
      <c r="G166" s="27">
        <f t="shared" si="8"/>
        <v>0</v>
      </c>
      <c r="H166" s="28">
        <f t="shared" si="9"/>
        <v>0</v>
      </c>
      <c r="I166" s="28">
        <f t="shared" si="10"/>
        <v>0</v>
      </c>
      <c r="J166" s="28">
        <f t="shared" si="11"/>
        <v>0</v>
      </c>
      <c r="K166" s="73"/>
    </row>
    <row r="167" spans="1:11" s="20" customFormat="1" ht="31.2">
      <c r="A167" s="26" t="s">
        <v>181</v>
      </c>
      <c r="B167" s="95" t="s">
        <v>572</v>
      </c>
      <c r="C167" s="108" t="s">
        <v>313</v>
      </c>
      <c r="D167" s="111">
        <v>9</v>
      </c>
      <c r="E167" s="27">
        <v>0</v>
      </c>
      <c r="F167" s="27">
        <v>0</v>
      </c>
      <c r="G167" s="27">
        <f t="shared" si="8"/>
        <v>0</v>
      </c>
      <c r="H167" s="28">
        <f t="shared" si="9"/>
        <v>0</v>
      </c>
      <c r="I167" s="28">
        <f t="shared" si="10"/>
        <v>0</v>
      </c>
      <c r="J167" s="28">
        <f t="shared" si="11"/>
        <v>0</v>
      </c>
      <c r="K167" s="29"/>
    </row>
    <row r="168" spans="1:11" s="20" customFormat="1" ht="31.2">
      <c r="A168" s="26" t="s">
        <v>182</v>
      </c>
      <c r="B168" s="95" t="s">
        <v>573</v>
      </c>
      <c r="C168" s="108" t="s">
        <v>313</v>
      </c>
      <c r="D168" s="111">
        <v>18</v>
      </c>
      <c r="E168" s="27">
        <v>0</v>
      </c>
      <c r="F168" s="27">
        <v>0</v>
      </c>
      <c r="G168" s="27">
        <f t="shared" si="8"/>
        <v>0</v>
      </c>
      <c r="H168" s="28">
        <f t="shared" si="9"/>
        <v>0</v>
      </c>
      <c r="I168" s="28">
        <f t="shared" si="10"/>
        <v>0</v>
      </c>
      <c r="J168" s="28">
        <f t="shared" si="11"/>
        <v>0</v>
      </c>
      <c r="K168" s="29"/>
    </row>
    <row r="169" spans="1:11" s="20" customFormat="1">
      <c r="A169" s="26" t="s">
        <v>183</v>
      </c>
      <c r="B169" s="95" t="s">
        <v>565</v>
      </c>
      <c r="C169" s="108" t="s">
        <v>313</v>
      </c>
      <c r="D169" s="111">
        <v>12</v>
      </c>
      <c r="E169" s="27">
        <v>0</v>
      </c>
      <c r="F169" s="27">
        <v>0</v>
      </c>
      <c r="G169" s="27">
        <f t="shared" si="8"/>
        <v>0</v>
      </c>
      <c r="H169" s="28">
        <f t="shared" si="9"/>
        <v>0</v>
      </c>
      <c r="I169" s="28">
        <f t="shared" si="10"/>
        <v>0</v>
      </c>
      <c r="J169" s="28">
        <f t="shared" si="11"/>
        <v>0</v>
      </c>
      <c r="K169" s="29"/>
    </row>
    <row r="170" spans="1:11">
      <c r="A170" s="26" t="s">
        <v>184</v>
      </c>
      <c r="B170" s="95" t="s">
        <v>554</v>
      </c>
      <c r="C170" s="108" t="s">
        <v>313</v>
      </c>
      <c r="D170" s="111">
        <v>6</v>
      </c>
      <c r="E170" s="27">
        <v>0</v>
      </c>
      <c r="F170" s="27">
        <v>0</v>
      </c>
      <c r="G170" s="27">
        <f t="shared" si="8"/>
        <v>0</v>
      </c>
      <c r="H170" s="28">
        <f t="shared" si="9"/>
        <v>0</v>
      </c>
      <c r="I170" s="28">
        <f t="shared" si="10"/>
        <v>0</v>
      </c>
      <c r="J170" s="28">
        <f t="shared" si="11"/>
        <v>0</v>
      </c>
      <c r="K170" s="29"/>
    </row>
    <row r="171" spans="1:11" ht="31.2">
      <c r="A171" s="26" t="s">
        <v>185</v>
      </c>
      <c r="B171" s="95" t="s">
        <v>574</v>
      </c>
      <c r="C171" s="108" t="s">
        <v>313</v>
      </c>
      <c r="D171" s="111">
        <v>12</v>
      </c>
      <c r="E171" s="27">
        <v>0</v>
      </c>
      <c r="F171" s="27">
        <v>0</v>
      </c>
      <c r="G171" s="27">
        <f t="shared" si="8"/>
        <v>0</v>
      </c>
      <c r="H171" s="28">
        <f t="shared" si="9"/>
        <v>0</v>
      </c>
      <c r="I171" s="28">
        <f t="shared" si="10"/>
        <v>0</v>
      </c>
      <c r="J171" s="28">
        <f t="shared" si="11"/>
        <v>0</v>
      </c>
      <c r="K171" s="29"/>
    </row>
    <row r="172" spans="1:11" ht="31.2">
      <c r="A172" s="26" t="s">
        <v>186</v>
      </c>
      <c r="B172" s="95" t="s">
        <v>566</v>
      </c>
      <c r="C172" s="108" t="s">
        <v>313</v>
      </c>
      <c r="D172" s="111">
        <v>12</v>
      </c>
      <c r="E172" s="27">
        <v>0</v>
      </c>
      <c r="F172" s="27">
        <v>0</v>
      </c>
      <c r="G172" s="27">
        <f t="shared" si="8"/>
        <v>0</v>
      </c>
      <c r="H172" s="28">
        <f t="shared" si="9"/>
        <v>0</v>
      </c>
      <c r="I172" s="28">
        <f t="shared" si="10"/>
        <v>0</v>
      </c>
      <c r="J172" s="28">
        <f t="shared" si="11"/>
        <v>0</v>
      </c>
      <c r="K172" s="29"/>
    </row>
    <row r="173" spans="1:11" ht="31.2">
      <c r="A173" s="26" t="s">
        <v>187</v>
      </c>
      <c r="B173" s="95" t="s">
        <v>575</v>
      </c>
      <c r="C173" s="108" t="s">
        <v>313</v>
      </c>
      <c r="D173" s="111">
        <v>12</v>
      </c>
      <c r="E173" s="27">
        <v>0</v>
      </c>
      <c r="F173" s="27">
        <v>0</v>
      </c>
      <c r="G173" s="27">
        <f t="shared" si="8"/>
        <v>0</v>
      </c>
      <c r="H173" s="28">
        <f t="shared" si="9"/>
        <v>0</v>
      </c>
      <c r="I173" s="28">
        <f t="shared" si="10"/>
        <v>0</v>
      </c>
      <c r="J173" s="28">
        <f t="shared" si="11"/>
        <v>0</v>
      </c>
      <c r="K173" s="29"/>
    </row>
    <row r="174" spans="1:11" ht="31.2">
      <c r="A174" s="26" t="s">
        <v>188</v>
      </c>
      <c r="B174" s="95" t="s">
        <v>567</v>
      </c>
      <c r="C174" s="108" t="s">
        <v>313</v>
      </c>
      <c r="D174" s="111">
        <v>12</v>
      </c>
      <c r="E174" s="27">
        <v>0</v>
      </c>
      <c r="F174" s="27">
        <v>0</v>
      </c>
      <c r="G174" s="27">
        <f t="shared" si="8"/>
        <v>0</v>
      </c>
      <c r="H174" s="28">
        <f t="shared" si="9"/>
        <v>0</v>
      </c>
      <c r="I174" s="28">
        <f t="shared" si="10"/>
        <v>0</v>
      </c>
      <c r="J174" s="28">
        <f t="shared" si="11"/>
        <v>0</v>
      </c>
      <c r="K174" s="29"/>
    </row>
    <row r="175" spans="1:11" ht="31.2">
      <c r="A175" s="26" t="s">
        <v>189</v>
      </c>
      <c r="B175" s="95" t="s">
        <v>576</v>
      </c>
      <c r="C175" s="108" t="s">
        <v>313</v>
      </c>
      <c r="D175" s="111">
        <v>12</v>
      </c>
      <c r="E175" s="27">
        <v>0</v>
      </c>
      <c r="F175" s="27">
        <v>0</v>
      </c>
      <c r="G175" s="27">
        <f t="shared" si="8"/>
        <v>0</v>
      </c>
      <c r="H175" s="28">
        <f t="shared" si="9"/>
        <v>0</v>
      </c>
      <c r="I175" s="28">
        <f t="shared" si="10"/>
        <v>0</v>
      </c>
      <c r="J175" s="28">
        <f t="shared" si="11"/>
        <v>0</v>
      </c>
      <c r="K175" s="29"/>
    </row>
    <row r="176" spans="1:11" ht="31.2">
      <c r="A176" s="26" t="s">
        <v>190</v>
      </c>
      <c r="B176" s="95" t="s">
        <v>568</v>
      </c>
      <c r="C176" s="108" t="s">
        <v>313</v>
      </c>
      <c r="D176" s="111">
        <v>12</v>
      </c>
      <c r="E176" s="27">
        <v>0</v>
      </c>
      <c r="F176" s="27">
        <v>0</v>
      </c>
      <c r="G176" s="27">
        <f t="shared" si="8"/>
        <v>0</v>
      </c>
      <c r="H176" s="28">
        <f t="shared" si="9"/>
        <v>0</v>
      </c>
      <c r="I176" s="28">
        <f t="shared" si="10"/>
        <v>0</v>
      </c>
      <c r="J176" s="28">
        <f t="shared" si="11"/>
        <v>0</v>
      </c>
      <c r="K176" s="29"/>
    </row>
    <row r="177" spans="1:11" ht="46.8">
      <c r="A177" s="26" t="s">
        <v>191</v>
      </c>
      <c r="B177" s="95" t="s">
        <v>569</v>
      </c>
      <c r="C177" s="108" t="s">
        <v>313</v>
      </c>
      <c r="D177" s="111">
        <v>24</v>
      </c>
      <c r="E177" s="27">
        <v>0</v>
      </c>
      <c r="F177" s="27">
        <v>0</v>
      </c>
      <c r="G177" s="27">
        <f t="shared" si="8"/>
        <v>0</v>
      </c>
      <c r="H177" s="28">
        <f t="shared" si="9"/>
        <v>0</v>
      </c>
      <c r="I177" s="28">
        <f t="shared" si="10"/>
        <v>0</v>
      </c>
      <c r="J177" s="28">
        <f t="shared" si="11"/>
        <v>0</v>
      </c>
      <c r="K177" s="29"/>
    </row>
    <row r="178" spans="1:11">
      <c r="A178" s="26" t="s">
        <v>192</v>
      </c>
      <c r="B178" s="95" t="s">
        <v>588</v>
      </c>
      <c r="C178" s="108" t="s">
        <v>313</v>
      </c>
      <c r="D178" s="111">
        <v>6</v>
      </c>
      <c r="E178" s="27">
        <v>0</v>
      </c>
      <c r="F178" s="27">
        <v>0</v>
      </c>
      <c r="G178" s="27">
        <f t="shared" si="8"/>
        <v>0</v>
      </c>
      <c r="H178" s="28">
        <f t="shared" si="9"/>
        <v>0</v>
      </c>
      <c r="I178" s="28">
        <f t="shared" si="10"/>
        <v>0</v>
      </c>
      <c r="J178" s="28">
        <f t="shared" si="11"/>
        <v>0</v>
      </c>
      <c r="K178" s="29"/>
    </row>
    <row r="179" spans="1:11">
      <c r="A179" s="26" t="s">
        <v>193</v>
      </c>
      <c r="B179" s="95" t="s">
        <v>589</v>
      </c>
      <c r="C179" s="108" t="s">
        <v>313</v>
      </c>
      <c r="D179" s="111">
        <v>6</v>
      </c>
      <c r="E179" s="27">
        <v>0</v>
      </c>
      <c r="F179" s="27">
        <v>0</v>
      </c>
      <c r="G179" s="27">
        <f t="shared" si="8"/>
        <v>0</v>
      </c>
      <c r="H179" s="28">
        <f t="shared" si="9"/>
        <v>0</v>
      </c>
      <c r="I179" s="28">
        <f t="shared" si="10"/>
        <v>0</v>
      </c>
      <c r="J179" s="28">
        <f t="shared" si="11"/>
        <v>0</v>
      </c>
      <c r="K179" s="29"/>
    </row>
    <row r="180" spans="1:11" ht="31.2">
      <c r="A180" s="26" t="s">
        <v>194</v>
      </c>
      <c r="B180" s="95" t="s">
        <v>572</v>
      </c>
      <c r="C180" s="108" t="s">
        <v>313</v>
      </c>
      <c r="D180" s="111">
        <v>6</v>
      </c>
      <c r="E180" s="27">
        <v>0</v>
      </c>
      <c r="F180" s="27">
        <v>0</v>
      </c>
      <c r="G180" s="27">
        <f t="shared" ref="G180:G230" si="12">E180+F180</f>
        <v>0</v>
      </c>
      <c r="H180" s="28">
        <f t="shared" ref="H180:H230" si="13">D180*E180</f>
        <v>0</v>
      </c>
      <c r="I180" s="28">
        <f t="shared" ref="I180:I230" si="14">D180*F180</f>
        <v>0</v>
      </c>
      <c r="J180" s="28">
        <f t="shared" ref="J180:J230" si="15">H180+I180</f>
        <v>0</v>
      </c>
      <c r="K180" s="29"/>
    </row>
    <row r="181" spans="1:11" ht="31.2">
      <c r="A181" s="26" t="s">
        <v>195</v>
      </c>
      <c r="B181" s="95" t="s">
        <v>573</v>
      </c>
      <c r="C181" s="108" t="s">
        <v>313</v>
      </c>
      <c r="D181" s="111">
        <v>12</v>
      </c>
      <c r="E181" s="27">
        <v>0</v>
      </c>
      <c r="F181" s="27">
        <v>0</v>
      </c>
      <c r="G181" s="27">
        <f t="shared" si="12"/>
        <v>0</v>
      </c>
      <c r="H181" s="28">
        <f t="shared" si="13"/>
        <v>0</v>
      </c>
      <c r="I181" s="28">
        <f t="shared" si="14"/>
        <v>0</v>
      </c>
      <c r="J181" s="28">
        <f t="shared" si="15"/>
        <v>0</v>
      </c>
      <c r="K181" s="29"/>
    </row>
    <row r="182" spans="1:11">
      <c r="A182" s="26" t="s">
        <v>196</v>
      </c>
      <c r="B182" s="95" t="s">
        <v>565</v>
      </c>
      <c r="C182" s="108" t="s">
        <v>313</v>
      </c>
      <c r="D182" s="111">
        <v>2</v>
      </c>
      <c r="E182" s="27">
        <v>0</v>
      </c>
      <c r="F182" s="27">
        <v>0</v>
      </c>
      <c r="G182" s="27">
        <f t="shared" si="12"/>
        <v>0</v>
      </c>
      <c r="H182" s="28">
        <f t="shared" si="13"/>
        <v>0</v>
      </c>
      <c r="I182" s="28">
        <f t="shared" si="14"/>
        <v>0</v>
      </c>
      <c r="J182" s="28">
        <f t="shared" si="15"/>
        <v>0</v>
      </c>
      <c r="K182" s="29"/>
    </row>
    <row r="183" spans="1:11" ht="31.2">
      <c r="A183" s="26" t="s">
        <v>197</v>
      </c>
      <c r="B183" s="95" t="s">
        <v>574</v>
      </c>
      <c r="C183" s="108" t="s">
        <v>313</v>
      </c>
      <c r="D183" s="111">
        <v>4</v>
      </c>
      <c r="E183" s="27">
        <v>0</v>
      </c>
      <c r="F183" s="27">
        <v>0</v>
      </c>
      <c r="G183" s="27">
        <f t="shared" si="12"/>
        <v>0</v>
      </c>
      <c r="H183" s="28">
        <f t="shared" si="13"/>
        <v>0</v>
      </c>
      <c r="I183" s="28">
        <f t="shared" si="14"/>
        <v>0</v>
      </c>
      <c r="J183" s="28">
        <f t="shared" si="15"/>
        <v>0</v>
      </c>
      <c r="K183" s="29"/>
    </row>
    <row r="184" spans="1:11" ht="31.2">
      <c r="A184" s="26" t="s">
        <v>198</v>
      </c>
      <c r="B184" s="95" t="s">
        <v>575</v>
      </c>
      <c r="C184" s="108" t="s">
        <v>313</v>
      </c>
      <c r="D184" s="111">
        <v>4</v>
      </c>
      <c r="E184" s="27">
        <v>0</v>
      </c>
      <c r="F184" s="27">
        <v>0</v>
      </c>
      <c r="G184" s="27">
        <f t="shared" si="12"/>
        <v>0</v>
      </c>
      <c r="H184" s="28">
        <f t="shared" si="13"/>
        <v>0</v>
      </c>
      <c r="I184" s="28">
        <f t="shared" si="14"/>
        <v>0</v>
      </c>
      <c r="J184" s="28">
        <f t="shared" si="15"/>
        <v>0</v>
      </c>
      <c r="K184" s="29"/>
    </row>
    <row r="185" spans="1:11" ht="31.2">
      <c r="A185" s="26" t="s">
        <v>199</v>
      </c>
      <c r="B185" s="95" t="s">
        <v>576</v>
      </c>
      <c r="C185" s="108" t="s">
        <v>313</v>
      </c>
      <c r="D185" s="111">
        <v>4</v>
      </c>
      <c r="E185" s="27">
        <v>0</v>
      </c>
      <c r="F185" s="27">
        <v>0</v>
      </c>
      <c r="G185" s="27">
        <f t="shared" si="12"/>
        <v>0</v>
      </c>
      <c r="H185" s="28">
        <f t="shared" si="13"/>
        <v>0</v>
      </c>
      <c r="I185" s="28">
        <f t="shared" si="14"/>
        <v>0</v>
      </c>
      <c r="J185" s="28">
        <f t="shared" si="15"/>
        <v>0</v>
      </c>
      <c r="K185" s="29"/>
    </row>
    <row r="186" spans="1:11" ht="46.8">
      <c r="A186" s="26" t="s">
        <v>200</v>
      </c>
      <c r="B186" s="95" t="s">
        <v>569</v>
      </c>
      <c r="C186" s="108" t="s">
        <v>313</v>
      </c>
      <c r="D186" s="111">
        <v>4</v>
      </c>
      <c r="E186" s="27">
        <v>0</v>
      </c>
      <c r="F186" s="27">
        <v>0</v>
      </c>
      <c r="G186" s="27">
        <f t="shared" si="12"/>
        <v>0</v>
      </c>
      <c r="H186" s="28">
        <f t="shared" si="13"/>
        <v>0</v>
      </c>
      <c r="I186" s="28">
        <f t="shared" si="14"/>
        <v>0</v>
      </c>
      <c r="J186" s="28">
        <f t="shared" si="15"/>
        <v>0</v>
      </c>
      <c r="K186" s="29"/>
    </row>
    <row r="187" spans="1:11">
      <c r="A187" s="26" t="s">
        <v>201</v>
      </c>
      <c r="B187" s="95" t="s">
        <v>588</v>
      </c>
      <c r="C187" s="108" t="s">
        <v>313</v>
      </c>
      <c r="D187" s="111">
        <v>1</v>
      </c>
      <c r="E187" s="27">
        <v>0</v>
      </c>
      <c r="F187" s="27">
        <v>0</v>
      </c>
      <c r="G187" s="27">
        <f t="shared" si="12"/>
        <v>0</v>
      </c>
      <c r="H187" s="28">
        <f t="shared" si="13"/>
        <v>0</v>
      </c>
      <c r="I187" s="28">
        <f t="shared" si="14"/>
        <v>0</v>
      </c>
      <c r="J187" s="28">
        <f t="shared" si="15"/>
        <v>0</v>
      </c>
      <c r="K187" s="29"/>
    </row>
    <row r="188" spans="1:11">
      <c r="A188" s="26" t="s">
        <v>202</v>
      </c>
      <c r="B188" s="95" t="s">
        <v>589</v>
      </c>
      <c r="C188" s="108" t="s">
        <v>313</v>
      </c>
      <c r="D188" s="111">
        <v>1</v>
      </c>
      <c r="E188" s="27">
        <v>0</v>
      </c>
      <c r="F188" s="27">
        <v>0</v>
      </c>
      <c r="G188" s="27">
        <f t="shared" si="12"/>
        <v>0</v>
      </c>
      <c r="H188" s="28">
        <f t="shared" si="13"/>
        <v>0</v>
      </c>
      <c r="I188" s="28">
        <f t="shared" si="14"/>
        <v>0</v>
      </c>
      <c r="J188" s="28">
        <f t="shared" si="15"/>
        <v>0</v>
      </c>
      <c r="K188" s="29"/>
    </row>
    <row r="189" spans="1:11" ht="31.2">
      <c r="A189" s="26" t="s">
        <v>203</v>
      </c>
      <c r="B189" s="95" t="s">
        <v>572</v>
      </c>
      <c r="C189" s="108" t="s">
        <v>313</v>
      </c>
      <c r="D189" s="111">
        <v>1</v>
      </c>
      <c r="E189" s="27">
        <v>0</v>
      </c>
      <c r="F189" s="27">
        <v>0</v>
      </c>
      <c r="G189" s="27">
        <f t="shared" si="12"/>
        <v>0</v>
      </c>
      <c r="H189" s="28">
        <f t="shared" si="13"/>
        <v>0</v>
      </c>
      <c r="I189" s="28">
        <f t="shared" si="14"/>
        <v>0</v>
      </c>
      <c r="J189" s="28">
        <f t="shared" si="15"/>
        <v>0</v>
      </c>
      <c r="K189" s="29"/>
    </row>
    <row r="190" spans="1:11" ht="31.2">
      <c r="A190" s="26" t="s">
        <v>204</v>
      </c>
      <c r="B190" s="95" t="s">
        <v>573</v>
      </c>
      <c r="C190" s="108" t="s">
        <v>313</v>
      </c>
      <c r="D190" s="111">
        <v>2</v>
      </c>
      <c r="E190" s="27">
        <v>0</v>
      </c>
      <c r="F190" s="27">
        <v>0</v>
      </c>
      <c r="G190" s="27">
        <f t="shared" si="12"/>
        <v>0</v>
      </c>
      <c r="H190" s="28">
        <f t="shared" si="13"/>
        <v>0</v>
      </c>
      <c r="I190" s="28">
        <f t="shared" si="14"/>
        <v>0</v>
      </c>
      <c r="J190" s="28">
        <f t="shared" si="15"/>
        <v>0</v>
      </c>
      <c r="K190" s="29"/>
    </row>
    <row r="191" spans="1:11">
      <c r="A191" s="26" t="s">
        <v>205</v>
      </c>
      <c r="B191" s="95" t="s">
        <v>565</v>
      </c>
      <c r="C191" s="108" t="s">
        <v>313</v>
      </c>
      <c r="D191" s="111">
        <v>22</v>
      </c>
      <c r="E191" s="27">
        <v>0</v>
      </c>
      <c r="F191" s="27">
        <v>0</v>
      </c>
      <c r="G191" s="27">
        <f t="shared" si="12"/>
        <v>0</v>
      </c>
      <c r="H191" s="28">
        <f t="shared" si="13"/>
        <v>0</v>
      </c>
      <c r="I191" s="28">
        <f t="shared" si="14"/>
        <v>0</v>
      </c>
      <c r="J191" s="28">
        <f t="shared" si="15"/>
        <v>0</v>
      </c>
      <c r="K191" s="73"/>
    </row>
    <row r="192" spans="1:11" ht="31.2">
      <c r="A192" s="26" t="s">
        <v>909</v>
      </c>
      <c r="B192" s="95" t="s">
        <v>574</v>
      </c>
      <c r="C192" s="108" t="s">
        <v>313</v>
      </c>
      <c r="D192" s="111">
        <v>33</v>
      </c>
      <c r="E192" s="27">
        <v>0</v>
      </c>
      <c r="F192" s="27">
        <v>0</v>
      </c>
      <c r="G192" s="27">
        <f t="shared" si="12"/>
        <v>0</v>
      </c>
      <c r="H192" s="28">
        <f t="shared" si="13"/>
        <v>0</v>
      </c>
      <c r="I192" s="28">
        <f t="shared" si="14"/>
        <v>0</v>
      </c>
      <c r="J192" s="28">
        <f t="shared" si="15"/>
        <v>0</v>
      </c>
      <c r="K192" s="29"/>
    </row>
    <row r="193" spans="1:11" ht="31.2">
      <c r="A193" s="26" t="s">
        <v>910</v>
      </c>
      <c r="B193" s="95" t="s">
        <v>566</v>
      </c>
      <c r="C193" s="108" t="s">
        <v>313</v>
      </c>
      <c r="D193" s="111">
        <v>11</v>
      </c>
      <c r="E193" s="27">
        <v>0</v>
      </c>
      <c r="F193" s="27">
        <v>0</v>
      </c>
      <c r="G193" s="27">
        <f t="shared" si="12"/>
        <v>0</v>
      </c>
      <c r="H193" s="28">
        <f t="shared" si="13"/>
        <v>0</v>
      </c>
      <c r="I193" s="28">
        <f t="shared" si="14"/>
        <v>0</v>
      </c>
      <c r="J193" s="28">
        <f t="shared" si="15"/>
        <v>0</v>
      </c>
      <c r="K193" s="29"/>
    </row>
    <row r="194" spans="1:11" ht="31.2">
      <c r="A194" s="26" t="s">
        <v>206</v>
      </c>
      <c r="B194" s="95" t="s">
        <v>575</v>
      </c>
      <c r="C194" s="108" t="s">
        <v>313</v>
      </c>
      <c r="D194" s="111">
        <v>33</v>
      </c>
      <c r="E194" s="27">
        <v>0</v>
      </c>
      <c r="F194" s="27">
        <v>0</v>
      </c>
      <c r="G194" s="27">
        <f t="shared" si="12"/>
        <v>0</v>
      </c>
      <c r="H194" s="28">
        <f t="shared" si="13"/>
        <v>0</v>
      </c>
      <c r="I194" s="28">
        <f t="shared" si="14"/>
        <v>0</v>
      </c>
      <c r="J194" s="28">
        <f t="shared" si="15"/>
        <v>0</v>
      </c>
      <c r="K194" s="29"/>
    </row>
    <row r="195" spans="1:11" ht="31.2">
      <c r="A195" s="26" t="s">
        <v>207</v>
      </c>
      <c r="B195" s="95" t="s">
        <v>567</v>
      </c>
      <c r="C195" s="108" t="s">
        <v>313</v>
      </c>
      <c r="D195" s="111">
        <v>11</v>
      </c>
      <c r="E195" s="27">
        <v>0</v>
      </c>
      <c r="F195" s="27">
        <v>0</v>
      </c>
      <c r="G195" s="27">
        <f t="shared" si="12"/>
        <v>0</v>
      </c>
      <c r="H195" s="28">
        <f t="shared" si="13"/>
        <v>0</v>
      </c>
      <c r="I195" s="28">
        <f t="shared" si="14"/>
        <v>0</v>
      </c>
      <c r="J195" s="28">
        <f t="shared" si="15"/>
        <v>0</v>
      </c>
      <c r="K195" s="29"/>
    </row>
    <row r="196" spans="1:11" ht="31.2">
      <c r="A196" s="26" t="s">
        <v>208</v>
      </c>
      <c r="B196" s="95" t="s">
        <v>576</v>
      </c>
      <c r="C196" s="108" t="s">
        <v>313</v>
      </c>
      <c r="D196" s="111">
        <v>33</v>
      </c>
      <c r="E196" s="27">
        <v>0</v>
      </c>
      <c r="F196" s="27">
        <v>0</v>
      </c>
      <c r="G196" s="27">
        <f t="shared" si="12"/>
        <v>0</v>
      </c>
      <c r="H196" s="28">
        <f t="shared" si="13"/>
        <v>0</v>
      </c>
      <c r="I196" s="28">
        <f t="shared" si="14"/>
        <v>0</v>
      </c>
      <c r="J196" s="28">
        <f t="shared" si="15"/>
        <v>0</v>
      </c>
      <c r="K196" s="29"/>
    </row>
    <row r="197" spans="1:11" ht="31.2">
      <c r="A197" s="26" t="s">
        <v>310</v>
      </c>
      <c r="B197" s="95" t="s">
        <v>568</v>
      </c>
      <c r="C197" s="108" t="s">
        <v>313</v>
      </c>
      <c r="D197" s="111">
        <v>11</v>
      </c>
      <c r="E197" s="27">
        <v>0</v>
      </c>
      <c r="F197" s="27">
        <v>0</v>
      </c>
      <c r="G197" s="27">
        <f t="shared" si="12"/>
        <v>0</v>
      </c>
      <c r="H197" s="28">
        <f t="shared" si="13"/>
        <v>0</v>
      </c>
      <c r="I197" s="28">
        <f t="shared" si="14"/>
        <v>0</v>
      </c>
      <c r="J197" s="28">
        <f t="shared" si="15"/>
        <v>0</v>
      </c>
      <c r="K197" s="29"/>
    </row>
    <row r="198" spans="1:11" ht="46.8">
      <c r="A198" s="26" t="s">
        <v>209</v>
      </c>
      <c r="B198" s="95" t="s">
        <v>569</v>
      </c>
      <c r="C198" s="108" t="s">
        <v>313</v>
      </c>
      <c r="D198" s="111">
        <v>44</v>
      </c>
      <c r="E198" s="27">
        <v>0</v>
      </c>
      <c r="F198" s="27">
        <v>0</v>
      </c>
      <c r="G198" s="27">
        <f t="shared" si="12"/>
        <v>0</v>
      </c>
      <c r="H198" s="28">
        <f t="shared" si="13"/>
        <v>0</v>
      </c>
      <c r="I198" s="28">
        <f t="shared" si="14"/>
        <v>0</v>
      </c>
      <c r="J198" s="28">
        <f t="shared" si="15"/>
        <v>0</v>
      </c>
      <c r="K198" s="29"/>
    </row>
    <row r="199" spans="1:11">
      <c r="A199" s="26" t="s">
        <v>210</v>
      </c>
      <c r="B199" s="95" t="s">
        <v>588</v>
      </c>
      <c r="C199" s="108" t="s">
        <v>313</v>
      </c>
      <c r="D199" s="111">
        <v>11</v>
      </c>
      <c r="E199" s="27">
        <v>0</v>
      </c>
      <c r="F199" s="27">
        <v>0</v>
      </c>
      <c r="G199" s="27">
        <f t="shared" si="12"/>
        <v>0</v>
      </c>
      <c r="H199" s="28">
        <f t="shared" si="13"/>
        <v>0</v>
      </c>
      <c r="I199" s="28">
        <f t="shared" si="14"/>
        <v>0</v>
      </c>
      <c r="J199" s="28">
        <f t="shared" si="15"/>
        <v>0</v>
      </c>
      <c r="K199" s="29"/>
    </row>
    <row r="200" spans="1:11">
      <c r="A200" s="26" t="s">
        <v>211</v>
      </c>
      <c r="B200" s="95" t="s">
        <v>589</v>
      </c>
      <c r="C200" s="108" t="s">
        <v>313</v>
      </c>
      <c r="D200" s="111">
        <v>11</v>
      </c>
      <c r="E200" s="27">
        <v>0</v>
      </c>
      <c r="F200" s="27">
        <v>0</v>
      </c>
      <c r="G200" s="27">
        <f t="shared" si="12"/>
        <v>0</v>
      </c>
      <c r="H200" s="28">
        <f t="shared" si="13"/>
        <v>0</v>
      </c>
      <c r="I200" s="28">
        <f t="shared" si="14"/>
        <v>0</v>
      </c>
      <c r="J200" s="28">
        <f t="shared" si="15"/>
        <v>0</v>
      </c>
      <c r="K200" s="29"/>
    </row>
    <row r="201" spans="1:11" ht="31.2">
      <c r="A201" s="26" t="s">
        <v>212</v>
      </c>
      <c r="B201" s="95" t="s">
        <v>572</v>
      </c>
      <c r="C201" s="108" t="s">
        <v>313</v>
      </c>
      <c r="D201" s="111">
        <v>11</v>
      </c>
      <c r="E201" s="27">
        <v>0</v>
      </c>
      <c r="F201" s="27">
        <v>0</v>
      </c>
      <c r="G201" s="27">
        <f t="shared" si="12"/>
        <v>0</v>
      </c>
      <c r="H201" s="28">
        <f t="shared" si="13"/>
        <v>0</v>
      </c>
      <c r="I201" s="28">
        <f t="shared" si="14"/>
        <v>0</v>
      </c>
      <c r="J201" s="28">
        <f t="shared" si="15"/>
        <v>0</v>
      </c>
      <c r="K201" s="29"/>
    </row>
    <row r="202" spans="1:11" ht="31.2">
      <c r="A202" s="26" t="s">
        <v>213</v>
      </c>
      <c r="B202" s="95" t="s">
        <v>573</v>
      </c>
      <c r="C202" s="108" t="s">
        <v>313</v>
      </c>
      <c r="D202" s="111">
        <v>22</v>
      </c>
      <c r="E202" s="27">
        <v>0</v>
      </c>
      <c r="F202" s="27">
        <v>0</v>
      </c>
      <c r="G202" s="27">
        <f t="shared" si="12"/>
        <v>0</v>
      </c>
      <c r="H202" s="28">
        <f t="shared" si="13"/>
        <v>0</v>
      </c>
      <c r="I202" s="28">
        <f t="shared" si="14"/>
        <v>0</v>
      </c>
      <c r="J202" s="28">
        <f t="shared" si="15"/>
        <v>0</v>
      </c>
      <c r="K202" s="29"/>
    </row>
    <row r="203" spans="1:11">
      <c r="A203" s="26" t="s">
        <v>214</v>
      </c>
      <c r="B203" s="95" t="s">
        <v>565</v>
      </c>
      <c r="C203" s="108" t="s">
        <v>313</v>
      </c>
      <c r="D203" s="111">
        <v>28</v>
      </c>
      <c r="E203" s="27">
        <v>0</v>
      </c>
      <c r="F203" s="27">
        <v>0</v>
      </c>
      <c r="G203" s="27">
        <f t="shared" si="12"/>
        <v>0</v>
      </c>
      <c r="H203" s="28">
        <f t="shared" si="13"/>
        <v>0</v>
      </c>
      <c r="I203" s="28">
        <f t="shared" si="14"/>
        <v>0</v>
      </c>
      <c r="J203" s="28">
        <f t="shared" si="15"/>
        <v>0</v>
      </c>
      <c r="K203" s="29"/>
    </row>
    <row r="204" spans="1:11" ht="31.2">
      <c r="A204" s="26" t="s">
        <v>215</v>
      </c>
      <c r="B204" s="95" t="s">
        <v>574</v>
      </c>
      <c r="C204" s="108" t="s">
        <v>313</v>
      </c>
      <c r="D204" s="111">
        <v>42</v>
      </c>
      <c r="E204" s="27">
        <v>0</v>
      </c>
      <c r="F204" s="27">
        <v>0</v>
      </c>
      <c r="G204" s="27">
        <f t="shared" si="12"/>
        <v>0</v>
      </c>
      <c r="H204" s="28">
        <f t="shared" si="13"/>
        <v>0</v>
      </c>
      <c r="I204" s="28">
        <f t="shared" si="14"/>
        <v>0</v>
      </c>
      <c r="J204" s="28">
        <f t="shared" si="15"/>
        <v>0</v>
      </c>
      <c r="K204" s="29"/>
    </row>
    <row r="205" spans="1:11" ht="31.2">
      <c r="A205" s="26" t="s">
        <v>216</v>
      </c>
      <c r="B205" s="95" t="s">
        <v>566</v>
      </c>
      <c r="C205" s="108" t="s">
        <v>313</v>
      </c>
      <c r="D205" s="111">
        <v>14</v>
      </c>
      <c r="E205" s="27">
        <v>0</v>
      </c>
      <c r="F205" s="27">
        <v>0</v>
      </c>
      <c r="G205" s="27">
        <f t="shared" si="12"/>
        <v>0</v>
      </c>
      <c r="H205" s="28">
        <f t="shared" si="13"/>
        <v>0</v>
      </c>
      <c r="I205" s="28">
        <f t="shared" si="14"/>
        <v>0</v>
      </c>
      <c r="J205" s="28">
        <f t="shared" si="15"/>
        <v>0</v>
      </c>
      <c r="K205" s="29"/>
    </row>
    <row r="206" spans="1:11" ht="31.2">
      <c r="A206" s="26" t="s">
        <v>217</v>
      </c>
      <c r="B206" s="95" t="s">
        <v>575</v>
      </c>
      <c r="C206" s="108" t="s">
        <v>313</v>
      </c>
      <c r="D206" s="111">
        <v>42</v>
      </c>
      <c r="E206" s="27">
        <v>0</v>
      </c>
      <c r="F206" s="27">
        <v>0</v>
      </c>
      <c r="G206" s="27">
        <f t="shared" si="12"/>
        <v>0</v>
      </c>
      <c r="H206" s="28">
        <f t="shared" si="13"/>
        <v>0</v>
      </c>
      <c r="I206" s="28">
        <f t="shared" si="14"/>
        <v>0</v>
      </c>
      <c r="J206" s="28">
        <f t="shared" si="15"/>
        <v>0</v>
      </c>
      <c r="K206" s="29"/>
    </row>
    <row r="207" spans="1:11" ht="31.2">
      <c r="A207" s="26" t="s">
        <v>218</v>
      </c>
      <c r="B207" s="95" t="s">
        <v>567</v>
      </c>
      <c r="C207" s="108" t="s">
        <v>313</v>
      </c>
      <c r="D207" s="111">
        <v>14</v>
      </c>
      <c r="E207" s="27">
        <v>0</v>
      </c>
      <c r="F207" s="27">
        <v>0</v>
      </c>
      <c r="G207" s="27">
        <f t="shared" si="12"/>
        <v>0</v>
      </c>
      <c r="H207" s="28">
        <f t="shared" si="13"/>
        <v>0</v>
      </c>
      <c r="I207" s="28">
        <f t="shared" si="14"/>
        <v>0</v>
      </c>
      <c r="J207" s="28">
        <f t="shared" si="15"/>
        <v>0</v>
      </c>
      <c r="K207" s="29"/>
    </row>
    <row r="208" spans="1:11" ht="31.2">
      <c r="A208" s="26" t="s">
        <v>911</v>
      </c>
      <c r="B208" s="95" t="s">
        <v>576</v>
      </c>
      <c r="C208" s="108" t="s">
        <v>313</v>
      </c>
      <c r="D208" s="111">
        <v>42</v>
      </c>
      <c r="E208" s="27">
        <v>0</v>
      </c>
      <c r="F208" s="27">
        <v>0</v>
      </c>
      <c r="G208" s="27">
        <f t="shared" si="12"/>
        <v>0</v>
      </c>
      <c r="H208" s="28">
        <f t="shared" si="13"/>
        <v>0</v>
      </c>
      <c r="I208" s="28">
        <f t="shared" si="14"/>
        <v>0</v>
      </c>
      <c r="J208" s="28">
        <f t="shared" si="15"/>
        <v>0</v>
      </c>
      <c r="K208" s="73"/>
    </row>
    <row r="209" spans="1:11" ht="31.2">
      <c r="A209" s="26" t="s">
        <v>219</v>
      </c>
      <c r="B209" s="95" t="s">
        <v>568</v>
      </c>
      <c r="C209" s="108" t="s">
        <v>313</v>
      </c>
      <c r="D209" s="111">
        <v>14</v>
      </c>
      <c r="E209" s="27">
        <v>0</v>
      </c>
      <c r="F209" s="27">
        <v>0</v>
      </c>
      <c r="G209" s="27">
        <f t="shared" si="12"/>
        <v>0</v>
      </c>
      <c r="H209" s="28">
        <f t="shared" si="13"/>
        <v>0</v>
      </c>
      <c r="I209" s="28">
        <f t="shared" si="14"/>
        <v>0</v>
      </c>
      <c r="J209" s="28">
        <f t="shared" si="15"/>
        <v>0</v>
      </c>
      <c r="K209" s="73"/>
    </row>
    <row r="210" spans="1:11" ht="46.8">
      <c r="A210" s="26" t="s">
        <v>220</v>
      </c>
      <c r="B210" s="95" t="s">
        <v>569</v>
      </c>
      <c r="C210" s="108" t="s">
        <v>313</v>
      </c>
      <c r="D210" s="111">
        <v>56</v>
      </c>
      <c r="E210" s="27">
        <v>0</v>
      </c>
      <c r="F210" s="27">
        <v>0</v>
      </c>
      <c r="G210" s="27">
        <f t="shared" si="12"/>
        <v>0</v>
      </c>
      <c r="H210" s="28">
        <f t="shared" si="13"/>
        <v>0</v>
      </c>
      <c r="I210" s="28">
        <f t="shared" si="14"/>
        <v>0</v>
      </c>
      <c r="J210" s="28">
        <f t="shared" si="15"/>
        <v>0</v>
      </c>
      <c r="K210" s="73"/>
    </row>
    <row r="211" spans="1:11">
      <c r="A211" s="26" t="s">
        <v>221</v>
      </c>
      <c r="B211" s="95" t="s">
        <v>588</v>
      </c>
      <c r="C211" s="108" t="s">
        <v>313</v>
      </c>
      <c r="D211" s="111">
        <v>14</v>
      </c>
      <c r="E211" s="27">
        <v>0</v>
      </c>
      <c r="F211" s="27">
        <v>0</v>
      </c>
      <c r="G211" s="27">
        <f t="shared" si="12"/>
        <v>0</v>
      </c>
      <c r="H211" s="28">
        <f t="shared" si="13"/>
        <v>0</v>
      </c>
      <c r="I211" s="28">
        <f t="shared" si="14"/>
        <v>0</v>
      </c>
      <c r="J211" s="28">
        <f t="shared" si="15"/>
        <v>0</v>
      </c>
      <c r="K211" s="73"/>
    </row>
    <row r="212" spans="1:11">
      <c r="A212" s="26" t="s">
        <v>222</v>
      </c>
      <c r="B212" s="95" t="s">
        <v>589</v>
      </c>
      <c r="C212" s="108" t="s">
        <v>313</v>
      </c>
      <c r="D212" s="111">
        <v>14</v>
      </c>
      <c r="E212" s="27">
        <v>0</v>
      </c>
      <c r="F212" s="27">
        <v>0</v>
      </c>
      <c r="G212" s="27">
        <f t="shared" si="12"/>
        <v>0</v>
      </c>
      <c r="H212" s="28">
        <f t="shared" si="13"/>
        <v>0</v>
      </c>
      <c r="I212" s="28">
        <f t="shared" si="14"/>
        <v>0</v>
      </c>
      <c r="J212" s="28">
        <f t="shared" si="15"/>
        <v>0</v>
      </c>
      <c r="K212" s="73"/>
    </row>
    <row r="213" spans="1:11" ht="31.2">
      <c r="A213" s="26" t="s">
        <v>223</v>
      </c>
      <c r="B213" s="95" t="s">
        <v>572</v>
      </c>
      <c r="C213" s="108" t="s">
        <v>313</v>
      </c>
      <c r="D213" s="111">
        <v>14</v>
      </c>
      <c r="E213" s="27">
        <v>0</v>
      </c>
      <c r="F213" s="27">
        <v>0</v>
      </c>
      <c r="G213" s="27">
        <f t="shared" si="12"/>
        <v>0</v>
      </c>
      <c r="H213" s="28">
        <f t="shared" si="13"/>
        <v>0</v>
      </c>
      <c r="I213" s="28">
        <f t="shared" si="14"/>
        <v>0</v>
      </c>
      <c r="J213" s="28">
        <f t="shared" si="15"/>
        <v>0</v>
      </c>
      <c r="K213" s="73"/>
    </row>
    <row r="214" spans="1:11" ht="31.2">
      <c r="A214" s="26" t="s">
        <v>224</v>
      </c>
      <c r="B214" s="95" t="s">
        <v>573</v>
      </c>
      <c r="C214" s="108" t="s">
        <v>313</v>
      </c>
      <c r="D214" s="111">
        <v>28</v>
      </c>
      <c r="E214" s="27">
        <v>0</v>
      </c>
      <c r="F214" s="27">
        <v>0</v>
      </c>
      <c r="G214" s="27">
        <f t="shared" si="12"/>
        <v>0</v>
      </c>
      <c r="H214" s="28">
        <f t="shared" si="13"/>
        <v>0</v>
      </c>
      <c r="I214" s="28">
        <f t="shared" si="14"/>
        <v>0</v>
      </c>
      <c r="J214" s="28">
        <f t="shared" si="15"/>
        <v>0</v>
      </c>
      <c r="K214" s="73"/>
    </row>
    <row r="215" spans="1:11">
      <c r="A215" s="26" t="s">
        <v>225</v>
      </c>
      <c r="B215" s="95" t="s">
        <v>582</v>
      </c>
      <c r="C215" s="108" t="s">
        <v>313</v>
      </c>
      <c r="D215" s="111">
        <v>2</v>
      </c>
      <c r="E215" s="27">
        <v>0</v>
      </c>
      <c r="F215" s="27">
        <v>0</v>
      </c>
      <c r="G215" s="27">
        <f t="shared" si="12"/>
        <v>0</v>
      </c>
      <c r="H215" s="28">
        <f t="shared" si="13"/>
        <v>0</v>
      </c>
      <c r="I215" s="28">
        <f t="shared" si="14"/>
        <v>0</v>
      </c>
      <c r="J215" s="28">
        <f t="shared" si="15"/>
        <v>0</v>
      </c>
      <c r="K215" s="29"/>
    </row>
    <row r="216" spans="1:11">
      <c r="A216" s="26" t="s">
        <v>226</v>
      </c>
      <c r="B216" s="95" t="s">
        <v>583</v>
      </c>
      <c r="C216" s="108" t="s">
        <v>313</v>
      </c>
      <c r="D216" s="111">
        <v>1</v>
      </c>
      <c r="E216" s="27">
        <v>0</v>
      </c>
      <c r="F216" s="27">
        <v>0</v>
      </c>
      <c r="G216" s="27">
        <f t="shared" si="12"/>
        <v>0</v>
      </c>
      <c r="H216" s="28">
        <f t="shared" si="13"/>
        <v>0</v>
      </c>
      <c r="I216" s="28">
        <f t="shared" si="14"/>
        <v>0</v>
      </c>
      <c r="J216" s="28">
        <f t="shared" si="15"/>
        <v>0</v>
      </c>
      <c r="K216" s="29"/>
    </row>
    <row r="217" spans="1:11" ht="31.2">
      <c r="A217" s="26" t="s">
        <v>227</v>
      </c>
      <c r="B217" s="95" t="s">
        <v>574</v>
      </c>
      <c r="C217" s="108" t="s">
        <v>313</v>
      </c>
      <c r="D217" s="111">
        <v>2</v>
      </c>
      <c r="E217" s="27">
        <v>0</v>
      </c>
      <c r="F217" s="27">
        <v>0</v>
      </c>
      <c r="G217" s="27">
        <f t="shared" si="12"/>
        <v>0</v>
      </c>
      <c r="H217" s="28">
        <f t="shared" si="13"/>
        <v>0</v>
      </c>
      <c r="I217" s="28">
        <f t="shared" si="14"/>
        <v>0</v>
      </c>
      <c r="J217" s="28">
        <f t="shared" si="15"/>
        <v>0</v>
      </c>
      <c r="K217" s="29"/>
    </row>
    <row r="218" spans="1:11" ht="31.2">
      <c r="A218" s="26" t="s">
        <v>228</v>
      </c>
      <c r="B218" s="95" t="s">
        <v>566</v>
      </c>
      <c r="C218" s="108" t="s">
        <v>313</v>
      </c>
      <c r="D218" s="111">
        <v>1</v>
      </c>
      <c r="E218" s="27">
        <v>0</v>
      </c>
      <c r="F218" s="27">
        <v>0</v>
      </c>
      <c r="G218" s="27">
        <f t="shared" si="12"/>
        <v>0</v>
      </c>
      <c r="H218" s="28">
        <f t="shared" si="13"/>
        <v>0</v>
      </c>
      <c r="I218" s="28">
        <f t="shared" si="14"/>
        <v>0</v>
      </c>
      <c r="J218" s="28">
        <f t="shared" si="15"/>
        <v>0</v>
      </c>
      <c r="K218" s="29"/>
    </row>
    <row r="219" spans="1:11" ht="31.2">
      <c r="A219" s="26" t="s">
        <v>229</v>
      </c>
      <c r="B219" s="95" t="s">
        <v>584</v>
      </c>
      <c r="C219" s="108" t="s">
        <v>313</v>
      </c>
      <c r="D219" s="111">
        <v>2</v>
      </c>
      <c r="E219" s="27">
        <v>0</v>
      </c>
      <c r="F219" s="27">
        <v>0</v>
      </c>
      <c r="G219" s="27">
        <f t="shared" si="12"/>
        <v>0</v>
      </c>
      <c r="H219" s="28">
        <f t="shared" si="13"/>
        <v>0</v>
      </c>
      <c r="I219" s="28">
        <f t="shared" si="14"/>
        <v>0</v>
      </c>
      <c r="J219" s="28">
        <f t="shared" si="15"/>
        <v>0</v>
      </c>
      <c r="K219" s="29"/>
    </row>
    <row r="220" spans="1:11" ht="31.2">
      <c r="A220" s="26" t="s">
        <v>230</v>
      </c>
      <c r="B220" s="95" t="s">
        <v>575</v>
      </c>
      <c r="C220" s="108" t="s">
        <v>313</v>
      </c>
      <c r="D220" s="111">
        <v>2</v>
      </c>
      <c r="E220" s="27">
        <v>0</v>
      </c>
      <c r="F220" s="27">
        <v>0</v>
      </c>
      <c r="G220" s="27">
        <f t="shared" si="12"/>
        <v>0</v>
      </c>
      <c r="H220" s="28">
        <f t="shared" si="13"/>
        <v>0</v>
      </c>
      <c r="I220" s="28">
        <f t="shared" si="14"/>
        <v>0</v>
      </c>
      <c r="J220" s="28">
        <f t="shared" si="15"/>
        <v>0</v>
      </c>
      <c r="K220" s="29"/>
    </row>
    <row r="221" spans="1:11" ht="31.2">
      <c r="A221" s="26" t="s">
        <v>231</v>
      </c>
      <c r="B221" s="95" t="s">
        <v>567</v>
      </c>
      <c r="C221" s="108" t="s">
        <v>313</v>
      </c>
      <c r="D221" s="111">
        <v>1</v>
      </c>
      <c r="E221" s="27">
        <v>0</v>
      </c>
      <c r="F221" s="27">
        <v>0</v>
      </c>
      <c r="G221" s="27">
        <f t="shared" si="12"/>
        <v>0</v>
      </c>
      <c r="H221" s="28">
        <f t="shared" si="13"/>
        <v>0</v>
      </c>
      <c r="I221" s="28">
        <f t="shared" si="14"/>
        <v>0</v>
      </c>
      <c r="J221" s="28">
        <f t="shared" si="15"/>
        <v>0</v>
      </c>
      <c r="K221" s="29"/>
    </row>
    <row r="222" spans="1:11" ht="31.2">
      <c r="A222" s="26" t="s">
        <v>232</v>
      </c>
      <c r="B222" s="95" t="s">
        <v>585</v>
      </c>
      <c r="C222" s="108" t="s">
        <v>313</v>
      </c>
      <c r="D222" s="111">
        <v>1</v>
      </c>
      <c r="E222" s="27">
        <v>0</v>
      </c>
      <c r="F222" s="27">
        <v>0</v>
      </c>
      <c r="G222" s="27">
        <f t="shared" si="12"/>
        <v>0</v>
      </c>
      <c r="H222" s="28">
        <f t="shared" si="13"/>
        <v>0</v>
      </c>
      <c r="I222" s="28">
        <f t="shared" si="14"/>
        <v>0</v>
      </c>
      <c r="J222" s="28">
        <f t="shared" si="15"/>
        <v>0</v>
      </c>
      <c r="K222" s="29"/>
    </row>
    <row r="223" spans="1:11" ht="31.2">
      <c r="A223" s="26" t="s">
        <v>233</v>
      </c>
      <c r="B223" s="95" t="s">
        <v>576</v>
      </c>
      <c r="C223" s="108" t="s">
        <v>313</v>
      </c>
      <c r="D223" s="111">
        <v>2</v>
      </c>
      <c r="E223" s="27">
        <v>0</v>
      </c>
      <c r="F223" s="27">
        <v>0</v>
      </c>
      <c r="G223" s="27">
        <f t="shared" si="12"/>
        <v>0</v>
      </c>
      <c r="H223" s="28">
        <f t="shared" si="13"/>
        <v>0</v>
      </c>
      <c r="I223" s="28">
        <f t="shared" si="14"/>
        <v>0</v>
      </c>
      <c r="J223" s="28">
        <f t="shared" si="15"/>
        <v>0</v>
      </c>
      <c r="K223" s="29"/>
    </row>
    <row r="224" spans="1:11" ht="31.2">
      <c r="A224" s="26" t="s">
        <v>234</v>
      </c>
      <c r="B224" s="95" t="s">
        <v>568</v>
      </c>
      <c r="C224" s="108" t="s">
        <v>313</v>
      </c>
      <c r="D224" s="111">
        <v>1</v>
      </c>
      <c r="E224" s="27">
        <v>0</v>
      </c>
      <c r="F224" s="27">
        <v>0</v>
      </c>
      <c r="G224" s="27">
        <f t="shared" si="12"/>
        <v>0</v>
      </c>
      <c r="H224" s="28">
        <f t="shared" si="13"/>
        <v>0</v>
      </c>
      <c r="I224" s="28">
        <f t="shared" si="14"/>
        <v>0</v>
      </c>
      <c r="J224" s="28">
        <f t="shared" si="15"/>
        <v>0</v>
      </c>
      <c r="K224" s="29"/>
    </row>
    <row r="225" spans="1:11" ht="31.2">
      <c r="A225" s="26" t="s">
        <v>235</v>
      </c>
      <c r="B225" s="95" t="s">
        <v>590</v>
      </c>
      <c r="C225" s="108" t="s">
        <v>313</v>
      </c>
      <c r="D225" s="111">
        <v>3</v>
      </c>
      <c r="E225" s="27">
        <v>0</v>
      </c>
      <c r="F225" s="27">
        <v>0</v>
      </c>
      <c r="G225" s="27">
        <f t="shared" si="12"/>
        <v>0</v>
      </c>
      <c r="H225" s="28">
        <f t="shared" si="13"/>
        <v>0</v>
      </c>
      <c r="I225" s="28">
        <f t="shared" si="14"/>
        <v>0</v>
      </c>
      <c r="J225" s="28">
        <f t="shared" si="15"/>
        <v>0</v>
      </c>
      <c r="K225" s="29"/>
    </row>
    <row r="226" spans="1:11" ht="46.8">
      <c r="A226" s="26" t="s">
        <v>236</v>
      </c>
      <c r="B226" s="95" t="s">
        <v>569</v>
      </c>
      <c r="C226" s="108" t="s">
        <v>313</v>
      </c>
      <c r="D226" s="111">
        <v>4</v>
      </c>
      <c r="E226" s="27">
        <v>0</v>
      </c>
      <c r="F226" s="27">
        <v>0</v>
      </c>
      <c r="G226" s="27">
        <f t="shared" si="12"/>
        <v>0</v>
      </c>
      <c r="H226" s="28">
        <f t="shared" si="13"/>
        <v>0</v>
      </c>
      <c r="I226" s="28">
        <f t="shared" si="14"/>
        <v>0</v>
      </c>
      <c r="J226" s="28">
        <f t="shared" si="15"/>
        <v>0</v>
      </c>
      <c r="K226" s="29"/>
    </row>
    <row r="227" spans="1:11">
      <c r="A227" s="26" t="s">
        <v>237</v>
      </c>
      <c r="B227" s="95" t="s">
        <v>591</v>
      </c>
      <c r="C227" s="108" t="s">
        <v>313</v>
      </c>
      <c r="D227" s="111">
        <v>1</v>
      </c>
      <c r="E227" s="27">
        <v>0</v>
      </c>
      <c r="F227" s="27">
        <v>0</v>
      </c>
      <c r="G227" s="27">
        <f t="shared" si="12"/>
        <v>0</v>
      </c>
      <c r="H227" s="28">
        <f t="shared" si="13"/>
        <v>0</v>
      </c>
      <c r="I227" s="28">
        <f t="shared" si="14"/>
        <v>0</v>
      </c>
      <c r="J227" s="28">
        <f t="shared" si="15"/>
        <v>0</v>
      </c>
      <c r="K227" s="29"/>
    </row>
    <row r="228" spans="1:11">
      <c r="A228" s="26" t="s">
        <v>238</v>
      </c>
      <c r="B228" s="95" t="s">
        <v>592</v>
      </c>
      <c r="C228" s="108" t="s">
        <v>313</v>
      </c>
      <c r="D228" s="111">
        <v>1</v>
      </c>
      <c r="E228" s="27">
        <v>0</v>
      </c>
      <c r="F228" s="27">
        <v>0</v>
      </c>
      <c r="G228" s="27">
        <f t="shared" si="12"/>
        <v>0</v>
      </c>
      <c r="H228" s="28">
        <f t="shared" si="13"/>
        <v>0</v>
      </c>
      <c r="I228" s="28">
        <f t="shared" si="14"/>
        <v>0</v>
      </c>
      <c r="J228" s="28">
        <f t="shared" si="15"/>
        <v>0</v>
      </c>
      <c r="K228" s="29"/>
    </row>
    <row r="229" spans="1:11" ht="31.2">
      <c r="A229" s="26" t="s">
        <v>239</v>
      </c>
      <c r="B229" s="95" t="s">
        <v>587</v>
      </c>
      <c r="C229" s="108" t="s">
        <v>313</v>
      </c>
      <c r="D229" s="111">
        <v>1</v>
      </c>
      <c r="E229" s="27">
        <v>0</v>
      </c>
      <c r="F229" s="27">
        <v>0</v>
      </c>
      <c r="G229" s="27">
        <f t="shared" si="12"/>
        <v>0</v>
      </c>
      <c r="H229" s="28">
        <f t="shared" si="13"/>
        <v>0</v>
      </c>
      <c r="I229" s="28">
        <f t="shared" si="14"/>
        <v>0</v>
      </c>
      <c r="J229" s="28">
        <f t="shared" si="15"/>
        <v>0</v>
      </c>
      <c r="K229" s="29"/>
    </row>
    <row r="230" spans="1:11" ht="31.2">
      <c r="A230" s="26" t="s">
        <v>240</v>
      </c>
      <c r="B230" s="95" t="s">
        <v>579</v>
      </c>
      <c r="C230" s="108" t="s">
        <v>313</v>
      </c>
      <c r="D230" s="111">
        <v>2</v>
      </c>
      <c r="E230" s="27">
        <v>0</v>
      </c>
      <c r="F230" s="27">
        <v>0</v>
      </c>
      <c r="G230" s="27">
        <f t="shared" si="12"/>
        <v>0</v>
      </c>
      <c r="H230" s="28">
        <f t="shared" si="13"/>
        <v>0</v>
      </c>
      <c r="I230" s="28">
        <f t="shared" si="14"/>
        <v>0</v>
      </c>
      <c r="J230" s="28">
        <f t="shared" si="15"/>
        <v>0</v>
      </c>
      <c r="K230" s="29"/>
    </row>
    <row r="231" spans="1:11">
      <c r="A231" s="26" t="s">
        <v>241</v>
      </c>
      <c r="B231" s="95" t="s">
        <v>593</v>
      </c>
      <c r="C231" s="108" t="s">
        <v>313</v>
      </c>
      <c r="D231" s="111">
        <v>8</v>
      </c>
      <c r="E231" s="27">
        <v>0</v>
      </c>
      <c r="F231" s="27">
        <v>0</v>
      </c>
      <c r="G231" s="27">
        <f t="shared" ref="G231:G293" si="16">E231+F231</f>
        <v>0</v>
      </c>
      <c r="H231" s="28">
        <f t="shared" ref="H231:H293" si="17">D231*E231</f>
        <v>0</v>
      </c>
      <c r="I231" s="28">
        <f t="shared" ref="I231:I293" si="18">D231*F231</f>
        <v>0</v>
      </c>
      <c r="J231" s="28">
        <f t="shared" ref="J231:J293" si="19">H231+I231</f>
        <v>0</v>
      </c>
      <c r="K231" s="29"/>
    </row>
    <row r="232" spans="1:11" ht="31.2">
      <c r="A232" s="26" t="s">
        <v>242</v>
      </c>
      <c r="B232" s="95" t="s">
        <v>544</v>
      </c>
      <c r="C232" s="108" t="s">
        <v>313</v>
      </c>
      <c r="D232" s="111">
        <v>4</v>
      </c>
      <c r="E232" s="27">
        <v>0</v>
      </c>
      <c r="F232" s="27">
        <v>0</v>
      </c>
      <c r="G232" s="27">
        <f t="shared" si="16"/>
        <v>0</v>
      </c>
      <c r="H232" s="28">
        <f t="shared" si="17"/>
        <v>0</v>
      </c>
      <c r="I232" s="28">
        <f t="shared" si="18"/>
        <v>0</v>
      </c>
      <c r="J232" s="28">
        <f t="shared" si="19"/>
        <v>0</v>
      </c>
      <c r="K232" s="29" t="s">
        <v>321</v>
      </c>
    </row>
    <row r="233" spans="1:11" ht="31.2">
      <c r="A233" s="26" t="s">
        <v>243</v>
      </c>
      <c r="B233" s="95" t="s">
        <v>545</v>
      </c>
      <c r="C233" s="108" t="s">
        <v>313</v>
      </c>
      <c r="D233" s="111">
        <v>4</v>
      </c>
      <c r="E233" s="27">
        <v>0</v>
      </c>
      <c r="F233" s="27">
        <v>0</v>
      </c>
      <c r="G233" s="27">
        <f t="shared" si="16"/>
        <v>0</v>
      </c>
      <c r="H233" s="28">
        <f t="shared" si="17"/>
        <v>0</v>
      </c>
      <c r="I233" s="28">
        <f t="shared" si="18"/>
        <v>0</v>
      </c>
      <c r="J233" s="28">
        <f t="shared" si="19"/>
        <v>0</v>
      </c>
      <c r="K233" s="29" t="s">
        <v>321</v>
      </c>
    </row>
    <row r="234" spans="1:11" ht="31.2">
      <c r="A234" s="26" t="s">
        <v>244</v>
      </c>
      <c r="B234" s="95" t="s">
        <v>546</v>
      </c>
      <c r="C234" s="108" t="s">
        <v>313</v>
      </c>
      <c r="D234" s="111">
        <v>6</v>
      </c>
      <c r="E234" s="27">
        <v>0</v>
      </c>
      <c r="F234" s="27">
        <v>0</v>
      </c>
      <c r="G234" s="27">
        <f t="shared" si="16"/>
        <v>0</v>
      </c>
      <c r="H234" s="28">
        <f t="shared" si="17"/>
        <v>0</v>
      </c>
      <c r="I234" s="28">
        <f t="shared" si="18"/>
        <v>0</v>
      </c>
      <c r="J234" s="28">
        <f t="shared" si="19"/>
        <v>0</v>
      </c>
      <c r="K234" s="29" t="s">
        <v>321</v>
      </c>
    </row>
    <row r="235" spans="1:11" ht="31.2">
      <c r="A235" s="26" t="s">
        <v>245</v>
      </c>
      <c r="B235" s="95" t="s">
        <v>547</v>
      </c>
      <c r="C235" s="108" t="s">
        <v>313</v>
      </c>
      <c r="D235" s="111">
        <v>2</v>
      </c>
      <c r="E235" s="27">
        <v>0</v>
      </c>
      <c r="F235" s="27">
        <v>0</v>
      </c>
      <c r="G235" s="27">
        <f t="shared" si="16"/>
        <v>0</v>
      </c>
      <c r="H235" s="28">
        <f t="shared" si="17"/>
        <v>0</v>
      </c>
      <c r="I235" s="28">
        <f t="shared" si="18"/>
        <v>0</v>
      </c>
      <c r="J235" s="28">
        <f t="shared" si="19"/>
        <v>0</v>
      </c>
      <c r="K235" s="29" t="s">
        <v>321</v>
      </c>
    </row>
    <row r="236" spans="1:11" ht="31.2">
      <c r="A236" s="26" t="s">
        <v>246</v>
      </c>
      <c r="B236" s="95" t="s">
        <v>548</v>
      </c>
      <c r="C236" s="108" t="s">
        <v>313</v>
      </c>
      <c r="D236" s="111">
        <v>20</v>
      </c>
      <c r="E236" s="27">
        <v>0</v>
      </c>
      <c r="F236" s="27">
        <v>0</v>
      </c>
      <c r="G236" s="27">
        <f t="shared" si="16"/>
        <v>0</v>
      </c>
      <c r="H236" s="28">
        <f t="shared" si="17"/>
        <v>0</v>
      </c>
      <c r="I236" s="28">
        <f t="shared" si="18"/>
        <v>0</v>
      </c>
      <c r="J236" s="28">
        <f t="shared" si="19"/>
        <v>0</v>
      </c>
      <c r="K236" s="29" t="s">
        <v>321</v>
      </c>
    </row>
    <row r="237" spans="1:11" ht="31.2">
      <c r="A237" s="26" t="s">
        <v>247</v>
      </c>
      <c r="B237" s="95" t="s">
        <v>549</v>
      </c>
      <c r="C237" s="108" t="s">
        <v>313</v>
      </c>
      <c r="D237" s="111">
        <v>24</v>
      </c>
      <c r="E237" s="27">
        <v>0</v>
      </c>
      <c r="F237" s="27">
        <v>0</v>
      </c>
      <c r="G237" s="27">
        <f t="shared" si="16"/>
        <v>0</v>
      </c>
      <c r="H237" s="28">
        <f t="shared" si="17"/>
        <v>0</v>
      </c>
      <c r="I237" s="28">
        <f t="shared" si="18"/>
        <v>0</v>
      </c>
      <c r="J237" s="28">
        <f t="shared" si="19"/>
        <v>0</v>
      </c>
      <c r="K237" s="29" t="s">
        <v>321</v>
      </c>
    </row>
    <row r="238" spans="1:11" ht="31.2">
      <c r="A238" s="26" t="s">
        <v>248</v>
      </c>
      <c r="B238" s="95" t="s">
        <v>550</v>
      </c>
      <c r="C238" s="108" t="s">
        <v>313</v>
      </c>
      <c r="D238" s="111">
        <v>38</v>
      </c>
      <c r="E238" s="27">
        <v>0</v>
      </c>
      <c r="F238" s="27">
        <v>0</v>
      </c>
      <c r="G238" s="27">
        <f t="shared" si="16"/>
        <v>0</v>
      </c>
      <c r="H238" s="28">
        <f t="shared" si="17"/>
        <v>0</v>
      </c>
      <c r="I238" s="28">
        <f t="shared" si="18"/>
        <v>0</v>
      </c>
      <c r="J238" s="28">
        <f t="shared" si="19"/>
        <v>0</v>
      </c>
      <c r="K238" s="29" t="s">
        <v>321</v>
      </c>
    </row>
    <row r="239" spans="1:11" ht="31.2">
      <c r="A239" s="26" t="s">
        <v>249</v>
      </c>
      <c r="B239" s="95" t="s">
        <v>551</v>
      </c>
      <c r="C239" s="108" t="s">
        <v>313</v>
      </c>
      <c r="D239" s="111">
        <v>92</v>
      </c>
      <c r="E239" s="27">
        <v>0</v>
      </c>
      <c r="F239" s="27">
        <v>0</v>
      </c>
      <c r="G239" s="27">
        <f t="shared" si="16"/>
        <v>0</v>
      </c>
      <c r="H239" s="28">
        <f t="shared" si="17"/>
        <v>0</v>
      </c>
      <c r="I239" s="28">
        <f t="shared" si="18"/>
        <v>0</v>
      </c>
      <c r="J239" s="28">
        <f t="shared" si="19"/>
        <v>0</v>
      </c>
      <c r="K239" s="29" t="s">
        <v>321</v>
      </c>
    </row>
    <row r="240" spans="1:11">
      <c r="A240" s="26" t="s">
        <v>250</v>
      </c>
      <c r="B240" s="95" t="s">
        <v>593</v>
      </c>
      <c r="C240" s="108" t="s">
        <v>312</v>
      </c>
      <c r="D240" s="111">
        <v>13118.82</v>
      </c>
      <c r="E240" s="27">
        <v>0</v>
      </c>
      <c r="F240" s="27">
        <v>0</v>
      </c>
      <c r="G240" s="27">
        <f t="shared" si="16"/>
        <v>0</v>
      </c>
      <c r="H240" s="28">
        <f t="shared" si="17"/>
        <v>0</v>
      </c>
      <c r="I240" s="28">
        <f t="shared" si="18"/>
        <v>0</v>
      </c>
      <c r="J240" s="28">
        <f t="shared" si="19"/>
        <v>0</v>
      </c>
      <c r="K240" s="29"/>
    </row>
    <row r="241" spans="1:11">
      <c r="A241" s="26" t="s">
        <v>251</v>
      </c>
      <c r="B241" s="95" t="s">
        <v>594</v>
      </c>
      <c r="C241" s="108" t="s">
        <v>312</v>
      </c>
      <c r="D241" s="111">
        <v>2295.59</v>
      </c>
      <c r="E241" s="27">
        <v>0</v>
      </c>
      <c r="F241" s="27">
        <v>0</v>
      </c>
      <c r="G241" s="27">
        <f t="shared" si="16"/>
        <v>0</v>
      </c>
      <c r="H241" s="28">
        <f t="shared" si="17"/>
        <v>0</v>
      </c>
      <c r="I241" s="28">
        <f t="shared" si="18"/>
        <v>0</v>
      </c>
      <c r="J241" s="28">
        <f t="shared" si="19"/>
        <v>0</v>
      </c>
      <c r="K241" s="29"/>
    </row>
    <row r="242" spans="1:11">
      <c r="A242" s="26" t="s">
        <v>252</v>
      </c>
      <c r="B242" s="95" t="s">
        <v>595</v>
      </c>
      <c r="C242" s="108" t="s">
        <v>312</v>
      </c>
      <c r="D242" s="111">
        <v>138.21</v>
      </c>
      <c r="E242" s="27">
        <v>0</v>
      </c>
      <c r="F242" s="27">
        <v>0</v>
      </c>
      <c r="G242" s="27">
        <f t="shared" si="16"/>
        <v>0</v>
      </c>
      <c r="H242" s="28">
        <f t="shared" si="17"/>
        <v>0</v>
      </c>
      <c r="I242" s="28">
        <f t="shared" si="18"/>
        <v>0</v>
      </c>
      <c r="J242" s="28">
        <f t="shared" si="19"/>
        <v>0</v>
      </c>
      <c r="K242" s="29"/>
    </row>
    <row r="243" spans="1:11">
      <c r="A243" s="26" t="s">
        <v>253</v>
      </c>
      <c r="B243" s="95" t="s">
        <v>596</v>
      </c>
      <c r="C243" s="108" t="s">
        <v>312</v>
      </c>
      <c r="D243" s="111">
        <v>131.30000000000001</v>
      </c>
      <c r="E243" s="27">
        <v>0</v>
      </c>
      <c r="F243" s="27">
        <v>0</v>
      </c>
      <c r="G243" s="27">
        <f t="shared" si="16"/>
        <v>0</v>
      </c>
      <c r="H243" s="28">
        <f t="shared" si="17"/>
        <v>0</v>
      </c>
      <c r="I243" s="28">
        <f t="shared" si="18"/>
        <v>0</v>
      </c>
      <c r="J243" s="28">
        <f t="shared" si="19"/>
        <v>0</v>
      </c>
      <c r="K243" s="29"/>
    </row>
    <row r="244" spans="1:11">
      <c r="A244" s="26" t="s">
        <v>254</v>
      </c>
      <c r="B244" s="95" t="s">
        <v>597</v>
      </c>
      <c r="C244" s="108" t="s">
        <v>312</v>
      </c>
      <c r="D244" s="111">
        <v>102.13</v>
      </c>
      <c r="E244" s="27">
        <v>0</v>
      </c>
      <c r="F244" s="27">
        <v>0</v>
      </c>
      <c r="G244" s="27">
        <f t="shared" si="16"/>
        <v>0</v>
      </c>
      <c r="H244" s="28">
        <f t="shared" si="17"/>
        <v>0</v>
      </c>
      <c r="I244" s="28">
        <f t="shared" si="18"/>
        <v>0</v>
      </c>
      <c r="J244" s="28">
        <f t="shared" si="19"/>
        <v>0</v>
      </c>
      <c r="K244" s="29"/>
    </row>
    <row r="245" spans="1:11">
      <c r="A245" s="26" t="s">
        <v>255</v>
      </c>
      <c r="B245" s="95" t="s">
        <v>598</v>
      </c>
      <c r="C245" s="108" t="s">
        <v>312</v>
      </c>
      <c r="D245" s="111">
        <v>29.34</v>
      </c>
      <c r="E245" s="27">
        <v>0</v>
      </c>
      <c r="F245" s="27">
        <v>0</v>
      </c>
      <c r="G245" s="27">
        <f t="shared" si="16"/>
        <v>0</v>
      </c>
      <c r="H245" s="28">
        <f t="shared" si="17"/>
        <v>0</v>
      </c>
      <c r="I245" s="28">
        <f t="shared" si="18"/>
        <v>0</v>
      </c>
      <c r="J245" s="28">
        <f t="shared" si="19"/>
        <v>0</v>
      </c>
      <c r="K245" s="29"/>
    </row>
    <row r="246" spans="1:11">
      <c r="A246" s="26" t="s">
        <v>256</v>
      </c>
      <c r="B246" s="95" t="s">
        <v>599</v>
      </c>
      <c r="C246" s="108" t="s">
        <v>312</v>
      </c>
      <c r="D246" s="111">
        <v>67.09</v>
      </c>
      <c r="E246" s="27">
        <v>0</v>
      </c>
      <c r="F246" s="27">
        <v>0</v>
      </c>
      <c r="G246" s="27">
        <f t="shared" si="16"/>
        <v>0</v>
      </c>
      <c r="H246" s="28">
        <f t="shared" si="17"/>
        <v>0</v>
      </c>
      <c r="I246" s="28">
        <f t="shared" si="18"/>
        <v>0</v>
      </c>
      <c r="J246" s="28">
        <f t="shared" si="19"/>
        <v>0</v>
      </c>
      <c r="K246" s="29"/>
    </row>
    <row r="247" spans="1:11">
      <c r="A247" s="26" t="s">
        <v>257</v>
      </c>
      <c r="B247" s="95" t="s">
        <v>600</v>
      </c>
      <c r="C247" s="108" t="s">
        <v>312</v>
      </c>
      <c r="D247" s="111">
        <v>83.29</v>
      </c>
      <c r="E247" s="27">
        <v>0</v>
      </c>
      <c r="F247" s="27">
        <v>0</v>
      </c>
      <c r="G247" s="27">
        <f t="shared" si="16"/>
        <v>0</v>
      </c>
      <c r="H247" s="28">
        <f t="shared" si="17"/>
        <v>0</v>
      </c>
      <c r="I247" s="28">
        <f t="shared" si="18"/>
        <v>0</v>
      </c>
      <c r="J247" s="28">
        <f t="shared" si="19"/>
        <v>0</v>
      </c>
      <c r="K247" s="29"/>
    </row>
    <row r="248" spans="1:11" ht="31.2">
      <c r="A248" s="26" t="s">
        <v>258</v>
      </c>
      <c r="B248" s="95" t="s">
        <v>601</v>
      </c>
      <c r="C248" s="108" t="s">
        <v>312</v>
      </c>
      <c r="D248" s="111">
        <v>133.33000000000001</v>
      </c>
      <c r="E248" s="27">
        <v>0</v>
      </c>
      <c r="F248" s="27">
        <v>0</v>
      </c>
      <c r="G248" s="27">
        <f t="shared" si="16"/>
        <v>0</v>
      </c>
      <c r="H248" s="28">
        <f t="shared" si="17"/>
        <v>0</v>
      </c>
      <c r="I248" s="28">
        <f t="shared" si="18"/>
        <v>0</v>
      </c>
      <c r="J248" s="28">
        <f t="shared" si="19"/>
        <v>0</v>
      </c>
      <c r="K248" s="29"/>
    </row>
    <row r="249" spans="1:11" ht="31.2">
      <c r="A249" s="26" t="s">
        <v>259</v>
      </c>
      <c r="B249" s="95" t="s">
        <v>602</v>
      </c>
      <c r="C249" s="108" t="s">
        <v>312</v>
      </c>
      <c r="D249" s="111">
        <v>490.45</v>
      </c>
      <c r="E249" s="27">
        <v>0</v>
      </c>
      <c r="F249" s="27">
        <v>0</v>
      </c>
      <c r="G249" s="27">
        <f t="shared" si="16"/>
        <v>0</v>
      </c>
      <c r="H249" s="28">
        <f t="shared" si="17"/>
        <v>0</v>
      </c>
      <c r="I249" s="28">
        <f t="shared" si="18"/>
        <v>0</v>
      </c>
      <c r="J249" s="28">
        <f t="shared" si="19"/>
        <v>0</v>
      </c>
      <c r="K249" s="29"/>
    </row>
    <row r="250" spans="1:11" ht="31.2">
      <c r="A250" s="26" t="s">
        <v>260</v>
      </c>
      <c r="B250" s="95" t="s">
        <v>603</v>
      </c>
      <c r="C250" s="108" t="s">
        <v>312</v>
      </c>
      <c r="D250" s="111">
        <v>30.93</v>
      </c>
      <c r="E250" s="27">
        <v>0</v>
      </c>
      <c r="F250" s="27">
        <v>0</v>
      </c>
      <c r="G250" s="27">
        <f t="shared" si="16"/>
        <v>0</v>
      </c>
      <c r="H250" s="28">
        <f t="shared" si="17"/>
        <v>0</v>
      </c>
      <c r="I250" s="28">
        <f t="shared" si="18"/>
        <v>0</v>
      </c>
      <c r="J250" s="28">
        <f t="shared" si="19"/>
        <v>0</v>
      </c>
      <c r="K250" s="29"/>
    </row>
    <row r="251" spans="1:11" ht="31.2">
      <c r="A251" s="26" t="s">
        <v>261</v>
      </c>
      <c r="B251" s="95" t="s">
        <v>604</v>
      </c>
      <c r="C251" s="108" t="s">
        <v>312</v>
      </c>
      <c r="D251" s="111" t="s">
        <v>338</v>
      </c>
      <c r="E251" s="27">
        <v>0</v>
      </c>
      <c r="F251" s="27">
        <v>0</v>
      </c>
      <c r="G251" s="27">
        <f t="shared" si="16"/>
        <v>0</v>
      </c>
      <c r="H251" s="28">
        <f t="shared" si="17"/>
        <v>0</v>
      </c>
      <c r="I251" s="28">
        <f t="shared" si="18"/>
        <v>0</v>
      </c>
      <c r="J251" s="28">
        <f t="shared" si="19"/>
        <v>0</v>
      </c>
      <c r="K251" s="29"/>
    </row>
    <row r="252" spans="1:11" ht="31.2">
      <c r="A252" s="26" t="s">
        <v>262</v>
      </c>
      <c r="B252" s="95" t="s">
        <v>605</v>
      </c>
      <c r="C252" s="108" t="s">
        <v>312</v>
      </c>
      <c r="D252" s="111">
        <v>10.32</v>
      </c>
      <c r="E252" s="27">
        <v>0</v>
      </c>
      <c r="F252" s="27">
        <v>0</v>
      </c>
      <c r="G252" s="27">
        <f t="shared" si="16"/>
        <v>0</v>
      </c>
      <c r="H252" s="28">
        <f t="shared" si="17"/>
        <v>0</v>
      </c>
      <c r="I252" s="28">
        <f t="shared" si="18"/>
        <v>0</v>
      </c>
      <c r="J252" s="28">
        <f t="shared" si="19"/>
        <v>0</v>
      </c>
      <c r="K252" s="29"/>
    </row>
    <row r="253" spans="1:11" ht="31.2">
      <c r="A253" s="26" t="s">
        <v>263</v>
      </c>
      <c r="B253" s="95" t="s">
        <v>606</v>
      </c>
      <c r="C253" s="108" t="s">
        <v>312</v>
      </c>
      <c r="D253" s="111">
        <v>7.62</v>
      </c>
      <c r="E253" s="27">
        <v>0</v>
      </c>
      <c r="F253" s="27">
        <v>0</v>
      </c>
      <c r="G253" s="27">
        <f t="shared" si="16"/>
        <v>0</v>
      </c>
      <c r="H253" s="28">
        <f t="shared" si="17"/>
        <v>0</v>
      </c>
      <c r="I253" s="28">
        <f t="shared" si="18"/>
        <v>0</v>
      </c>
      <c r="J253" s="28">
        <f t="shared" si="19"/>
        <v>0</v>
      </c>
      <c r="K253" s="29"/>
    </row>
    <row r="254" spans="1:11" ht="31.2">
      <c r="A254" s="26" t="s">
        <v>264</v>
      </c>
      <c r="B254" s="95" t="s">
        <v>607</v>
      </c>
      <c r="C254" s="108" t="s">
        <v>312</v>
      </c>
      <c r="D254" s="111">
        <v>209.57</v>
      </c>
      <c r="E254" s="27">
        <v>0</v>
      </c>
      <c r="F254" s="27">
        <v>0</v>
      </c>
      <c r="G254" s="27">
        <f t="shared" si="16"/>
        <v>0</v>
      </c>
      <c r="H254" s="28">
        <f t="shared" si="17"/>
        <v>0</v>
      </c>
      <c r="I254" s="28">
        <f t="shared" si="18"/>
        <v>0</v>
      </c>
      <c r="J254" s="28">
        <f t="shared" si="19"/>
        <v>0</v>
      </c>
      <c r="K254" s="29"/>
    </row>
    <row r="255" spans="1:11" ht="31.2">
      <c r="A255" s="26" t="s">
        <v>265</v>
      </c>
      <c r="B255" s="95" t="s">
        <v>608</v>
      </c>
      <c r="C255" s="108" t="s">
        <v>312</v>
      </c>
      <c r="D255" s="111">
        <v>32.94</v>
      </c>
      <c r="E255" s="27">
        <v>0</v>
      </c>
      <c r="F255" s="27">
        <v>0</v>
      </c>
      <c r="G255" s="27">
        <f t="shared" si="16"/>
        <v>0</v>
      </c>
      <c r="H255" s="28">
        <f t="shared" si="17"/>
        <v>0</v>
      </c>
      <c r="I255" s="28">
        <f t="shared" si="18"/>
        <v>0</v>
      </c>
      <c r="J255" s="28">
        <f t="shared" si="19"/>
        <v>0</v>
      </c>
      <c r="K255" s="29"/>
    </row>
    <row r="256" spans="1:11" ht="31.2">
      <c r="A256" s="26" t="s">
        <v>266</v>
      </c>
      <c r="B256" s="95" t="s">
        <v>609</v>
      </c>
      <c r="C256" s="108" t="s">
        <v>312</v>
      </c>
      <c r="D256" s="111">
        <v>5888.26</v>
      </c>
      <c r="E256" s="27">
        <v>0</v>
      </c>
      <c r="F256" s="27">
        <v>0</v>
      </c>
      <c r="G256" s="27">
        <f t="shared" si="16"/>
        <v>0</v>
      </c>
      <c r="H256" s="28">
        <f t="shared" si="17"/>
        <v>0</v>
      </c>
      <c r="I256" s="28">
        <f t="shared" si="18"/>
        <v>0</v>
      </c>
      <c r="J256" s="28">
        <f t="shared" si="19"/>
        <v>0</v>
      </c>
      <c r="K256" s="29"/>
    </row>
    <row r="257" spans="1:11" ht="31.2">
      <c r="A257" s="26" t="s">
        <v>267</v>
      </c>
      <c r="B257" s="95" t="s">
        <v>610</v>
      </c>
      <c r="C257" s="108" t="s">
        <v>312</v>
      </c>
      <c r="D257" s="111">
        <v>969.43</v>
      </c>
      <c r="E257" s="27">
        <v>0</v>
      </c>
      <c r="F257" s="27">
        <v>0</v>
      </c>
      <c r="G257" s="27">
        <f t="shared" si="16"/>
        <v>0</v>
      </c>
      <c r="H257" s="28">
        <f t="shared" si="17"/>
        <v>0</v>
      </c>
      <c r="I257" s="28">
        <f t="shared" si="18"/>
        <v>0</v>
      </c>
      <c r="J257" s="28">
        <f t="shared" si="19"/>
        <v>0</v>
      </c>
      <c r="K257" s="29"/>
    </row>
    <row r="258" spans="1:11" ht="31.2">
      <c r="A258" s="26" t="s">
        <v>268</v>
      </c>
      <c r="B258" s="95" t="s">
        <v>611</v>
      </c>
      <c r="C258" s="108" t="s">
        <v>312</v>
      </c>
      <c r="D258" s="111">
        <v>47.5</v>
      </c>
      <c r="E258" s="27">
        <v>0</v>
      </c>
      <c r="F258" s="27">
        <v>0</v>
      </c>
      <c r="G258" s="27">
        <f t="shared" si="16"/>
        <v>0</v>
      </c>
      <c r="H258" s="28">
        <f t="shared" si="17"/>
        <v>0</v>
      </c>
      <c r="I258" s="28">
        <f t="shared" si="18"/>
        <v>0</v>
      </c>
      <c r="J258" s="28">
        <f t="shared" si="19"/>
        <v>0</v>
      </c>
      <c r="K258" s="29"/>
    </row>
    <row r="259" spans="1:11" ht="31.2">
      <c r="A259" s="26" t="s">
        <v>269</v>
      </c>
      <c r="B259" s="95" t="s">
        <v>612</v>
      </c>
      <c r="C259" s="108" t="s">
        <v>312</v>
      </c>
      <c r="D259" s="111">
        <v>5822.83</v>
      </c>
      <c r="E259" s="27">
        <v>0</v>
      </c>
      <c r="F259" s="27">
        <v>0</v>
      </c>
      <c r="G259" s="27">
        <f t="shared" si="16"/>
        <v>0</v>
      </c>
      <c r="H259" s="28">
        <f t="shared" si="17"/>
        <v>0</v>
      </c>
      <c r="I259" s="28">
        <f t="shared" si="18"/>
        <v>0</v>
      </c>
      <c r="J259" s="28">
        <f t="shared" si="19"/>
        <v>0</v>
      </c>
      <c r="K259" s="29"/>
    </row>
    <row r="260" spans="1:11" ht="31.2">
      <c r="A260" s="26" t="s">
        <v>270</v>
      </c>
      <c r="B260" s="95" t="s">
        <v>613</v>
      </c>
      <c r="C260" s="108" t="s">
        <v>312</v>
      </c>
      <c r="D260" s="111">
        <v>880.39</v>
      </c>
      <c r="E260" s="27">
        <v>0</v>
      </c>
      <c r="F260" s="27">
        <v>0</v>
      </c>
      <c r="G260" s="27">
        <f t="shared" si="16"/>
        <v>0</v>
      </c>
      <c r="H260" s="28">
        <f t="shared" si="17"/>
        <v>0</v>
      </c>
      <c r="I260" s="28">
        <f t="shared" si="18"/>
        <v>0</v>
      </c>
      <c r="J260" s="28">
        <f t="shared" si="19"/>
        <v>0</v>
      </c>
      <c r="K260" s="29"/>
    </row>
    <row r="261" spans="1:11" ht="31.2">
      <c r="A261" s="26" t="s">
        <v>271</v>
      </c>
      <c r="B261" s="95" t="s">
        <v>614</v>
      </c>
      <c r="C261" s="108" t="s">
        <v>312</v>
      </c>
      <c r="D261" s="111">
        <v>55.94</v>
      </c>
      <c r="E261" s="27">
        <v>0</v>
      </c>
      <c r="F261" s="27">
        <v>0</v>
      </c>
      <c r="G261" s="27">
        <f t="shared" si="16"/>
        <v>0</v>
      </c>
      <c r="H261" s="28">
        <f t="shared" si="17"/>
        <v>0</v>
      </c>
      <c r="I261" s="28">
        <f t="shared" si="18"/>
        <v>0</v>
      </c>
      <c r="J261" s="28">
        <f t="shared" si="19"/>
        <v>0</v>
      </c>
      <c r="K261" s="29"/>
    </row>
    <row r="262" spans="1:11" ht="46.8">
      <c r="A262" s="26" t="s">
        <v>272</v>
      </c>
      <c r="B262" s="95" t="s">
        <v>615</v>
      </c>
      <c r="C262" s="108" t="s">
        <v>312</v>
      </c>
      <c r="D262" s="111">
        <v>1077.75</v>
      </c>
      <c r="E262" s="27">
        <v>0</v>
      </c>
      <c r="F262" s="27">
        <v>0</v>
      </c>
      <c r="G262" s="27">
        <f t="shared" si="16"/>
        <v>0</v>
      </c>
      <c r="H262" s="28">
        <f t="shared" si="17"/>
        <v>0</v>
      </c>
      <c r="I262" s="28">
        <f t="shared" si="18"/>
        <v>0</v>
      </c>
      <c r="J262" s="28">
        <f t="shared" si="19"/>
        <v>0</v>
      </c>
      <c r="K262" s="29"/>
    </row>
    <row r="263" spans="1:11" ht="46.8">
      <c r="A263" s="26" t="s">
        <v>273</v>
      </c>
      <c r="B263" s="95" t="s">
        <v>616</v>
      </c>
      <c r="C263" s="108" t="s">
        <v>312</v>
      </c>
      <c r="D263" s="111">
        <v>324.87</v>
      </c>
      <c r="E263" s="27">
        <v>0</v>
      </c>
      <c r="F263" s="27">
        <v>0</v>
      </c>
      <c r="G263" s="27">
        <f t="shared" si="16"/>
        <v>0</v>
      </c>
      <c r="H263" s="28">
        <f t="shared" si="17"/>
        <v>0</v>
      </c>
      <c r="I263" s="28">
        <f t="shared" si="18"/>
        <v>0</v>
      </c>
      <c r="J263" s="28">
        <f t="shared" si="19"/>
        <v>0</v>
      </c>
      <c r="K263" s="29"/>
    </row>
    <row r="264" spans="1:11" ht="46.8">
      <c r="A264" s="26" t="s">
        <v>274</v>
      </c>
      <c r="B264" s="95" t="s">
        <v>617</v>
      </c>
      <c r="C264" s="108" t="s">
        <v>312</v>
      </c>
      <c r="D264" s="111">
        <v>23.77</v>
      </c>
      <c r="E264" s="27">
        <v>0</v>
      </c>
      <c r="F264" s="27">
        <v>0</v>
      </c>
      <c r="G264" s="27">
        <f t="shared" si="16"/>
        <v>0</v>
      </c>
      <c r="H264" s="28">
        <f t="shared" si="17"/>
        <v>0</v>
      </c>
      <c r="I264" s="28">
        <f t="shared" si="18"/>
        <v>0</v>
      </c>
      <c r="J264" s="28">
        <f t="shared" si="19"/>
        <v>0</v>
      </c>
      <c r="K264" s="29"/>
    </row>
    <row r="265" spans="1:11" ht="46.8">
      <c r="A265" s="26" t="s">
        <v>275</v>
      </c>
      <c r="B265" s="95" t="s">
        <v>618</v>
      </c>
      <c r="C265" s="108" t="s">
        <v>312</v>
      </c>
      <c r="D265" s="111">
        <v>1137.55</v>
      </c>
      <c r="E265" s="27">
        <v>0</v>
      </c>
      <c r="F265" s="27">
        <v>0</v>
      </c>
      <c r="G265" s="27">
        <f t="shared" si="16"/>
        <v>0</v>
      </c>
      <c r="H265" s="28">
        <f t="shared" si="17"/>
        <v>0</v>
      </c>
      <c r="I265" s="28">
        <f t="shared" si="18"/>
        <v>0</v>
      </c>
      <c r="J265" s="28">
        <f t="shared" si="19"/>
        <v>0</v>
      </c>
      <c r="K265" s="29"/>
    </row>
    <row r="266" spans="1:11" ht="46.8">
      <c r="A266" s="26" t="s">
        <v>276</v>
      </c>
      <c r="B266" s="95" t="s">
        <v>619</v>
      </c>
      <c r="C266" s="108" t="s">
        <v>312</v>
      </c>
      <c r="D266" s="111">
        <v>347.77</v>
      </c>
      <c r="E266" s="27">
        <v>0</v>
      </c>
      <c r="F266" s="27">
        <v>0</v>
      </c>
      <c r="G266" s="27">
        <f t="shared" si="16"/>
        <v>0</v>
      </c>
      <c r="H266" s="28">
        <f t="shared" si="17"/>
        <v>0</v>
      </c>
      <c r="I266" s="28">
        <f t="shared" si="18"/>
        <v>0</v>
      </c>
      <c r="J266" s="28">
        <f t="shared" si="19"/>
        <v>0</v>
      </c>
      <c r="K266" s="29"/>
    </row>
    <row r="267" spans="1:11" ht="46.8">
      <c r="A267" s="26" t="s">
        <v>277</v>
      </c>
      <c r="B267" s="95" t="s">
        <v>620</v>
      </c>
      <c r="C267" s="108" t="s">
        <v>312</v>
      </c>
      <c r="D267" s="111">
        <v>24.83</v>
      </c>
      <c r="E267" s="27">
        <v>0</v>
      </c>
      <c r="F267" s="27">
        <v>0</v>
      </c>
      <c r="G267" s="27">
        <f t="shared" si="16"/>
        <v>0</v>
      </c>
      <c r="H267" s="28">
        <f t="shared" si="17"/>
        <v>0</v>
      </c>
      <c r="I267" s="28">
        <f t="shared" si="18"/>
        <v>0</v>
      </c>
      <c r="J267" s="28">
        <f t="shared" si="19"/>
        <v>0</v>
      </c>
      <c r="K267" s="29"/>
    </row>
    <row r="268" spans="1:11" ht="31.2">
      <c r="A268" s="26" t="s">
        <v>278</v>
      </c>
      <c r="B268" s="95" t="s">
        <v>621</v>
      </c>
      <c r="C268" s="108" t="s">
        <v>312</v>
      </c>
      <c r="D268" s="111">
        <v>30.76</v>
      </c>
      <c r="E268" s="27">
        <v>0</v>
      </c>
      <c r="F268" s="27">
        <v>0</v>
      </c>
      <c r="G268" s="27">
        <f t="shared" si="16"/>
        <v>0</v>
      </c>
      <c r="H268" s="28">
        <f t="shared" si="17"/>
        <v>0</v>
      </c>
      <c r="I268" s="28">
        <f t="shared" si="18"/>
        <v>0</v>
      </c>
      <c r="J268" s="28">
        <f t="shared" si="19"/>
        <v>0</v>
      </c>
      <c r="K268" s="29"/>
    </row>
    <row r="269" spans="1:11" ht="31.2">
      <c r="A269" s="26" t="s">
        <v>279</v>
      </c>
      <c r="B269" s="95" t="s">
        <v>622</v>
      </c>
      <c r="C269" s="108" t="s">
        <v>312</v>
      </c>
      <c r="D269" s="111">
        <v>21.95</v>
      </c>
      <c r="E269" s="27">
        <v>0</v>
      </c>
      <c r="F269" s="27">
        <v>0</v>
      </c>
      <c r="G269" s="27">
        <f t="shared" si="16"/>
        <v>0</v>
      </c>
      <c r="H269" s="28">
        <f t="shared" si="17"/>
        <v>0</v>
      </c>
      <c r="I269" s="28">
        <f t="shared" si="18"/>
        <v>0</v>
      </c>
      <c r="J269" s="28">
        <f t="shared" si="19"/>
        <v>0</v>
      </c>
      <c r="K269" s="29"/>
    </row>
    <row r="270" spans="1:11" ht="31.2">
      <c r="A270" s="26" t="s">
        <v>280</v>
      </c>
      <c r="B270" s="95" t="s">
        <v>623</v>
      </c>
      <c r="C270" s="108" t="s">
        <v>312</v>
      </c>
      <c r="D270" s="111">
        <v>73.8</v>
      </c>
      <c r="E270" s="27">
        <v>0</v>
      </c>
      <c r="F270" s="27">
        <v>0</v>
      </c>
      <c r="G270" s="27">
        <f t="shared" si="16"/>
        <v>0</v>
      </c>
      <c r="H270" s="28">
        <f t="shared" si="17"/>
        <v>0</v>
      </c>
      <c r="I270" s="28">
        <f t="shared" si="18"/>
        <v>0</v>
      </c>
      <c r="J270" s="28">
        <f t="shared" si="19"/>
        <v>0</v>
      </c>
      <c r="K270" s="29"/>
    </row>
    <row r="271" spans="1:11" ht="31.2">
      <c r="A271" s="26" t="s">
        <v>281</v>
      </c>
      <c r="B271" s="95" t="s">
        <v>624</v>
      </c>
      <c r="C271" s="108" t="s">
        <v>312</v>
      </c>
      <c r="D271" s="111">
        <v>91.62</v>
      </c>
      <c r="E271" s="27">
        <v>0</v>
      </c>
      <c r="F271" s="27">
        <v>0</v>
      </c>
      <c r="G271" s="27">
        <f t="shared" si="16"/>
        <v>0</v>
      </c>
      <c r="H271" s="28">
        <f t="shared" si="17"/>
        <v>0</v>
      </c>
      <c r="I271" s="28">
        <f t="shared" si="18"/>
        <v>0</v>
      </c>
      <c r="J271" s="28">
        <f t="shared" si="19"/>
        <v>0</v>
      </c>
      <c r="K271" s="29"/>
    </row>
    <row r="272" spans="1:11" ht="31.2">
      <c r="A272" s="26" t="s">
        <v>282</v>
      </c>
      <c r="B272" s="95" t="s">
        <v>625</v>
      </c>
      <c r="C272" s="108" t="s">
        <v>312</v>
      </c>
      <c r="D272" s="111">
        <v>139.04</v>
      </c>
      <c r="E272" s="27">
        <v>0</v>
      </c>
      <c r="F272" s="27">
        <v>0</v>
      </c>
      <c r="G272" s="27">
        <f t="shared" si="16"/>
        <v>0</v>
      </c>
      <c r="H272" s="28">
        <f t="shared" si="17"/>
        <v>0</v>
      </c>
      <c r="I272" s="28">
        <f t="shared" si="18"/>
        <v>0</v>
      </c>
      <c r="J272" s="28">
        <f t="shared" si="19"/>
        <v>0</v>
      </c>
      <c r="K272" s="29"/>
    </row>
    <row r="273" spans="1:11" ht="31.2">
      <c r="A273" s="26" t="s">
        <v>283</v>
      </c>
      <c r="B273" s="95" t="s">
        <v>626</v>
      </c>
      <c r="C273" s="108" t="s">
        <v>312</v>
      </c>
      <c r="D273" s="111">
        <v>329.47</v>
      </c>
      <c r="E273" s="27">
        <v>0</v>
      </c>
      <c r="F273" s="27">
        <v>0</v>
      </c>
      <c r="G273" s="27">
        <f t="shared" si="16"/>
        <v>0</v>
      </c>
      <c r="H273" s="28">
        <f t="shared" si="17"/>
        <v>0</v>
      </c>
      <c r="I273" s="28">
        <f t="shared" si="18"/>
        <v>0</v>
      </c>
      <c r="J273" s="28">
        <f t="shared" si="19"/>
        <v>0</v>
      </c>
      <c r="K273" s="29"/>
    </row>
    <row r="274" spans="1:11" ht="62.4">
      <c r="A274" s="26" t="s">
        <v>284</v>
      </c>
      <c r="B274" s="95" t="s">
        <v>627</v>
      </c>
      <c r="C274" s="108" t="s">
        <v>313</v>
      </c>
      <c r="D274" s="111">
        <v>2</v>
      </c>
      <c r="E274" s="27">
        <v>0</v>
      </c>
      <c r="F274" s="27">
        <v>0</v>
      </c>
      <c r="G274" s="27">
        <f t="shared" si="16"/>
        <v>0</v>
      </c>
      <c r="H274" s="28">
        <f t="shared" si="17"/>
        <v>0</v>
      </c>
      <c r="I274" s="28">
        <f t="shared" si="18"/>
        <v>0</v>
      </c>
      <c r="J274" s="28">
        <f t="shared" si="19"/>
        <v>0</v>
      </c>
      <c r="K274" s="29"/>
    </row>
    <row r="275" spans="1:11" ht="62.4">
      <c r="A275" s="26" t="s">
        <v>285</v>
      </c>
      <c r="B275" s="95" t="s">
        <v>628</v>
      </c>
      <c r="C275" s="108" t="s">
        <v>313</v>
      </c>
      <c r="D275" s="111">
        <v>2</v>
      </c>
      <c r="E275" s="27">
        <v>0</v>
      </c>
      <c r="F275" s="27">
        <v>0</v>
      </c>
      <c r="G275" s="27">
        <f t="shared" si="16"/>
        <v>0</v>
      </c>
      <c r="H275" s="28">
        <f t="shared" si="17"/>
        <v>0</v>
      </c>
      <c r="I275" s="28">
        <f t="shared" si="18"/>
        <v>0</v>
      </c>
      <c r="J275" s="28">
        <f t="shared" si="19"/>
        <v>0</v>
      </c>
      <c r="K275" s="29"/>
    </row>
    <row r="276" spans="1:11" ht="62.4">
      <c r="A276" s="26" t="s">
        <v>286</v>
      </c>
      <c r="B276" s="95" t="s">
        <v>629</v>
      </c>
      <c r="C276" s="108" t="s">
        <v>313</v>
      </c>
      <c r="D276" s="111">
        <v>1</v>
      </c>
      <c r="E276" s="27">
        <v>0</v>
      </c>
      <c r="F276" s="27">
        <v>0</v>
      </c>
      <c r="G276" s="27">
        <f t="shared" si="16"/>
        <v>0</v>
      </c>
      <c r="H276" s="28">
        <f t="shared" si="17"/>
        <v>0</v>
      </c>
      <c r="I276" s="28">
        <f t="shared" si="18"/>
        <v>0</v>
      </c>
      <c r="J276" s="28">
        <f t="shared" si="19"/>
        <v>0</v>
      </c>
      <c r="K276" s="29"/>
    </row>
    <row r="277" spans="1:11" ht="62.4">
      <c r="A277" s="26" t="s">
        <v>287</v>
      </c>
      <c r="B277" s="95" t="s">
        <v>630</v>
      </c>
      <c r="C277" s="108" t="s">
        <v>313</v>
      </c>
      <c r="D277" s="111">
        <v>4</v>
      </c>
      <c r="E277" s="27">
        <v>0</v>
      </c>
      <c r="F277" s="27">
        <v>0</v>
      </c>
      <c r="G277" s="27">
        <f t="shared" si="16"/>
        <v>0</v>
      </c>
      <c r="H277" s="28">
        <f t="shared" si="17"/>
        <v>0</v>
      </c>
      <c r="I277" s="28">
        <f t="shared" si="18"/>
        <v>0</v>
      </c>
      <c r="J277" s="28">
        <f t="shared" si="19"/>
        <v>0</v>
      </c>
      <c r="K277" s="29"/>
    </row>
    <row r="278" spans="1:11" ht="62.4">
      <c r="A278" s="26" t="s">
        <v>288</v>
      </c>
      <c r="B278" s="95" t="s">
        <v>631</v>
      </c>
      <c r="C278" s="108" t="s">
        <v>313</v>
      </c>
      <c r="D278" s="111">
        <v>1</v>
      </c>
      <c r="E278" s="27">
        <v>0</v>
      </c>
      <c r="F278" s="27">
        <v>0</v>
      </c>
      <c r="G278" s="27">
        <f t="shared" si="16"/>
        <v>0</v>
      </c>
      <c r="H278" s="28">
        <f t="shared" si="17"/>
        <v>0</v>
      </c>
      <c r="I278" s="28">
        <f t="shared" si="18"/>
        <v>0</v>
      </c>
      <c r="J278" s="28">
        <f t="shared" si="19"/>
        <v>0</v>
      </c>
      <c r="K278" s="29"/>
    </row>
    <row r="279" spans="1:11" ht="62.4">
      <c r="A279" s="26" t="s">
        <v>289</v>
      </c>
      <c r="B279" s="95" t="s">
        <v>632</v>
      </c>
      <c r="C279" s="108" t="s">
        <v>313</v>
      </c>
      <c r="D279" s="111">
        <v>2</v>
      </c>
      <c r="E279" s="27">
        <v>0</v>
      </c>
      <c r="F279" s="27">
        <v>0</v>
      </c>
      <c r="G279" s="27">
        <f t="shared" si="16"/>
        <v>0</v>
      </c>
      <c r="H279" s="28">
        <f t="shared" si="17"/>
        <v>0</v>
      </c>
      <c r="I279" s="28">
        <f t="shared" si="18"/>
        <v>0</v>
      </c>
      <c r="J279" s="28">
        <f t="shared" si="19"/>
        <v>0</v>
      </c>
      <c r="K279" s="29"/>
    </row>
    <row r="280" spans="1:11" ht="31.2">
      <c r="A280" s="26" t="s">
        <v>290</v>
      </c>
      <c r="B280" s="95" t="s">
        <v>633</v>
      </c>
      <c r="C280" s="108" t="s">
        <v>313</v>
      </c>
      <c r="D280" s="111">
        <v>3</v>
      </c>
      <c r="E280" s="27">
        <v>0</v>
      </c>
      <c r="F280" s="27">
        <v>0</v>
      </c>
      <c r="G280" s="27">
        <f t="shared" si="16"/>
        <v>0</v>
      </c>
      <c r="H280" s="28">
        <f t="shared" si="17"/>
        <v>0</v>
      </c>
      <c r="I280" s="28">
        <f t="shared" si="18"/>
        <v>0</v>
      </c>
      <c r="J280" s="28">
        <f t="shared" si="19"/>
        <v>0</v>
      </c>
      <c r="K280" s="29"/>
    </row>
    <row r="281" spans="1:11" ht="31.2">
      <c r="A281" s="26" t="s">
        <v>291</v>
      </c>
      <c r="B281" s="95" t="s">
        <v>634</v>
      </c>
      <c r="C281" s="108" t="s">
        <v>313</v>
      </c>
      <c r="D281" s="111">
        <v>1</v>
      </c>
      <c r="E281" s="27">
        <v>0</v>
      </c>
      <c r="F281" s="27">
        <v>0</v>
      </c>
      <c r="G281" s="27">
        <f t="shared" si="16"/>
        <v>0</v>
      </c>
      <c r="H281" s="28">
        <f t="shared" si="17"/>
        <v>0</v>
      </c>
      <c r="I281" s="28">
        <f t="shared" si="18"/>
        <v>0</v>
      </c>
      <c r="J281" s="28">
        <f t="shared" si="19"/>
        <v>0</v>
      </c>
      <c r="K281" s="29"/>
    </row>
    <row r="282" spans="1:11" ht="31.2">
      <c r="A282" s="26" t="s">
        <v>292</v>
      </c>
      <c r="B282" s="95" t="s">
        <v>635</v>
      </c>
      <c r="C282" s="108" t="s">
        <v>313</v>
      </c>
      <c r="D282" s="111">
        <v>1</v>
      </c>
      <c r="E282" s="27">
        <v>0</v>
      </c>
      <c r="F282" s="27">
        <v>0</v>
      </c>
      <c r="G282" s="27">
        <f t="shared" si="16"/>
        <v>0</v>
      </c>
      <c r="H282" s="28">
        <f t="shared" si="17"/>
        <v>0</v>
      </c>
      <c r="I282" s="28">
        <f t="shared" si="18"/>
        <v>0</v>
      </c>
      <c r="J282" s="28">
        <f t="shared" si="19"/>
        <v>0</v>
      </c>
      <c r="K282" s="29"/>
    </row>
    <row r="283" spans="1:11" ht="31.2">
      <c r="A283" s="26" t="s">
        <v>293</v>
      </c>
      <c r="B283" s="95" t="s">
        <v>636</v>
      </c>
      <c r="C283" s="108" t="s">
        <v>313</v>
      </c>
      <c r="D283" s="111">
        <v>1</v>
      </c>
      <c r="E283" s="27">
        <v>0</v>
      </c>
      <c r="F283" s="27">
        <v>0</v>
      </c>
      <c r="G283" s="27">
        <f t="shared" si="16"/>
        <v>0</v>
      </c>
      <c r="H283" s="28">
        <f t="shared" si="17"/>
        <v>0</v>
      </c>
      <c r="I283" s="28">
        <f t="shared" si="18"/>
        <v>0</v>
      </c>
      <c r="J283" s="28">
        <f t="shared" si="19"/>
        <v>0</v>
      </c>
      <c r="K283" s="29"/>
    </row>
    <row r="284" spans="1:11" ht="46.8">
      <c r="A284" s="26" t="s">
        <v>294</v>
      </c>
      <c r="B284" s="95" t="s">
        <v>637</v>
      </c>
      <c r="C284" s="108" t="s">
        <v>313</v>
      </c>
      <c r="D284" s="111">
        <v>3</v>
      </c>
      <c r="E284" s="27">
        <v>0</v>
      </c>
      <c r="F284" s="27">
        <v>0</v>
      </c>
      <c r="G284" s="27">
        <f t="shared" si="16"/>
        <v>0</v>
      </c>
      <c r="H284" s="28">
        <f t="shared" si="17"/>
        <v>0</v>
      </c>
      <c r="I284" s="28">
        <f t="shared" si="18"/>
        <v>0</v>
      </c>
      <c r="J284" s="28">
        <f t="shared" si="19"/>
        <v>0</v>
      </c>
      <c r="K284" s="29"/>
    </row>
    <row r="285" spans="1:11" ht="46.8">
      <c r="A285" s="26" t="s">
        <v>295</v>
      </c>
      <c r="B285" s="95" t="s">
        <v>638</v>
      </c>
      <c r="C285" s="108" t="s">
        <v>313</v>
      </c>
      <c r="D285" s="111">
        <v>3</v>
      </c>
      <c r="E285" s="27">
        <v>0</v>
      </c>
      <c r="F285" s="27">
        <v>0</v>
      </c>
      <c r="G285" s="27">
        <f t="shared" si="16"/>
        <v>0</v>
      </c>
      <c r="H285" s="28">
        <f t="shared" si="17"/>
        <v>0</v>
      </c>
      <c r="I285" s="28">
        <f t="shared" si="18"/>
        <v>0</v>
      </c>
      <c r="J285" s="28">
        <f t="shared" si="19"/>
        <v>0</v>
      </c>
      <c r="K285" s="29"/>
    </row>
    <row r="286" spans="1:11" ht="46.8">
      <c r="A286" s="26" t="s">
        <v>296</v>
      </c>
      <c r="B286" s="95" t="s">
        <v>639</v>
      </c>
      <c r="C286" s="108" t="s">
        <v>313</v>
      </c>
      <c r="D286" s="111">
        <v>7</v>
      </c>
      <c r="E286" s="27">
        <v>0</v>
      </c>
      <c r="F286" s="27">
        <v>0</v>
      </c>
      <c r="G286" s="27">
        <f t="shared" si="16"/>
        <v>0</v>
      </c>
      <c r="H286" s="28">
        <f t="shared" si="17"/>
        <v>0</v>
      </c>
      <c r="I286" s="28">
        <f t="shared" si="18"/>
        <v>0</v>
      </c>
      <c r="J286" s="28">
        <f t="shared" si="19"/>
        <v>0</v>
      </c>
      <c r="K286" s="29"/>
    </row>
    <row r="287" spans="1:11" ht="46.8">
      <c r="A287" s="26" t="s">
        <v>297</v>
      </c>
      <c r="B287" s="95" t="s">
        <v>640</v>
      </c>
      <c r="C287" s="108" t="s">
        <v>313</v>
      </c>
      <c r="D287" s="111">
        <v>6</v>
      </c>
      <c r="E287" s="27">
        <v>0</v>
      </c>
      <c r="F287" s="27">
        <v>0</v>
      </c>
      <c r="G287" s="27">
        <f t="shared" si="16"/>
        <v>0</v>
      </c>
      <c r="H287" s="28">
        <f t="shared" si="17"/>
        <v>0</v>
      </c>
      <c r="I287" s="28">
        <f t="shared" si="18"/>
        <v>0</v>
      </c>
      <c r="J287" s="28">
        <f t="shared" si="19"/>
        <v>0</v>
      </c>
      <c r="K287" s="29"/>
    </row>
    <row r="288" spans="1:11" ht="46.8">
      <c r="A288" s="26" t="s">
        <v>298</v>
      </c>
      <c r="B288" s="95" t="s">
        <v>641</v>
      </c>
      <c r="C288" s="108" t="s">
        <v>313</v>
      </c>
      <c r="D288" s="111">
        <v>5</v>
      </c>
      <c r="E288" s="27">
        <v>0</v>
      </c>
      <c r="F288" s="27">
        <v>0</v>
      </c>
      <c r="G288" s="27">
        <f t="shared" si="16"/>
        <v>0</v>
      </c>
      <c r="H288" s="28">
        <f t="shared" si="17"/>
        <v>0</v>
      </c>
      <c r="I288" s="28">
        <f t="shared" si="18"/>
        <v>0</v>
      </c>
      <c r="J288" s="28">
        <f t="shared" si="19"/>
        <v>0</v>
      </c>
      <c r="K288" s="29"/>
    </row>
    <row r="289" spans="1:11" ht="46.8">
      <c r="A289" s="26" t="s">
        <v>299</v>
      </c>
      <c r="B289" s="95" t="s">
        <v>642</v>
      </c>
      <c r="C289" s="108" t="s">
        <v>313</v>
      </c>
      <c r="D289" s="111">
        <v>2</v>
      </c>
      <c r="E289" s="27">
        <v>0</v>
      </c>
      <c r="F289" s="27">
        <v>0</v>
      </c>
      <c r="G289" s="27">
        <f t="shared" si="16"/>
        <v>0</v>
      </c>
      <c r="H289" s="28">
        <f t="shared" si="17"/>
        <v>0</v>
      </c>
      <c r="I289" s="28">
        <f t="shared" si="18"/>
        <v>0</v>
      </c>
      <c r="J289" s="28">
        <f t="shared" si="19"/>
        <v>0</v>
      </c>
      <c r="K289" s="29"/>
    </row>
    <row r="290" spans="1:11" ht="46.8">
      <c r="A290" s="26" t="s">
        <v>300</v>
      </c>
      <c r="B290" s="95" t="s">
        <v>643</v>
      </c>
      <c r="C290" s="108" t="s">
        <v>313</v>
      </c>
      <c r="D290" s="111">
        <v>1</v>
      </c>
      <c r="E290" s="27">
        <v>0</v>
      </c>
      <c r="F290" s="27">
        <v>0</v>
      </c>
      <c r="G290" s="27">
        <f t="shared" si="16"/>
        <v>0</v>
      </c>
      <c r="H290" s="28">
        <f t="shared" si="17"/>
        <v>0</v>
      </c>
      <c r="I290" s="28">
        <f t="shared" si="18"/>
        <v>0</v>
      </c>
      <c r="J290" s="28">
        <f t="shared" si="19"/>
        <v>0</v>
      </c>
      <c r="K290" s="29"/>
    </row>
    <row r="291" spans="1:11" ht="46.8">
      <c r="A291" s="26" t="s">
        <v>301</v>
      </c>
      <c r="B291" s="95" t="s">
        <v>644</v>
      </c>
      <c r="C291" s="108" t="s">
        <v>313</v>
      </c>
      <c r="D291" s="111">
        <v>2</v>
      </c>
      <c r="E291" s="27">
        <v>0</v>
      </c>
      <c r="F291" s="27">
        <v>0</v>
      </c>
      <c r="G291" s="27">
        <f t="shared" si="16"/>
        <v>0</v>
      </c>
      <c r="H291" s="28">
        <f t="shared" si="17"/>
        <v>0</v>
      </c>
      <c r="I291" s="28">
        <f t="shared" si="18"/>
        <v>0</v>
      </c>
      <c r="J291" s="28">
        <f t="shared" si="19"/>
        <v>0</v>
      </c>
      <c r="K291" s="29"/>
    </row>
    <row r="292" spans="1:11" ht="46.8">
      <c r="A292" s="26" t="s">
        <v>302</v>
      </c>
      <c r="B292" s="95" t="s">
        <v>645</v>
      </c>
      <c r="C292" s="108" t="s">
        <v>313</v>
      </c>
      <c r="D292" s="111">
        <v>2</v>
      </c>
      <c r="E292" s="27">
        <v>0</v>
      </c>
      <c r="F292" s="27">
        <v>0</v>
      </c>
      <c r="G292" s="27">
        <f t="shared" si="16"/>
        <v>0</v>
      </c>
      <c r="H292" s="28">
        <f t="shared" si="17"/>
        <v>0</v>
      </c>
      <c r="I292" s="28">
        <f t="shared" si="18"/>
        <v>0</v>
      </c>
      <c r="J292" s="28">
        <f t="shared" si="19"/>
        <v>0</v>
      </c>
      <c r="K292" s="29"/>
    </row>
    <row r="293" spans="1:11" ht="46.8">
      <c r="A293" s="26" t="s">
        <v>303</v>
      </c>
      <c r="B293" s="95" t="s">
        <v>646</v>
      </c>
      <c r="C293" s="108" t="s">
        <v>313</v>
      </c>
      <c r="D293" s="111">
        <v>2</v>
      </c>
      <c r="E293" s="27">
        <v>0</v>
      </c>
      <c r="F293" s="27">
        <v>0</v>
      </c>
      <c r="G293" s="27">
        <f t="shared" si="16"/>
        <v>0</v>
      </c>
      <c r="H293" s="28">
        <f t="shared" si="17"/>
        <v>0</v>
      </c>
      <c r="I293" s="28">
        <f t="shared" si="18"/>
        <v>0</v>
      </c>
      <c r="J293" s="28">
        <f t="shared" si="19"/>
        <v>0</v>
      </c>
      <c r="K293" s="29"/>
    </row>
    <row r="294" spans="1:11" ht="46.8">
      <c r="A294" s="26" t="s">
        <v>304</v>
      </c>
      <c r="B294" s="95" t="s">
        <v>647</v>
      </c>
      <c r="C294" s="108" t="s">
        <v>313</v>
      </c>
      <c r="D294" s="111">
        <v>4</v>
      </c>
      <c r="E294" s="27">
        <v>0</v>
      </c>
      <c r="F294" s="27">
        <v>0</v>
      </c>
      <c r="G294" s="27">
        <f t="shared" ref="G294:G353" si="20">E294+F294</f>
        <v>0</v>
      </c>
      <c r="H294" s="28">
        <f t="shared" ref="H294:H353" si="21">D294*E294</f>
        <v>0</v>
      </c>
      <c r="I294" s="28">
        <f t="shared" ref="I294:I353" si="22">D294*F294</f>
        <v>0</v>
      </c>
      <c r="J294" s="28">
        <f t="shared" ref="J294:J353" si="23">H294+I294</f>
        <v>0</v>
      </c>
      <c r="K294" s="29"/>
    </row>
    <row r="295" spans="1:11" ht="46.8">
      <c r="A295" s="26" t="s">
        <v>305</v>
      </c>
      <c r="B295" s="95" t="s">
        <v>648</v>
      </c>
      <c r="C295" s="108" t="s">
        <v>313</v>
      </c>
      <c r="D295" s="111">
        <v>2</v>
      </c>
      <c r="E295" s="27">
        <v>0</v>
      </c>
      <c r="F295" s="27">
        <v>0</v>
      </c>
      <c r="G295" s="27">
        <f t="shared" si="20"/>
        <v>0</v>
      </c>
      <c r="H295" s="28">
        <f t="shared" si="21"/>
        <v>0</v>
      </c>
      <c r="I295" s="28">
        <f t="shared" si="22"/>
        <v>0</v>
      </c>
      <c r="J295" s="28">
        <f t="shared" si="23"/>
        <v>0</v>
      </c>
      <c r="K295" s="29"/>
    </row>
    <row r="296" spans="1:11" ht="46.8">
      <c r="A296" s="26" t="s">
        <v>306</v>
      </c>
      <c r="B296" s="95" t="s">
        <v>649</v>
      </c>
      <c r="C296" s="108" t="s">
        <v>313</v>
      </c>
      <c r="D296" s="111">
        <v>2</v>
      </c>
      <c r="E296" s="27">
        <v>0</v>
      </c>
      <c r="F296" s="27">
        <v>0</v>
      </c>
      <c r="G296" s="27">
        <f t="shared" si="20"/>
        <v>0</v>
      </c>
      <c r="H296" s="28">
        <f t="shared" si="21"/>
        <v>0</v>
      </c>
      <c r="I296" s="28">
        <f t="shared" si="22"/>
        <v>0</v>
      </c>
      <c r="J296" s="28">
        <f t="shared" si="23"/>
        <v>0</v>
      </c>
      <c r="K296" s="29"/>
    </row>
    <row r="297" spans="1:11" ht="31.2">
      <c r="A297" s="26" t="s">
        <v>307</v>
      </c>
      <c r="B297" s="95" t="s">
        <v>650</v>
      </c>
      <c r="C297" s="108" t="s">
        <v>313</v>
      </c>
      <c r="D297" s="111">
        <v>3</v>
      </c>
      <c r="E297" s="27">
        <v>0</v>
      </c>
      <c r="F297" s="27">
        <v>0</v>
      </c>
      <c r="G297" s="27">
        <f t="shared" si="20"/>
        <v>0</v>
      </c>
      <c r="H297" s="28">
        <f t="shared" si="21"/>
        <v>0</v>
      </c>
      <c r="I297" s="28">
        <f t="shared" si="22"/>
        <v>0</v>
      </c>
      <c r="J297" s="28">
        <f t="shared" si="23"/>
        <v>0</v>
      </c>
      <c r="K297" s="29"/>
    </row>
    <row r="298" spans="1:11" ht="31.2">
      <c r="A298" s="26" t="s">
        <v>308</v>
      </c>
      <c r="B298" s="95" t="s">
        <v>651</v>
      </c>
      <c r="C298" s="108" t="s">
        <v>313</v>
      </c>
      <c r="D298" s="111">
        <v>2</v>
      </c>
      <c r="E298" s="27">
        <v>0</v>
      </c>
      <c r="F298" s="27">
        <v>0</v>
      </c>
      <c r="G298" s="27">
        <f t="shared" si="20"/>
        <v>0</v>
      </c>
      <c r="H298" s="28">
        <f t="shared" si="21"/>
        <v>0</v>
      </c>
      <c r="I298" s="28">
        <f t="shared" si="22"/>
        <v>0</v>
      </c>
      <c r="J298" s="28">
        <f t="shared" si="23"/>
        <v>0</v>
      </c>
      <c r="K298" s="29"/>
    </row>
    <row r="299" spans="1:11" ht="31.2">
      <c r="A299" s="26" t="s">
        <v>309</v>
      </c>
      <c r="B299" s="95" t="s">
        <v>652</v>
      </c>
      <c r="C299" s="108" t="s">
        <v>313</v>
      </c>
      <c r="D299" s="111">
        <v>1</v>
      </c>
      <c r="E299" s="27">
        <v>0</v>
      </c>
      <c r="F299" s="27">
        <v>0</v>
      </c>
      <c r="G299" s="27">
        <f t="shared" si="20"/>
        <v>0</v>
      </c>
      <c r="H299" s="28">
        <f t="shared" si="21"/>
        <v>0</v>
      </c>
      <c r="I299" s="28">
        <f t="shared" si="22"/>
        <v>0</v>
      </c>
      <c r="J299" s="28">
        <f t="shared" si="23"/>
        <v>0</v>
      </c>
      <c r="K299" s="29"/>
    </row>
    <row r="300" spans="1:11">
      <c r="A300" s="26" t="s">
        <v>322</v>
      </c>
      <c r="B300" s="95" t="s">
        <v>653</v>
      </c>
      <c r="C300" s="108" t="s">
        <v>313</v>
      </c>
      <c r="D300" s="111">
        <v>20</v>
      </c>
      <c r="E300" s="27">
        <v>0</v>
      </c>
      <c r="F300" s="27">
        <v>0</v>
      </c>
      <c r="G300" s="27">
        <f t="shared" si="20"/>
        <v>0</v>
      </c>
      <c r="H300" s="28">
        <f t="shared" si="21"/>
        <v>0</v>
      </c>
      <c r="I300" s="28">
        <f t="shared" si="22"/>
        <v>0</v>
      </c>
      <c r="J300" s="28">
        <f t="shared" si="23"/>
        <v>0</v>
      </c>
      <c r="K300" s="29"/>
    </row>
    <row r="301" spans="1:11" ht="46.8">
      <c r="A301" s="26" t="s">
        <v>323</v>
      </c>
      <c r="B301" s="95" t="s">
        <v>654</v>
      </c>
      <c r="C301" s="108" t="s">
        <v>313</v>
      </c>
      <c r="D301" s="111">
        <v>3</v>
      </c>
      <c r="E301" s="27">
        <v>0</v>
      </c>
      <c r="F301" s="27">
        <v>0</v>
      </c>
      <c r="G301" s="27">
        <f t="shared" si="20"/>
        <v>0</v>
      </c>
      <c r="H301" s="28">
        <f t="shared" si="21"/>
        <v>0</v>
      </c>
      <c r="I301" s="28">
        <f t="shared" si="22"/>
        <v>0</v>
      </c>
      <c r="J301" s="28">
        <f t="shared" si="23"/>
        <v>0</v>
      </c>
      <c r="K301" s="29"/>
    </row>
    <row r="302" spans="1:11" ht="46.8">
      <c r="A302" s="26" t="s">
        <v>324</v>
      </c>
      <c r="B302" s="95" t="s">
        <v>655</v>
      </c>
      <c r="C302" s="108" t="s">
        <v>313</v>
      </c>
      <c r="D302" s="111">
        <v>1</v>
      </c>
      <c r="E302" s="27">
        <v>0</v>
      </c>
      <c r="F302" s="27">
        <v>0</v>
      </c>
      <c r="G302" s="27">
        <f t="shared" si="20"/>
        <v>0</v>
      </c>
      <c r="H302" s="28">
        <f t="shared" si="21"/>
        <v>0</v>
      </c>
      <c r="I302" s="28">
        <f t="shared" si="22"/>
        <v>0</v>
      </c>
      <c r="J302" s="28">
        <f t="shared" si="23"/>
        <v>0</v>
      </c>
      <c r="K302" s="29"/>
    </row>
    <row r="303" spans="1:11" ht="31.2">
      <c r="A303" s="26" t="s">
        <v>325</v>
      </c>
      <c r="B303" s="95" t="s">
        <v>656</v>
      </c>
      <c r="C303" s="108" t="s">
        <v>313</v>
      </c>
      <c r="D303" s="111">
        <v>41</v>
      </c>
      <c r="E303" s="27">
        <v>0</v>
      </c>
      <c r="F303" s="27">
        <v>0</v>
      </c>
      <c r="G303" s="27">
        <f t="shared" si="20"/>
        <v>0</v>
      </c>
      <c r="H303" s="28">
        <f t="shared" si="21"/>
        <v>0</v>
      </c>
      <c r="I303" s="28">
        <f t="shared" si="22"/>
        <v>0</v>
      </c>
      <c r="J303" s="28">
        <f t="shared" si="23"/>
        <v>0</v>
      </c>
      <c r="K303" s="29"/>
    </row>
    <row r="304" spans="1:11" ht="31.2">
      <c r="A304" s="26" t="s">
        <v>326</v>
      </c>
      <c r="B304" s="95" t="s">
        <v>657</v>
      </c>
      <c r="C304" s="108" t="s">
        <v>313</v>
      </c>
      <c r="D304" s="111">
        <v>6</v>
      </c>
      <c r="E304" s="27">
        <v>0</v>
      </c>
      <c r="F304" s="27">
        <v>0</v>
      </c>
      <c r="G304" s="27">
        <f t="shared" si="20"/>
        <v>0</v>
      </c>
      <c r="H304" s="28">
        <f t="shared" si="21"/>
        <v>0</v>
      </c>
      <c r="I304" s="28">
        <f t="shared" si="22"/>
        <v>0</v>
      </c>
      <c r="J304" s="28">
        <f t="shared" si="23"/>
        <v>0</v>
      </c>
      <c r="K304" s="29"/>
    </row>
    <row r="305" spans="1:11" ht="31.2">
      <c r="A305" s="26" t="s">
        <v>327</v>
      </c>
      <c r="B305" s="95" t="s">
        <v>658</v>
      </c>
      <c r="C305" s="108" t="s">
        <v>313</v>
      </c>
      <c r="D305" s="111">
        <v>1</v>
      </c>
      <c r="E305" s="27">
        <v>0</v>
      </c>
      <c r="F305" s="27">
        <v>0</v>
      </c>
      <c r="G305" s="27">
        <f t="shared" si="20"/>
        <v>0</v>
      </c>
      <c r="H305" s="28">
        <f t="shared" si="21"/>
        <v>0</v>
      </c>
      <c r="I305" s="28">
        <f t="shared" si="22"/>
        <v>0</v>
      </c>
      <c r="J305" s="28">
        <f t="shared" si="23"/>
        <v>0</v>
      </c>
      <c r="K305" s="29"/>
    </row>
    <row r="306" spans="1:11" ht="31.2">
      <c r="A306" s="26" t="s">
        <v>328</v>
      </c>
      <c r="B306" s="95" t="s">
        <v>659</v>
      </c>
      <c r="C306" s="108" t="s">
        <v>313</v>
      </c>
      <c r="D306" s="111">
        <v>40</v>
      </c>
      <c r="E306" s="27">
        <v>0</v>
      </c>
      <c r="F306" s="27">
        <v>0</v>
      </c>
      <c r="G306" s="27">
        <f t="shared" si="20"/>
        <v>0</v>
      </c>
      <c r="H306" s="28">
        <f t="shared" si="21"/>
        <v>0</v>
      </c>
      <c r="I306" s="28">
        <f t="shared" si="22"/>
        <v>0</v>
      </c>
      <c r="J306" s="28">
        <f t="shared" si="23"/>
        <v>0</v>
      </c>
      <c r="K306" s="29"/>
    </row>
    <row r="307" spans="1:11" ht="31.2">
      <c r="A307" s="26" t="s">
        <v>329</v>
      </c>
      <c r="B307" s="95" t="s">
        <v>660</v>
      </c>
      <c r="C307" s="108" t="s">
        <v>313</v>
      </c>
      <c r="D307" s="111">
        <v>9</v>
      </c>
      <c r="E307" s="27">
        <v>0</v>
      </c>
      <c r="F307" s="27">
        <v>0</v>
      </c>
      <c r="G307" s="27">
        <f t="shared" si="20"/>
        <v>0</v>
      </c>
      <c r="H307" s="28">
        <f t="shared" si="21"/>
        <v>0</v>
      </c>
      <c r="I307" s="28">
        <f t="shared" si="22"/>
        <v>0</v>
      </c>
      <c r="J307" s="28">
        <f t="shared" si="23"/>
        <v>0</v>
      </c>
      <c r="K307" s="29"/>
    </row>
    <row r="308" spans="1:11" ht="31.2">
      <c r="A308" s="26" t="s">
        <v>330</v>
      </c>
      <c r="B308" s="95" t="s">
        <v>661</v>
      </c>
      <c r="C308" s="108" t="s">
        <v>313</v>
      </c>
      <c r="D308" s="111">
        <v>4</v>
      </c>
      <c r="E308" s="27">
        <v>0</v>
      </c>
      <c r="F308" s="27">
        <v>0</v>
      </c>
      <c r="G308" s="27">
        <f t="shared" si="20"/>
        <v>0</v>
      </c>
      <c r="H308" s="28">
        <f t="shared" si="21"/>
        <v>0</v>
      </c>
      <c r="I308" s="28">
        <f t="shared" si="22"/>
        <v>0</v>
      </c>
      <c r="J308" s="28">
        <f t="shared" si="23"/>
        <v>0</v>
      </c>
      <c r="K308" s="29"/>
    </row>
    <row r="309" spans="1:11" ht="31.2">
      <c r="A309" s="26" t="s">
        <v>331</v>
      </c>
      <c r="B309" s="95" t="s">
        <v>662</v>
      </c>
      <c r="C309" s="108" t="s">
        <v>313</v>
      </c>
      <c r="D309" s="111">
        <v>6</v>
      </c>
      <c r="E309" s="27">
        <v>0</v>
      </c>
      <c r="F309" s="27">
        <v>0</v>
      </c>
      <c r="G309" s="27">
        <f t="shared" si="20"/>
        <v>0</v>
      </c>
      <c r="H309" s="28">
        <f t="shared" si="21"/>
        <v>0</v>
      </c>
      <c r="I309" s="28">
        <f t="shared" si="22"/>
        <v>0</v>
      </c>
      <c r="J309" s="28">
        <f t="shared" si="23"/>
        <v>0</v>
      </c>
      <c r="K309" s="29"/>
    </row>
    <row r="310" spans="1:11" ht="46.8">
      <c r="A310" s="26" t="s">
        <v>332</v>
      </c>
      <c r="B310" s="95" t="s">
        <v>663</v>
      </c>
      <c r="C310" s="108" t="s">
        <v>313</v>
      </c>
      <c r="D310" s="111">
        <v>4</v>
      </c>
      <c r="E310" s="27">
        <v>0</v>
      </c>
      <c r="F310" s="27">
        <v>0</v>
      </c>
      <c r="G310" s="27">
        <f t="shared" si="20"/>
        <v>0</v>
      </c>
      <c r="H310" s="28">
        <f t="shared" si="21"/>
        <v>0</v>
      </c>
      <c r="I310" s="28">
        <f t="shared" si="22"/>
        <v>0</v>
      </c>
      <c r="J310" s="28">
        <f t="shared" si="23"/>
        <v>0</v>
      </c>
      <c r="K310" s="29"/>
    </row>
    <row r="311" spans="1:11">
      <c r="A311" s="26" t="s">
        <v>333</v>
      </c>
      <c r="B311" s="95" t="s">
        <v>664</v>
      </c>
      <c r="C311" s="108" t="s">
        <v>313</v>
      </c>
      <c r="D311" s="111">
        <v>47</v>
      </c>
      <c r="E311" s="27">
        <v>0</v>
      </c>
      <c r="F311" s="27">
        <v>0</v>
      </c>
      <c r="G311" s="27">
        <f t="shared" si="20"/>
        <v>0</v>
      </c>
      <c r="H311" s="28">
        <f t="shared" si="21"/>
        <v>0</v>
      </c>
      <c r="I311" s="28">
        <f t="shared" si="22"/>
        <v>0</v>
      </c>
      <c r="J311" s="28">
        <f t="shared" si="23"/>
        <v>0</v>
      </c>
      <c r="K311" s="29"/>
    </row>
    <row r="312" spans="1:11" ht="31.2">
      <c r="A312" s="26" t="s">
        <v>334</v>
      </c>
      <c r="B312" s="95" t="s">
        <v>665</v>
      </c>
      <c r="C312" s="108" t="s">
        <v>313</v>
      </c>
      <c r="D312" s="111">
        <v>6</v>
      </c>
      <c r="E312" s="27">
        <v>0</v>
      </c>
      <c r="F312" s="27">
        <v>0</v>
      </c>
      <c r="G312" s="27">
        <f t="shared" si="20"/>
        <v>0</v>
      </c>
      <c r="H312" s="28">
        <f t="shared" si="21"/>
        <v>0</v>
      </c>
      <c r="I312" s="28">
        <f t="shared" si="22"/>
        <v>0</v>
      </c>
      <c r="J312" s="28">
        <f t="shared" si="23"/>
        <v>0</v>
      </c>
      <c r="K312" s="29" t="s">
        <v>321</v>
      </c>
    </row>
    <row r="313" spans="1:11" ht="31.2">
      <c r="A313" s="26" t="s">
        <v>335</v>
      </c>
      <c r="B313" s="95" t="s">
        <v>666</v>
      </c>
      <c r="C313" s="108" t="s">
        <v>313</v>
      </c>
      <c r="D313" s="111">
        <v>2</v>
      </c>
      <c r="E313" s="27">
        <v>0</v>
      </c>
      <c r="F313" s="27">
        <v>0</v>
      </c>
      <c r="G313" s="27">
        <f t="shared" si="20"/>
        <v>0</v>
      </c>
      <c r="H313" s="28">
        <f t="shared" si="21"/>
        <v>0</v>
      </c>
      <c r="I313" s="28">
        <f t="shared" si="22"/>
        <v>0</v>
      </c>
      <c r="J313" s="28">
        <f t="shared" si="23"/>
        <v>0</v>
      </c>
      <c r="K313" s="29" t="s">
        <v>321</v>
      </c>
    </row>
    <row r="314" spans="1:11" ht="31.2">
      <c r="A314" s="26" t="s">
        <v>336</v>
      </c>
      <c r="B314" s="95" t="s">
        <v>667</v>
      </c>
      <c r="C314" s="108" t="s">
        <v>313</v>
      </c>
      <c r="D314" s="111">
        <v>4</v>
      </c>
      <c r="E314" s="27">
        <v>0</v>
      </c>
      <c r="F314" s="27">
        <v>0</v>
      </c>
      <c r="G314" s="27">
        <f t="shared" si="20"/>
        <v>0</v>
      </c>
      <c r="H314" s="28">
        <f t="shared" si="21"/>
        <v>0</v>
      </c>
      <c r="I314" s="28">
        <f t="shared" si="22"/>
        <v>0</v>
      </c>
      <c r="J314" s="28">
        <f t="shared" si="23"/>
        <v>0</v>
      </c>
      <c r="K314" s="29" t="s">
        <v>321</v>
      </c>
    </row>
    <row r="315" spans="1:11" ht="31.2">
      <c r="A315" s="26" t="s">
        <v>337</v>
      </c>
      <c r="B315" s="95" t="s">
        <v>668</v>
      </c>
      <c r="C315" s="108" t="s">
        <v>313</v>
      </c>
      <c r="D315" s="111">
        <v>4</v>
      </c>
      <c r="E315" s="27">
        <v>0</v>
      </c>
      <c r="F315" s="27">
        <v>0</v>
      </c>
      <c r="G315" s="27">
        <f t="shared" si="20"/>
        <v>0</v>
      </c>
      <c r="H315" s="28">
        <f t="shared" si="21"/>
        <v>0</v>
      </c>
      <c r="I315" s="28">
        <f t="shared" si="22"/>
        <v>0</v>
      </c>
      <c r="J315" s="28">
        <f t="shared" si="23"/>
        <v>0</v>
      </c>
      <c r="K315" s="29" t="s">
        <v>321</v>
      </c>
    </row>
    <row r="316" spans="1:11" ht="31.2">
      <c r="A316" s="26" t="s">
        <v>350</v>
      </c>
      <c r="B316" s="95" t="s">
        <v>669</v>
      </c>
      <c r="C316" s="108" t="s">
        <v>313</v>
      </c>
      <c r="D316" s="111">
        <v>6</v>
      </c>
      <c r="E316" s="27">
        <v>0</v>
      </c>
      <c r="F316" s="27">
        <v>0</v>
      </c>
      <c r="G316" s="27">
        <f t="shared" si="20"/>
        <v>0</v>
      </c>
      <c r="H316" s="28">
        <f t="shared" si="21"/>
        <v>0</v>
      </c>
      <c r="I316" s="28">
        <f t="shared" si="22"/>
        <v>0</v>
      </c>
      <c r="J316" s="28">
        <f t="shared" si="23"/>
        <v>0</v>
      </c>
      <c r="K316" s="29" t="s">
        <v>321</v>
      </c>
    </row>
    <row r="317" spans="1:11" ht="31.2">
      <c r="A317" s="26" t="s">
        <v>351</v>
      </c>
      <c r="B317" s="95" t="s">
        <v>670</v>
      </c>
      <c r="C317" s="108" t="s">
        <v>313</v>
      </c>
      <c r="D317" s="111">
        <v>2</v>
      </c>
      <c r="E317" s="27">
        <v>0</v>
      </c>
      <c r="F317" s="27">
        <v>0</v>
      </c>
      <c r="G317" s="27">
        <f t="shared" si="20"/>
        <v>0</v>
      </c>
      <c r="H317" s="28">
        <f t="shared" si="21"/>
        <v>0</v>
      </c>
      <c r="I317" s="28">
        <f t="shared" si="22"/>
        <v>0</v>
      </c>
      <c r="J317" s="28">
        <f t="shared" si="23"/>
        <v>0</v>
      </c>
      <c r="K317" s="29" t="s">
        <v>321</v>
      </c>
    </row>
    <row r="318" spans="1:11" ht="31.2">
      <c r="A318" s="26" t="s">
        <v>352</v>
      </c>
      <c r="B318" s="95" t="s">
        <v>671</v>
      </c>
      <c r="C318" s="108" t="s">
        <v>313</v>
      </c>
      <c r="D318" s="111">
        <v>2</v>
      </c>
      <c r="E318" s="27">
        <v>0</v>
      </c>
      <c r="F318" s="27">
        <v>0</v>
      </c>
      <c r="G318" s="27">
        <f t="shared" si="20"/>
        <v>0</v>
      </c>
      <c r="H318" s="28">
        <f t="shared" si="21"/>
        <v>0</v>
      </c>
      <c r="I318" s="28">
        <f t="shared" si="22"/>
        <v>0</v>
      </c>
      <c r="J318" s="28">
        <f t="shared" si="23"/>
        <v>0</v>
      </c>
      <c r="K318" s="29"/>
    </row>
    <row r="319" spans="1:11" ht="46.8">
      <c r="A319" s="26" t="s">
        <v>353</v>
      </c>
      <c r="B319" s="95" t="s">
        <v>672</v>
      </c>
      <c r="C319" s="108" t="s">
        <v>313</v>
      </c>
      <c r="D319" s="111">
        <v>39</v>
      </c>
      <c r="E319" s="27">
        <v>0</v>
      </c>
      <c r="F319" s="27">
        <v>0</v>
      </c>
      <c r="G319" s="27">
        <f t="shared" si="20"/>
        <v>0</v>
      </c>
      <c r="H319" s="28">
        <f t="shared" si="21"/>
        <v>0</v>
      </c>
      <c r="I319" s="28">
        <f t="shared" si="22"/>
        <v>0</v>
      </c>
      <c r="J319" s="28">
        <f t="shared" si="23"/>
        <v>0</v>
      </c>
      <c r="K319" s="29"/>
    </row>
    <row r="320" spans="1:11" ht="31.2">
      <c r="A320" s="26" t="s">
        <v>354</v>
      </c>
      <c r="B320" s="95" t="s">
        <v>673</v>
      </c>
      <c r="C320" s="108" t="s">
        <v>313</v>
      </c>
      <c r="D320" s="111">
        <v>1</v>
      </c>
      <c r="E320" s="27">
        <v>0</v>
      </c>
      <c r="F320" s="27">
        <v>0</v>
      </c>
      <c r="G320" s="27">
        <f t="shared" si="20"/>
        <v>0</v>
      </c>
      <c r="H320" s="28">
        <f t="shared" si="21"/>
        <v>0</v>
      </c>
      <c r="I320" s="28">
        <f t="shared" si="22"/>
        <v>0</v>
      </c>
      <c r="J320" s="28">
        <f t="shared" si="23"/>
        <v>0</v>
      </c>
      <c r="K320" s="29"/>
    </row>
    <row r="321" spans="1:11" ht="31.2">
      <c r="A321" s="26" t="s">
        <v>355</v>
      </c>
      <c r="B321" s="95" t="s">
        <v>674</v>
      </c>
      <c r="C321" s="108" t="s">
        <v>313</v>
      </c>
      <c r="D321" s="111">
        <v>2</v>
      </c>
      <c r="E321" s="27">
        <v>0</v>
      </c>
      <c r="F321" s="27">
        <v>0</v>
      </c>
      <c r="G321" s="27">
        <f t="shared" si="20"/>
        <v>0</v>
      </c>
      <c r="H321" s="28">
        <f t="shared" si="21"/>
        <v>0</v>
      </c>
      <c r="I321" s="28">
        <f t="shared" si="22"/>
        <v>0</v>
      </c>
      <c r="J321" s="28">
        <f t="shared" si="23"/>
        <v>0</v>
      </c>
      <c r="K321" s="29"/>
    </row>
    <row r="322" spans="1:11" ht="31.2">
      <c r="A322" s="26" t="s">
        <v>356</v>
      </c>
      <c r="B322" s="95" t="s">
        <v>675</v>
      </c>
      <c r="C322" s="108" t="s">
        <v>313</v>
      </c>
      <c r="D322" s="111">
        <v>1</v>
      </c>
      <c r="E322" s="27">
        <v>0</v>
      </c>
      <c r="F322" s="27">
        <v>0</v>
      </c>
      <c r="G322" s="27">
        <f t="shared" si="20"/>
        <v>0</v>
      </c>
      <c r="H322" s="28">
        <f t="shared" si="21"/>
        <v>0</v>
      </c>
      <c r="I322" s="28">
        <f t="shared" si="22"/>
        <v>0</v>
      </c>
      <c r="J322" s="28">
        <f t="shared" si="23"/>
        <v>0</v>
      </c>
      <c r="K322" s="29"/>
    </row>
    <row r="323" spans="1:11" ht="31.2">
      <c r="A323" s="26" t="s">
        <v>357</v>
      </c>
      <c r="B323" s="95" t="s">
        <v>676</v>
      </c>
      <c r="C323" s="108" t="s">
        <v>313</v>
      </c>
      <c r="D323" s="111">
        <v>2</v>
      </c>
      <c r="E323" s="27">
        <v>0</v>
      </c>
      <c r="F323" s="27">
        <v>0</v>
      </c>
      <c r="G323" s="27">
        <f t="shared" si="20"/>
        <v>0</v>
      </c>
      <c r="H323" s="28">
        <f t="shared" si="21"/>
        <v>0</v>
      </c>
      <c r="I323" s="28">
        <f t="shared" si="22"/>
        <v>0</v>
      </c>
      <c r="J323" s="28">
        <f t="shared" si="23"/>
        <v>0</v>
      </c>
      <c r="K323" s="29"/>
    </row>
    <row r="324" spans="1:11">
      <c r="A324" s="26" t="s">
        <v>358</v>
      </c>
      <c r="B324" s="95" t="s">
        <v>677</v>
      </c>
      <c r="C324" s="108" t="s">
        <v>313</v>
      </c>
      <c r="D324" s="111">
        <v>2</v>
      </c>
      <c r="E324" s="27">
        <v>0</v>
      </c>
      <c r="F324" s="27">
        <v>0</v>
      </c>
      <c r="G324" s="27">
        <f t="shared" si="20"/>
        <v>0</v>
      </c>
      <c r="H324" s="28">
        <f t="shared" si="21"/>
        <v>0</v>
      </c>
      <c r="I324" s="28">
        <f t="shared" si="22"/>
        <v>0</v>
      </c>
      <c r="J324" s="28">
        <f t="shared" si="23"/>
        <v>0</v>
      </c>
      <c r="K324" s="29"/>
    </row>
    <row r="325" spans="1:11" ht="31.2">
      <c r="A325" s="26" t="s">
        <v>359</v>
      </c>
      <c r="B325" s="95" t="s">
        <v>678</v>
      </c>
      <c r="C325" s="108" t="s">
        <v>313</v>
      </c>
      <c r="D325" s="111">
        <v>2</v>
      </c>
      <c r="E325" s="27">
        <v>0</v>
      </c>
      <c r="F325" s="27">
        <v>0</v>
      </c>
      <c r="G325" s="27">
        <f t="shared" si="20"/>
        <v>0</v>
      </c>
      <c r="H325" s="28">
        <f t="shared" si="21"/>
        <v>0</v>
      </c>
      <c r="I325" s="28">
        <f t="shared" si="22"/>
        <v>0</v>
      </c>
      <c r="J325" s="28">
        <f t="shared" si="23"/>
        <v>0</v>
      </c>
      <c r="K325" s="29"/>
    </row>
    <row r="326" spans="1:11" ht="31.2">
      <c r="A326" s="26" t="s">
        <v>360</v>
      </c>
      <c r="B326" s="95" t="s">
        <v>679</v>
      </c>
      <c r="C326" s="108" t="s">
        <v>313</v>
      </c>
      <c r="D326" s="111">
        <v>2</v>
      </c>
      <c r="E326" s="27">
        <v>0</v>
      </c>
      <c r="F326" s="27">
        <v>0</v>
      </c>
      <c r="G326" s="27">
        <f t="shared" si="20"/>
        <v>0</v>
      </c>
      <c r="H326" s="28">
        <f t="shared" si="21"/>
        <v>0</v>
      </c>
      <c r="I326" s="28">
        <f t="shared" si="22"/>
        <v>0</v>
      </c>
      <c r="J326" s="28">
        <f t="shared" si="23"/>
        <v>0</v>
      </c>
      <c r="K326" s="29"/>
    </row>
    <row r="327" spans="1:11">
      <c r="A327" s="26" t="s">
        <v>361</v>
      </c>
      <c r="B327" s="95" t="s">
        <v>680</v>
      </c>
      <c r="C327" s="108" t="s">
        <v>313</v>
      </c>
      <c r="D327" s="111">
        <v>1</v>
      </c>
      <c r="E327" s="27">
        <v>0</v>
      </c>
      <c r="F327" s="27">
        <v>0</v>
      </c>
      <c r="G327" s="27">
        <f t="shared" si="20"/>
        <v>0</v>
      </c>
      <c r="H327" s="28">
        <f t="shared" si="21"/>
        <v>0</v>
      </c>
      <c r="I327" s="28">
        <f t="shared" si="22"/>
        <v>0</v>
      </c>
      <c r="J327" s="28">
        <f t="shared" si="23"/>
        <v>0</v>
      </c>
      <c r="K327" s="29"/>
    </row>
    <row r="328" spans="1:11">
      <c r="A328" s="26" t="s">
        <v>362</v>
      </c>
      <c r="B328" s="95" t="s">
        <v>681</v>
      </c>
      <c r="C328" s="108" t="s">
        <v>313</v>
      </c>
      <c r="D328" s="111">
        <v>1</v>
      </c>
      <c r="E328" s="27">
        <v>0</v>
      </c>
      <c r="F328" s="27">
        <v>0</v>
      </c>
      <c r="G328" s="27">
        <f t="shared" si="20"/>
        <v>0</v>
      </c>
      <c r="H328" s="28">
        <f t="shared" si="21"/>
        <v>0</v>
      </c>
      <c r="I328" s="28">
        <f t="shared" si="22"/>
        <v>0</v>
      </c>
      <c r="J328" s="28">
        <f t="shared" si="23"/>
        <v>0</v>
      </c>
      <c r="K328" s="29"/>
    </row>
    <row r="329" spans="1:11" ht="31.2">
      <c r="A329" s="26" t="s">
        <v>363</v>
      </c>
      <c r="B329" s="95" t="s">
        <v>682</v>
      </c>
      <c r="C329" s="108" t="s">
        <v>313</v>
      </c>
      <c r="D329" s="111">
        <v>2</v>
      </c>
      <c r="E329" s="27">
        <v>0</v>
      </c>
      <c r="F329" s="27">
        <v>0</v>
      </c>
      <c r="G329" s="27">
        <f t="shared" si="20"/>
        <v>0</v>
      </c>
      <c r="H329" s="28">
        <f t="shared" si="21"/>
        <v>0</v>
      </c>
      <c r="I329" s="28">
        <f t="shared" si="22"/>
        <v>0</v>
      </c>
      <c r="J329" s="28">
        <f t="shared" si="23"/>
        <v>0</v>
      </c>
      <c r="K329" s="29"/>
    </row>
    <row r="330" spans="1:11" ht="31.2">
      <c r="A330" s="26" t="s">
        <v>364</v>
      </c>
      <c r="B330" s="95" t="s">
        <v>683</v>
      </c>
      <c r="C330" s="108" t="s">
        <v>313</v>
      </c>
      <c r="D330" s="111">
        <v>1</v>
      </c>
      <c r="E330" s="27">
        <v>0</v>
      </c>
      <c r="F330" s="27">
        <v>0</v>
      </c>
      <c r="G330" s="27">
        <f t="shared" si="20"/>
        <v>0</v>
      </c>
      <c r="H330" s="28">
        <f t="shared" si="21"/>
        <v>0</v>
      </c>
      <c r="I330" s="28">
        <f t="shared" si="22"/>
        <v>0</v>
      </c>
      <c r="J330" s="28">
        <f t="shared" si="23"/>
        <v>0</v>
      </c>
      <c r="K330" s="29"/>
    </row>
    <row r="331" spans="1:11" ht="46.8">
      <c r="A331" s="26" t="s">
        <v>365</v>
      </c>
      <c r="B331" s="95" t="s">
        <v>684</v>
      </c>
      <c r="C331" s="108" t="s">
        <v>313</v>
      </c>
      <c r="D331" s="111">
        <v>1</v>
      </c>
      <c r="E331" s="27">
        <v>0</v>
      </c>
      <c r="F331" s="27">
        <v>0</v>
      </c>
      <c r="G331" s="27">
        <f t="shared" si="20"/>
        <v>0</v>
      </c>
      <c r="H331" s="28">
        <f t="shared" si="21"/>
        <v>0</v>
      </c>
      <c r="I331" s="28">
        <f t="shared" si="22"/>
        <v>0</v>
      </c>
      <c r="J331" s="28">
        <f t="shared" si="23"/>
        <v>0</v>
      </c>
      <c r="K331" s="29"/>
    </row>
    <row r="332" spans="1:11">
      <c r="A332" s="26" t="s">
        <v>366</v>
      </c>
      <c r="B332" s="95" t="s">
        <v>685</v>
      </c>
      <c r="C332" s="108" t="s">
        <v>313</v>
      </c>
      <c r="D332" s="111">
        <v>2</v>
      </c>
      <c r="E332" s="27">
        <v>0</v>
      </c>
      <c r="F332" s="27">
        <v>0</v>
      </c>
      <c r="G332" s="27">
        <f t="shared" si="20"/>
        <v>0</v>
      </c>
      <c r="H332" s="28">
        <f t="shared" si="21"/>
        <v>0</v>
      </c>
      <c r="I332" s="28">
        <f t="shared" si="22"/>
        <v>0</v>
      </c>
      <c r="J332" s="28">
        <f t="shared" si="23"/>
        <v>0</v>
      </c>
      <c r="K332" s="29"/>
    </row>
    <row r="333" spans="1:11" ht="31.2">
      <c r="A333" s="26" t="s">
        <v>367</v>
      </c>
      <c r="B333" s="95" t="s">
        <v>686</v>
      </c>
      <c r="C333" s="108" t="s">
        <v>313</v>
      </c>
      <c r="D333" s="111">
        <v>2</v>
      </c>
      <c r="E333" s="27">
        <v>0</v>
      </c>
      <c r="F333" s="27">
        <v>0</v>
      </c>
      <c r="G333" s="27">
        <f t="shared" si="20"/>
        <v>0</v>
      </c>
      <c r="H333" s="28">
        <f t="shared" si="21"/>
        <v>0</v>
      </c>
      <c r="I333" s="28">
        <f t="shared" si="22"/>
        <v>0</v>
      </c>
      <c r="J333" s="28">
        <f t="shared" si="23"/>
        <v>0</v>
      </c>
      <c r="K333" s="29"/>
    </row>
    <row r="334" spans="1:11">
      <c r="A334" s="26" t="s">
        <v>368</v>
      </c>
      <c r="B334" s="95" t="s">
        <v>687</v>
      </c>
      <c r="C334" s="108" t="s">
        <v>313</v>
      </c>
      <c r="D334" s="111">
        <v>2</v>
      </c>
      <c r="E334" s="27">
        <v>0</v>
      </c>
      <c r="F334" s="27">
        <v>0</v>
      </c>
      <c r="G334" s="27">
        <f t="shared" si="20"/>
        <v>0</v>
      </c>
      <c r="H334" s="28">
        <f t="shared" si="21"/>
        <v>0</v>
      </c>
      <c r="I334" s="28">
        <f t="shared" si="22"/>
        <v>0</v>
      </c>
      <c r="J334" s="28">
        <f t="shared" si="23"/>
        <v>0</v>
      </c>
      <c r="K334" s="29"/>
    </row>
    <row r="335" spans="1:11" ht="31.2">
      <c r="A335" s="26" t="s">
        <v>369</v>
      </c>
      <c r="B335" s="95" t="s">
        <v>688</v>
      </c>
      <c r="C335" s="108" t="s">
        <v>313</v>
      </c>
      <c r="D335" s="111">
        <v>2</v>
      </c>
      <c r="E335" s="27">
        <v>0</v>
      </c>
      <c r="F335" s="27">
        <v>0</v>
      </c>
      <c r="G335" s="27">
        <f t="shared" si="20"/>
        <v>0</v>
      </c>
      <c r="H335" s="28">
        <f t="shared" si="21"/>
        <v>0</v>
      </c>
      <c r="I335" s="28">
        <f t="shared" si="22"/>
        <v>0</v>
      </c>
      <c r="J335" s="28">
        <f t="shared" si="23"/>
        <v>0</v>
      </c>
      <c r="K335" s="29"/>
    </row>
    <row r="336" spans="1:11" ht="31.2">
      <c r="A336" s="26" t="s">
        <v>370</v>
      </c>
      <c r="B336" s="95" t="s">
        <v>689</v>
      </c>
      <c r="C336" s="108" t="s">
        <v>313</v>
      </c>
      <c r="D336" s="111">
        <v>1</v>
      </c>
      <c r="E336" s="27">
        <v>0</v>
      </c>
      <c r="F336" s="27">
        <v>0</v>
      </c>
      <c r="G336" s="27">
        <f t="shared" si="20"/>
        <v>0</v>
      </c>
      <c r="H336" s="28">
        <f t="shared" si="21"/>
        <v>0</v>
      </c>
      <c r="I336" s="28">
        <f t="shared" si="22"/>
        <v>0</v>
      </c>
      <c r="J336" s="28">
        <f t="shared" si="23"/>
        <v>0</v>
      </c>
      <c r="K336" s="29"/>
    </row>
    <row r="337" spans="1:11" ht="31.2">
      <c r="A337" s="26" t="s">
        <v>371</v>
      </c>
      <c r="B337" s="95" t="s">
        <v>690</v>
      </c>
      <c r="C337" s="108" t="s">
        <v>313</v>
      </c>
      <c r="D337" s="111">
        <v>1</v>
      </c>
      <c r="E337" s="27">
        <v>0</v>
      </c>
      <c r="F337" s="27">
        <v>0</v>
      </c>
      <c r="G337" s="27">
        <f t="shared" si="20"/>
        <v>0</v>
      </c>
      <c r="H337" s="28">
        <f t="shared" si="21"/>
        <v>0</v>
      </c>
      <c r="I337" s="28">
        <f t="shared" si="22"/>
        <v>0</v>
      </c>
      <c r="J337" s="28">
        <f t="shared" si="23"/>
        <v>0</v>
      </c>
      <c r="K337" s="29"/>
    </row>
    <row r="338" spans="1:11">
      <c r="A338" s="26" t="s">
        <v>372</v>
      </c>
      <c r="B338" s="95" t="s">
        <v>691</v>
      </c>
      <c r="C338" s="108" t="s">
        <v>313</v>
      </c>
      <c r="D338" s="111">
        <v>2</v>
      </c>
      <c r="E338" s="27">
        <v>0</v>
      </c>
      <c r="F338" s="27">
        <v>0</v>
      </c>
      <c r="G338" s="27">
        <f t="shared" si="20"/>
        <v>0</v>
      </c>
      <c r="H338" s="28">
        <f t="shared" si="21"/>
        <v>0</v>
      </c>
      <c r="I338" s="28">
        <f t="shared" si="22"/>
        <v>0</v>
      </c>
      <c r="J338" s="28">
        <f t="shared" si="23"/>
        <v>0</v>
      </c>
      <c r="K338" s="29"/>
    </row>
    <row r="339" spans="1:11" ht="31.2">
      <c r="A339" s="26" t="s">
        <v>373</v>
      </c>
      <c r="B339" s="95" t="s">
        <v>692</v>
      </c>
      <c r="C339" s="108" t="s">
        <v>313</v>
      </c>
      <c r="D339" s="111">
        <v>5</v>
      </c>
      <c r="E339" s="27">
        <v>0</v>
      </c>
      <c r="F339" s="27">
        <v>0</v>
      </c>
      <c r="G339" s="27">
        <f t="shared" si="20"/>
        <v>0</v>
      </c>
      <c r="H339" s="28">
        <f t="shared" si="21"/>
        <v>0</v>
      </c>
      <c r="I339" s="28">
        <f t="shared" si="22"/>
        <v>0</v>
      </c>
      <c r="J339" s="28">
        <f t="shared" si="23"/>
        <v>0</v>
      </c>
      <c r="K339" s="29"/>
    </row>
    <row r="340" spans="1:11" ht="31.2">
      <c r="A340" s="26" t="s">
        <v>374</v>
      </c>
      <c r="B340" s="95" t="s">
        <v>693</v>
      </c>
      <c r="C340" s="108" t="s">
        <v>313</v>
      </c>
      <c r="D340" s="111">
        <v>2</v>
      </c>
      <c r="E340" s="27">
        <v>0</v>
      </c>
      <c r="F340" s="27">
        <v>0</v>
      </c>
      <c r="G340" s="27">
        <f t="shared" si="20"/>
        <v>0</v>
      </c>
      <c r="H340" s="28">
        <f t="shared" si="21"/>
        <v>0</v>
      </c>
      <c r="I340" s="28">
        <f t="shared" si="22"/>
        <v>0</v>
      </c>
      <c r="J340" s="28">
        <f t="shared" si="23"/>
        <v>0</v>
      </c>
      <c r="K340" s="29"/>
    </row>
    <row r="341" spans="1:11" ht="31.2">
      <c r="A341" s="26" t="s">
        <v>375</v>
      </c>
      <c r="B341" s="95" t="s">
        <v>694</v>
      </c>
      <c r="C341" s="108" t="s">
        <v>313</v>
      </c>
      <c r="D341" s="111">
        <v>4</v>
      </c>
      <c r="E341" s="27">
        <v>0</v>
      </c>
      <c r="F341" s="27">
        <v>0</v>
      </c>
      <c r="G341" s="27">
        <f t="shared" si="20"/>
        <v>0</v>
      </c>
      <c r="H341" s="28">
        <f t="shared" si="21"/>
        <v>0</v>
      </c>
      <c r="I341" s="28">
        <f t="shared" si="22"/>
        <v>0</v>
      </c>
      <c r="J341" s="28">
        <f t="shared" si="23"/>
        <v>0</v>
      </c>
      <c r="K341" s="29"/>
    </row>
    <row r="342" spans="1:11" ht="31.2">
      <c r="A342" s="26" t="s">
        <v>376</v>
      </c>
      <c r="B342" s="95" t="s">
        <v>695</v>
      </c>
      <c r="C342" s="108" t="s">
        <v>313</v>
      </c>
      <c r="D342" s="111">
        <v>2</v>
      </c>
      <c r="E342" s="27">
        <v>0</v>
      </c>
      <c r="F342" s="27">
        <v>0</v>
      </c>
      <c r="G342" s="27">
        <f t="shared" si="20"/>
        <v>0</v>
      </c>
      <c r="H342" s="28">
        <f t="shared" si="21"/>
        <v>0</v>
      </c>
      <c r="I342" s="28">
        <f t="shared" si="22"/>
        <v>0</v>
      </c>
      <c r="J342" s="28">
        <f t="shared" si="23"/>
        <v>0</v>
      </c>
      <c r="K342" s="29"/>
    </row>
    <row r="343" spans="1:11" ht="31.2">
      <c r="A343" s="26" t="s">
        <v>377</v>
      </c>
      <c r="B343" s="95" t="s">
        <v>696</v>
      </c>
      <c r="C343" s="108" t="s">
        <v>313</v>
      </c>
      <c r="D343" s="111">
        <v>6</v>
      </c>
      <c r="E343" s="27">
        <v>0</v>
      </c>
      <c r="F343" s="27">
        <v>0</v>
      </c>
      <c r="G343" s="27">
        <f t="shared" si="20"/>
        <v>0</v>
      </c>
      <c r="H343" s="28">
        <f t="shared" si="21"/>
        <v>0</v>
      </c>
      <c r="I343" s="28">
        <f t="shared" si="22"/>
        <v>0</v>
      </c>
      <c r="J343" s="28">
        <f t="shared" si="23"/>
        <v>0</v>
      </c>
      <c r="K343" s="29"/>
    </row>
    <row r="344" spans="1:11" ht="31.2">
      <c r="A344" s="26" t="s">
        <v>378</v>
      </c>
      <c r="B344" s="95" t="s">
        <v>697</v>
      </c>
      <c r="C344" s="108" t="s">
        <v>313</v>
      </c>
      <c r="D344" s="111">
        <v>2</v>
      </c>
      <c r="E344" s="27">
        <v>0</v>
      </c>
      <c r="F344" s="27">
        <v>0</v>
      </c>
      <c r="G344" s="27">
        <f t="shared" si="20"/>
        <v>0</v>
      </c>
      <c r="H344" s="28">
        <f t="shared" si="21"/>
        <v>0</v>
      </c>
      <c r="I344" s="28">
        <f t="shared" si="22"/>
        <v>0</v>
      </c>
      <c r="J344" s="28">
        <f t="shared" si="23"/>
        <v>0</v>
      </c>
      <c r="K344" s="29"/>
    </row>
    <row r="345" spans="1:11" ht="46.8">
      <c r="A345" s="26" t="s">
        <v>379</v>
      </c>
      <c r="B345" s="95" t="s">
        <v>663</v>
      </c>
      <c r="C345" s="108" t="s">
        <v>313</v>
      </c>
      <c r="D345" s="111">
        <v>6</v>
      </c>
      <c r="E345" s="27">
        <v>0</v>
      </c>
      <c r="F345" s="27">
        <v>0</v>
      </c>
      <c r="G345" s="27">
        <f t="shared" si="20"/>
        <v>0</v>
      </c>
      <c r="H345" s="28">
        <f t="shared" si="21"/>
        <v>0</v>
      </c>
      <c r="I345" s="28">
        <f t="shared" si="22"/>
        <v>0</v>
      </c>
      <c r="J345" s="28">
        <f t="shared" si="23"/>
        <v>0</v>
      </c>
      <c r="K345" s="29"/>
    </row>
    <row r="346" spans="1:11">
      <c r="A346" s="26" t="s">
        <v>380</v>
      </c>
      <c r="B346" s="95" t="s">
        <v>698</v>
      </c>
      <c r="C346" s="108" t="s">
        <v>313</v>
      </c>
      <c r="D346" s="111">
        <v>1</v>
      </c>
      <c r="E346" s="27">
        <v>0</v>
      </c>
      <c r="F346" s="27">
        <v>0</v>
      </c>
      <c r="G346" s="27">
        <f t="shared" si="20"/>
        <v>0</v>
      </c>
      <c r="H346" s="28">
        <f t="shared" si="21"/>
        <v>0</v>
      </c>
      <c r="I346" s="28">
        <f t="shared" si="22"/>
        <v>0</v>
      </c>
      <c r="J346" s="28">
        <f t="shared" si="23"/>
        <v>0</v>
      </c>
      <c r="K346" s="29"/>
    </row>
    <row r="347" spans="1:11">
      <c r="A347" s="26" t="s">
        <v>381</v>
      </c>
      <c r="B347" s="95" t="s">
        <v>699</v>
      </c>
      <c r="C347" s="108" t="s">
        <v>313</v>
      </c>
      <c r="D347" s="111">
        <v>1</v>
      </c>
      <c r="E347" s="27">
        <v>0</v>
      </c>
      <c r="F347" s="27">
        <v>0</v>
      </c>
      <c r="G347" s="27">
        <f t="shared" si="20"/>
        <v>0</v>
      </c>
      <c r="H347" s="28">
        <f t="shared" si="21"/>
        <v>0</v>
      </c>
      <c r="I347" s="28">
        <f t="shared" si="22"/>
        <v>0</v>
      </c>
      <c r="J347" s="28">
        <f t="shared" si="23"/>
        <v>0</v>
      </c>
      <c r="K347" s="29"/>
    </row>
    <row r="348" spans="1:11" ht="31.2">
      <c r="A348" s="26" t="s">
        <v>382</v>
      </c>
      <c r="B348" s="95" t="s">
        <v>700</v>
      </c>
      <c r="C348" s="108" t="s">
        <v>313</v>
      </c>
      <c r="D348" s="111">
        <v>1</v>
      </c>
      <c r="E348" s="27">
        <v>0</v>
      </c>
      <c r="F348" s="27">
        <v>0</v>
      </c>
      <c r="G348" s="27">
        <f t="shared" si="20"/>
        <v>0</v>
      </c>
      <c r="H348" s="28">
        <f t="shared" si="21"/>
        <v>0</v>
      </c>
      <c r="I348" s="28">
        <f t="shared" si="22"/>
        <v>0</v>
      </c>
      <c r="J348" s="28">
        <f t="shared" si="23"/>
        <v>0</v>
      </c>
      <c r="K348" s="29"/>
    </row>
    <row r="349" spans="1:11" ht="31.2">
      <c r="A349" s="26" t="s">
        <v>383</v>
      </c>
      <c r="B349" s="95" t="s">
        <v>701</v>
      </c>
      <c r="C349" s="108" t="s">
        <v>313</v>
      </c>
      <c r="D349" s="111">
        <v>2</v>
      </c>
      <c r="E349" s="27">
        <v>0</v>
      </c>
      <c r="F349" s="27">
        <v>0</v>
      </c>
      <c r="G349" s="27">
        <f t="shared" si="20"/>
        <v>0</v>
      </c>
      <c r="H349" s="28">
        <f t="shared" si="21"/>
        <v>0</v>
      </c>
      <c r="I349" s="28">
        <f t="shared" si="22"/>
        <v>0</v>
      </c>
      <c r="J349" s="28">
        <f t="shared" si="23"/>
        <v>0</v>
      </c>
      <c r="K349" s="29"/>
    </row>
    <row r="350" spans="1:11">
      <c r="A350" s="26" t="s">
        <v>384</v>
      </c>
      <c r="B350" s="95" t="s">
        <v>691</v>
      </c>
      <c r="C350" s="108" t="s">
        <v>313</v>
      </c>
      <c r="D350" s="111">
        <v>2</v>
      </c>
      <c r="E350" s="27">
        <v>0</v>
      </c>
      <c r="F350" s="27">
        <v>0</v>
      </c>
      <c r="G350" s="27">
        <f t="shared" si="20"/>
        <v>0</v>
      </c>
      <c r="H350" s="28">
        <f t="shared" si="21"/>
        <v>0</v>
      </c>
      <c r="I350" s="28">
        <f t="shared" si="22"/>
        <v>0</v>
      </c>
      <c r="J350" s="28">
        <f t="shared" si="23"/>
        <v>0</v>
      </c>
      <c r="K350" s="29"/>
    </row>
    <row r="351" spans="1:11">
      <c r="A351" s="26" t="s">
        <v>385</v>
      </c>
      <c r="B351" s="95" t="s">
        <v>680</v>
      </c>
      <c r="C351" s="108" t="s">
        <v>313</v>
      </c>
      <c r="D351" s="111">
        <v>1</v>
      </c>
      <c r="E351" s="27">
        <v>0</v>
      </c>
      <c r="F351" s="27">
        <v>0</v>
      </c>
      <c r="G351" s="27">
        <f t="shared" si="20"/>
        <v>0</v>
      </c>
      <c r="H351" s="28">
        <f t="shared" si="21"/>
        <v>0</v>
      </c>
      <c r="I351" s="28">
        <f t="shared" si="22"/>
        <v>0</v>
      </c>
      <c r="J351" s="28">
        <f t="shared" si="23"/>
        <v>0</v>
      </c>
      <c r="K351" s="29"/>
    </row>
    <row r="352" spans="1:11" ht="31.2">
      <c r="A352" s="26" t="s">
        <v>386</v>
      </c>
      <c r="B352" s="95" t="s">
        <v>692</v>
      </c>
      <c r="C352" s="108" t="s">
        <v>313</v>
      </c>
      <c r="D352" s="111">
        <v>8</v>
      </c>
      <c r="E352" s="27">
        <v>0</v>
      </c>
      <c r="F352" s="27">
        <v>0</v>
      </c>
      <c r="G352" s="27">
        <f t="shared" si="20"/>
        <v>0</v>
      </c>
      <c r="H352" s="28">
        <f t="shared" si="21"/>
        <v>0</v>
      </c>
      <c r="I352" s="28">
        <f t="shared" si="22"/>
        <v>0</v>
      </c>
      <c r="J352" s="28">
        <f t="shared" si="23"/>
        <v>0</v>
      </c>
      <c r="K352" s="29"/>
    </row>
    <row r="353" spans="1:11" ht="31.2">
      <c r="A353" s="26" t="s">
        <v>387</v>
      </c>
      <c r="B353" s="95" t="s">
        <v>694</v>
      </c>
      <c r="C353" s="108" t="s">
        <v>313</v>
      </c>
      <c r="D353" s="111">
        <v>8</v>
      </c>
      <c r="E353" s="27">
        <v>0</v>
      </c>
      <c r="F353" s="27">
        <v>0</v>
      </c>
      <c r="G353" s="27">
        <f t="shared" si="20"/>
        <v>0</v>
      </c>
      <c r="H353" s="28">
        <f t="shared" si="21"/>
        <v>0</v>
      </c>
      <c r="I353" s="28">
        <f t="shared" si="22"/>
        <v>0</v>
      </c>
      <c r="J353" s="28">
        <f t="shared" si="23"/>
        <v>0</v>
      </c>
      <c r="K353" s="29"/>
    </row>
    <row r="354" spans="1:11" ht="31.2">
      <c r="A354" s="26" t="s">
        <v>388</v>
      </c>
      <c r="B354" s="95" t="s">
        <v>702</v>
      </c>
      <c r="C354" s="108" t="s">
        <v>313</v>
      </c>
      <c r="D354" s="111">
        <v>8</v>
      </c>
      <c r="E354" s="27">
        <v>0</v>
      </c>
      <c r="F354" s="27">
        <v>0</v>
      </c>
      <c r="G354" s="27">
        <f t="shared" ref="G354:G414" si="24">E354+F354</f>
        <v>0</v>
      </c>
      <c r="H354" s="28">
        <f t="shared" ref="H354:H414" si="25">D354*E354</f>
        <v>0</v>
      </c>
      <c r="I354" s="28">
        <f t="shared" ref="I354:I414" si="26">D354*F354</f>
        <v>0</v>
      </c>
      <c r="J354" s="28">
        <f t="shared" ref="J354:J414" si="27">H354+I354</f>
        <v>0</v>
      </c>
      <c r="K354" s="29"/>
    </row>
    <row r="355" spans="1:11" ht="46.8">
      <c r="A355" s="26" t="s">
        <v>389</v>
      </c>
      <c r="B355" s="95" t="s">
        <v>663</v>
      </c>
      <c r="C355" s="108" t="s">
        <v>313</v>
      </c>
      <c r="D355" s="111">
        <v>8</v>
      </c>
      <c r="E355" s="27">
        <v>0</v>
      </c>
      <c r="F355" s="27">
        <v>0</v>
      </c>
      <c r="G355" s="27">
        <f t="shared" si="24"/>
        <v>0</v>
      </c>
      <c r="H355" s="28">
        <f t="shared" si="25"/>
        <v>0</v>
      </c>
      <c r="I355" s="28">
        <f t="shared" si="26"/>
        <v>0</v>
      </c>
      <c r="J355" s="28">
        <f t="shared" si="27"/>
        <v>0</v>
      </c>
      <c r="K355" s="29"/>
    </row>
    <row r="356" spans="1:11">
      <c r="A356" s="26" t="s">
        <v>390</v>
      </c>
      <c r="B356" s="95" t="s">
        <v>703</v>
      </c>
      <c r="C356" s="108" t="s">
        <v>313</v>
      </c>
      <c r="D356" s="111">
        <v>1</v>
      </c>
      <c r="E356" s="27">
        <v>0</v>
      </c>
      <c r="F356" s="27">
        <v>0</v>
      </c>
      <c r="G356" s="27">
        <f t="shared" si="24"/>
        <v>0</v>
      </c>
      <c r="H356" s="28">
        <f t="shared" si="25"/>
        <v>0</v>
      </c>
      <c r="I356" s="28">
        <f t="shared" si="26"/>
        <v>0</v>
      </c>
      <c r="J356" s="28">
        <f t="shared" si="27"/>
        <v>0</v>
      </c>
      <c r="K356" s="29"/>
    </row>
    <row r="357" spans="1:11">
      <c r="A357" s="26" t="s">
        <v>391</v>
      </c>
      <c r="B357" s="95" t="s">
        <v>704</v>
      </c>
      <c r="C357" s="108" t="s">
        <v>313</v>
      </c>
      <c r="D357" s="111">
        <v>1</v>
      </c>
      <c r="E357" s="27">
        <v>0</v>
      </c>
      <c r="F357" s="27">
        <v>0</v>
      </c>
      <c r="G357" s="27">
        <f t="shared" si="24"/>
        <v>0</v>
      </c>
      <c r="H357" s="28">
        <f t="shared" si="25"/>
        <v>0</v>
      </c>
      <c r="I357" s="28">
        <f t="shared" si="26"/>
        <v>0</v>
      </c>
      <c r="J357" s="28">
        <f t="shared" si="27"/>
        <v>0</v>
      </c>
      <c r="K357" s="29"/>
    </row>
    <row r="358" spans="1:11" ht="31.2">
      <c r="A358" s="26" t="s">
        <v>392</v>
      </c>
      <c r="B358" s="95" t="s">
        <v>700</v>
      </c>
      <c r="C358" s="108" t="s">
        <v>313</v>
      </c>
      <c r="D358" s="111">
        <v>1</v>
      </c>
      <c r="E358" s="27">
        <v>0</v>
      </c>
      <c r="F358" s="27">
        <v>0</v>
      </c>
      <c r="G358" s="27">
        <f t="shared" si="24"/>
        <v>0</v>
      </c>
      <c r="H358" s="28">
        <f t="shared" si="25"/>
        <v>0</v>
      </c>
      <c r="I358" s="28">
        <f t="shared" si="26"/>
        <v>0</v>
      </c>
      <c r="J358" s="28">
        <f t="shared" si="27"/>
        <v>0</v>
      </c>
      <c r="K358" s="29"/>
    </row>
    <row r="359" spans="1:11" ht="31.2">
      <c r="A359" s="26" t="s">
        <v>393</v>
      </c>
      <c r="B359" s="95" t="s">
        <v>701</v>
      </c>
      <c r="C359" s="108" t="s">
        <v>313</v>
      </c>
      <c r="D359" s="111">
        <v>2</v>
      </c>
      <c r="E359" s="27">
        <v>0</v>
      </c>
      <c r="F359" s="27">
        <v>0</v>
      </c>
      <c r="G359" s="27">
        <f t="shared" si="24"/>
        <v>0</v>
      </c>
      <c r="H359" s="28">
        <f t="shared" si="25"/>
        <v>0</v>
      </c>
      <c r="I359" s="28">
        <f t="shared" si="26"/>
        <v>0</v>
      </c>
      <c r="J359" s="28">
        <f t="shared" si="27"/>
        <v>0</v>
      </c>
      <c r="K359" s="29"/>
    </row>
    <row r="360" spans="1:11" ht="31.2">
      <c r="A360" s="26" t="s">
        <v>394</v>
      </c>
      <c r="B360" s="95" t="s">
        <v>665</v>
      </c>
      <c r="C360" s="108" t="s">
        <v>313</v>
      </c>
      <c r="D360" s="111">
        <v>6</v>
      </c>
      <c r="E360" s="27">
        <v>0</v>
      </c>
      <c r="F360" s="27">
        <v>0</v>
      </c>
      <c r="G360" s="27">
        <f t="shared" si="24"/>
        <v>0</v>
      </c>
      <c r="H360" s="28">
        <f t="shared" si="25"/>
        <v>0</v>
      </c>
      <c r="I360" s="28">
        <f t="shared" si="26"/>
        <v>0</v>
      </c>
      <c r="J360" s="28">
        <f t="shared" si="27"/>
        <v>0</v>
      </c>
      <c r="K360" s="29" t="s">
        <v>321</v>
      </c>
    </row>
    <row r="361" spans="1:11" ht="31.2">
      <c r="A361" s="26" t="s">
        <v>395</v>
      </c>
      <c r="B361" s="95" t="s">
        <v>666</v>
      </c>
      <c r="C361" s="108" t="s">
        <v>313</v>
      </c>
      <c r="D361" s="111">
        <v>2</v>
      </c>
      <c r="E361" s="27">
        <v>0</v>
      </c>
      <c r="F361" s="27">
        <v>0</v>
      </c>
      <c r="G361" s="27">
        <f t="shared" si="24"/>
        <v>0</v>
      </c>
      <c r="H361" s="28">
        <f t="shared" si="25"/>
        <v>0</v>
      </c>
      <c r="I361" s="28">
        <f t="shared" si="26"/>
        <v>0</v>
      </c>
      <c r="J361" s="28">
        <f t="shared" si="27"/>
        <v>0</v>
      </c>
      <c r="K361" s="29" t="s">
        <v>321</v>
      </c>
    </row>
    <row r="362" spans="1:11" ht="31.2">
      <c r="A362" s="26" t="s">
        <v>396</v>
      </c>
      <c r="B362" s="95" t="s">
        <v>667</v>
      </c>
      <c r="C362" s="108" t="s">
        <v>313</v>
      </c>
      <c r="D362" s="111">
        <v>4</v>
      </c>
      <c r="E362" s="27">
        <v>0</v>
      </c>
      <c r="F362" s="27">
        <v>0</v>
      </c>
      <c r="G362" s="27">
        <f t="shared" si="24"/>
        <v>0</v>
      </c>
      <c r="H362" s="28">
        <f t="shared" si="25"/>
        <v>0</v>
      </c>
      <c r="I362" s="28">
        <f t="shared" si="26"/>
        <v>0</v>
      </c>
      <c r="J362" s="28">
        <f t="shared" si="27"/>
        <v>0</v>
      </c>
      <c r="K362" s="29" t="s">
        <v>321</v>
      </c>
    </row>
    <row r="363" spans="1:11" ht="31.2">
      <c r="A363" s="26" t="s">
        <v>397</v>
      </c>
      <c r="B363" s="95" t="s">
        <v>668</v>
      </c>
      <c r="C363" s="108" t="s">
        <v>313</v>
      </c>
      <c r="D363" s="111">
        <v>6</v>
      </c>
      <c r="E363" s="27">
        <v>0</v>
      </c>
      <c r="F363" s="27">
        <v>0</v>
      </c>
      <c r="G363" s="27">
        <f t="shared" si="24"/>
        <v>0</v>
      </c>
      <c r="H363" s="28">
        <f t="shared" si="25"/>
        <v>0</v>
      </c>
      <c r="I363" s="28">
        <f t="shared" si="26"/>
        <v>0</v>
      </c>
      <c r="J363" s="28">
        <f t="shared" si="27"/>
        <v>0</v>
      </c>
      <c r="K363" s="29" t="s">
        <v>321</v>
      </c>
    </row>
    <row r="364" spans="1:11" ht="31.2">
      <c r="A364" s="26" t="s">
        <v>398</v>
      </c>
      <c r="B364" s="95" t="s">
        <v>669</v>
      </c>
      <c r="C364" s="108" t="s">
        <v>313</v>
      </c>
      <c r="D364" s="111">
        <v>8</v>
      </c>
      <c r="E364" s="27">
        <v>0</v>
      </c>
      <c r="F364" s="27">
        <v>0</v>
      </c>
      <c r="G364" s="27">
        <f t="shared" si="24"/>
        <v>0</v>
      </c>
      <c r="H364" s="28">
        <f t="shared" si="25"/>
        <v>0</v>
      </c>
      <c r="I364" s="28">
        <f t="shared" si="26"/>
        <v>0</v>
      </c>
      <c r="J364" s="28">
        <f t="shared" si="27"/>
        <v>0</v>
      </c>
      <c r="K364" s="29" t="s">
        <v>321</v>
      </c>
    </row>
    <row r="365" spans="1:11" ht="31.2">
      <c r="A365" s="26" t="s">
        <v>399</v>
      </c>
      <c r="B365" s="95" t="s">
        <v>670</v>
      </c>
      <c r="C365" s="108" t="s">
        <v>313</v>
      </c>
      <c r="D365" s="111">
        <v>4</v>
      </c>
      <c r="E365" s="27">
        <v>0</v>
      </c>
      <c r="F365" s="27">
        <v>0</v>
      </c>
      <c r="G365" s="27">
        <f t="shared" si="24"/>
        <v>0</v>
      </c>
      <c r="H365" s="28">
        <f t="shared" si="25"/>
        <v>0</v>
      </c>
      <c r="I365" s="28">
        <f t="shared" si="26"/>
        <v>0</v>
      </c>
      <c r="J365" s="28">
        <f t="shared" si="27"/>
        <v>0</v>
      </c>
      <c r="K365" s="29" t="s">
        <v>321</v>
      </c>
    </row>
    <row r="366" spans="1:11" ht="31.2">
      <c r="A366" s="26" t="s">
        <v>400</v>
      </c>
      <c r="B366" s="95" t="s">
        <v>705</v>
      </c>
      <c r="C366" s="108" t="s">
        <v>313</v>
      </c>
      <c r="D366" s="111">
        <v>2</v>
      </c>
      <c r="E366" s="27">
        <v>0</v>
      </c>
      <c r="F366" s="27">
        <v>0</v>
      </c>
      <c r="G366" s="27">
        <f t="shared" si="24"/>
        <v>0</v>
      </c>
      <c r="H366" s="28">
        <f t="shared" si="25"/>
        <v>0</v>
      </c>
      <c r="I366" s="28">
        <f t="shared" si="26"/>
        <v>0</v>
      </c>
      <c r="J366" s="28">
        <f t="shared" si="27"/>
        <v>0</v>
      </c>
      <c r="K366" s="29" t="s">
        <v>321</v>
      </c>
    </row>
    <row r="367" spans="1:11">
      <c r="A367" s="26" t="s">
        <v>401</v>
      </c>
      <c r="B367" s="95" t="s">
        <v>706</v>
      </c>
      <c r="C367" s="108" t="s">
        <v>312</v>
      </c>
      <c r="D367" s="111">
        <v>1500.38</v>
      </c>
      <c r="E367" s="27">
        <v>0</v>
      </c>
      <c r="F367" s="27">
        <v>0</v>
      </c>
      <c r="G367" s="27">
        <f t="shared" si="24"/>
        <v>0</v>
      </c>
      <c r="H367" s="28">
        <f t="shared" si="25"/>
        <v>0</v>
      </c>
      <c r="I367" s="28">
        <f t="shared" si="26"/>
        <v>0</v>
      </c>
      <c r="J367" s="28">
        <f t="shared" si="27"/>
        <v>0</v>
      </c>
      <c r="K367" s="29"/>
    </row>
    <row r="368" spans="1:11">
      <c r="A368" s="26" t="s">
        <v>402</v>
      </c>
      <c r="B368" s="95" t="s">
        <v>707</v>
      </c>
      <c r="C368" s="108" t="s">
        <v>312</v>
      </c>
      <c r="D368" s="111">
        <v>203.5</v>
      </c>
      <c r="E368" s="27">
        <v>0</v>
      </c>
      <c r="F368" s="27">
        <v>0</v>
      </c>
      <c r="G368" s="27">
        <f t="shared" si="24"/>
        <v>0</v>
      </c>
      <c r="H368" s="28">
        <f t="shared" si="25"/>
        <v>0</v>
      </c>
      <c r="I368" s="28">
        <f t="shared" si="26"/>
        <v>0</v>
      </c>
      <c r="J368" s="28">
        <f t="shared" si="27"/>
        <v>0</v>
      </c>
      <c r="K368" s="29"/>
    </row>
    <row r="369" spans="1:11">
      <c r="A369" s="26" t="s">
        <v>403</v>
      </c>
      <c r="B369" s="95" t="s">
        <v>708</v>
      </c>
      <c r="C369" s="108" t="s">
        <v>312</v>
      </c>
      <c r="D369" s="111">
        <v>34.25</v>
      </c>
      <c r="E369" s="27">
        <v>0</v>
      </c>
      <c r="F369" s="27">
        <v>0</v>
      </c>
      <c r="G369" s="27">
        <f t="shared" si="24"/>
        <v>0</v>
      </c>
      <c r="H369" s="28">
        <f t="shared" si="25"/>
        <v>0</v>
      </c>
      <c r="I369" s="28">
        <f t="shared" si="26"/>
        <v>0</v>
      </c>
      <c r="J369" s="28">
        <f t="shared" si="27"/>
        <v>0</v>
      </c>
      <c r="K369" s="29"/>
    </row>
    <row r="370" spans="1:11">
      <c r="A370" s="26" t="s">
        <v>404</v>
      </c>
      <c r="B370" s="95" t="s">
        <v>709</v>
      </c>
      <c r="C370" s="108" t="s">
        <v>312</v>
      </c>
      <c r="D370" s="111">
        <v>56.89</v>
      </c>
      <c r="E370" s="27">
        <v>0</v>
      </c>
      <c r="F370" s="27">
        <v>0</v>
      </c>
      <c r="G370" s="27">
        <f t="shared" si="24"/>
        <v>0</v>
      </c>
      <c r="H370" s="28">
        <f t="shared" si="25"/>
        <v>0</v>
      </c>
      <c r="I370" s="28">
        <f t="shared" si="26"/>
        <v>0</v>
      </c>
      <c r="J370" s="28">
        <f t="shared" si="27"/>
        <v>0</v>
      </c>
      <c r="K370" s="29"/>
    </row>
    <row r="371" spans="1:11">
      <c r="A371" s="26" t="s">
        <v>405</v>
      </c>
      <c r="B371" s="95" t="s">
        <v>710</v>
      </c>
      <c r="C371" s="108" t="s">
        <v>312</v>
      </c>
      <c r="D371" s="111">
        <v>83.94</v>
      </c>
      <c r="E371" s="27">
        <v>0</v>
      </c>
      <c r="F371" s="27">
        <v>0</v>
      </c>
      <c r="G371" s="27">
        <f t="shared" si="24"/>
        <v>0</v>
      </c>
      <c r="H371" s="28">
        <f t="shared" si="25"/>
        <v>0</v>
      </c>
      <c r="I371" s="28">
        <f t="shared" si="26"/>
        <v>0</v>
      </c>
      <c r="J371" s="28">
        <f t="shared" si="27"/>
        <v>0</v>
      </c>
      <c r="K371" s="29"/>
    </row>
    <row r="372" spans="1:11">
      <c r="A372" s="26" t="s">
        <v>406</v>
      </c>
      <c r="B372" s="95" t="s">
        <v>711</v>
      </c>
      <c r="C372" s="108" t="s">
        <v>312</v>
      </c>
      <c r="D372" s="111">
        <v>128.63</v>
      </c>
      <c r="E372" s="27">
        <v>0</v>
      </c>
      <c r="F372" s="27">
        <v>0</v>
      </c>
      <c r="G372" s="27">
        <f t="shared" si="24"/>
        <v>0</v>
      </c>
      <c r="H372" s="28">
        <f t="shared" si="25"/>
        <v>0</v>
      </c>
      <c r="I372" s="28">
        <f t="shared" si="26"/>
        <v>0</v>
      </c>
      <c r="J372" s="28">
        <f t="shared" si="27"/>
        <v>0</v>
      </c>
      <c r="K372" s="29"/>
    </row>
    <row r="373" spans="1:11">
      <c r="A373" s="26" t="s">
        <v>407</v>
      </c>
      <c r="B373" s="95" t="s">
        <v>712</v>
      </c>
      <c r="C373" s="108" t="s">
        <v>312</v>
      </c>
      <c r="D373" s="111">
        <v>89.75</v>
      </c>
      <c r="E373" s="27">
        <v>0</v>
      </c>
      <c r="F373" s="27">
        <v>0</v>
      </c>
      <c r="G373" s="27">
        <f t="shared" si="24"/>
        <v>0</v>
      </c>
      <c r="H373" s="28">
        <f t="shared" si="25"/>
        <v>0</v>
      </c>
      <c r="I373" s="28">
        <f t="shared" si="26"/>
        <v>0</v>
      </c>
      <c r="J373" s="28">
        <f t="shared" si="27"/>
        <v>0</v>
      </c>
      <c r="K373" s="29"/>
    </row>
    <row r="374" spans="1:11">
      <c r="A374" s="26" t="s">
        <v>408</v>
      </c>
      <c r="B374" s="95" t="s">
        <v>713</v>
      </c>
      <c r="C374" s="108" t="s">
        <v>312</v>
      </c>
      <c r="D374" s="111">
        <v>3.9</v>
      </c>
      <c r="E374" s="27">
        <v>0</v>
      </c>
      <c r="F374" s="27">
        <v>0</v>
      </c>
      <c r="G374" s="27">
        <f t="shared" si="24"/>
        <v>0</v>
      </c>
      <c r="H374" s="28">
        <f t="shared" si="25"/>
        <v>0</v>
      </c>
      <c r="I374" s="28">
        <f t="shared" si="26"/>
        <v>0</v>
      </c>
      <c r="J374" s="28">
        <f t="shared" si="27"/>
        <v>0</v>
      </c>
      <c r="K374" s="29"/>
    </row>
    <row r="375" spans="1:11" ht="31.2">
      <c r="A375" s="26" t="s">
        <v>409</v>
      </c>
      <c r="B375" s="95" t="s">
        <v>714</v>
      </c>
      <c r="C375" s="108" t="s">
        <v>312</v>
      </c>
      <c r="D375" s="111">
        <v>59.92</v>
      </c>
      <c r="E375" s="27">
        <v>0</v>
      </c>
      <c r="F375" s="27">
        <v>0</v>
      </c>
      <c r="G375" s="27">
        <f t="shared" si="24"/>
        <v>0</v>
      </c>
      <c r="H375" s="28">
        <f t="shared" si="25"/>
        <v>0</v>
      </c>
      <c r="I375" s="28">
        <f t="shared" si="26"/>
        <v>0</v>
      </c>
      <c r="J375" s="28">
        <f t="shared" si="27"/>
        <v>0</v>
      </c>
      <c r="K375" s="29"/>
    </row>
    <row r="376" spans="1:11" ht="31.2">
      <c r="A376" s="26" t="s">
        <v>410</v>
      </c>
      <c r="B376" s="95" t="s">
        <v>715</v>
      </c>
      <c r="C376" s="108" t="s">
        <v>312</v>
      </c>
      <c r="D376" s="111">
        <v>57.63</v>
      </c>
      <c r="E376" s="27">
        <v>0</v>
      </c>
      <c r="F376" s="27">
        <v>0</v>
      </c>
      <c r="G376" s="27">
        <f t="shared" si="24"/>
        <v>0</v>
      </c>
      <c r="H376" s="28">
        <f t="shared" si="25"/>
        <v>0</v>
      </c>
      <c r="I376" s="28">
        <f t="shared" si="26"/>
        <v>0</v>
      </c>
      <c r="J376" s="28">
        <f t="shared" si="27"/>
        <v>0</v>
      </c>
      <c r="K376" s="29"/>
    </row>
    <row r="377" spans="1:11" ht="31.2">
      <c r="A377" s="26" t="s">
        <v>411</v>
      </c>
      <c r="B377" s="95" t="s">
        <v>716</v>
      </c>
      <c r="C377" s="108" t="s">
        <v>312</v>
      </c>
      <c r="D377" s="111">
        <v>14.68</v>
      </c>
      <c r="E377" s="27">
        <v>0</v>
      </c>
      <c r="F377" s="27">
        <v>0</v>
      </c>
      <c r="G377" s="27">
        <f t="shared" si="24"/>
        <v>0</v>
      </c>
      <c r="H377" s="28">
        <f t="shared" si="25"/>
        <v>0</v>
      </c>
      <c r="I377" s="28">
        <f t="shared" si="26"/>
        <v>0</v>
      </c>
      <c r="J377" s="28">
        <f t="shared" si="27"/>
        <v>0</v>
      </c>
      <c r="K377" s="29"/>
    </row>
    <row r="378" spans="1:11" ht="31.2">
      <c r="A378" s="26" t="s">
        <v>412</v>
      </c>
      <c r="B378" s="95" t="s">
        <v>717</v>
      </c>
      <c r="C378" s="108" t="s">
        <v>312</v>
      </c>
      <c r="D378" s="111">
        <v>0.75</v>
      </c>
      <c r="E378" s="27">
        <v>0</v>
      </c>
      <c r="F378" s="27">
        <v>0</v>
      </c>
      <c r="G378" s="27">
        <f t="shared" si="24"/>
        <v>0</v>
      </c>
      <c r="H378" s="28">
        <f t="shared" si="25"/>
        <v>0</v>
      </c>
      <c r="I378" s="28">
        <f t="shared" si="26"/>
        <v>0</v>
      </c>
      <c r="J378" s="28">
        <f t="shared" si="27"/>
        <v>0</v>
      </c>
      <c r="K378" s="29"/>
    </row>
    <row r="379" spans="1:11" ht="31.2">
      <c r="A379" s="26" t="s">
        <v>413</v>
      </c>
      <c r="B379" s="95" t="s">
        <v>718</v>
      </c>
      <c r="C379" s="108" t="s">
        <v>312</v>
      </c>
      <c r="D379" s="111">
        <v>5.95</v>
      </c>
      <c r="E379" s="27">
        <v>0</v>
      </c>
      <c r="F379" s="27">
        <v>0</v>
      </c>
      <c r="G379" s="27">
        <f t="shared" si="24"/>
        <v>0</v>
      </c>
      <c r="H379" s="28">
        <f t="shared" si="25"/>
        <v>0</v>
      </c>
      <c r="I379" s="28">
        <f t="shared" si="26"/>
        <v>0</v>
      </c>
      <c r="J379" s="28">
        <f t="shared" si="27"/>
        <v>0</v>
      </c>
      <c r="K379" s="29"/>
    </row>
    <row r="380" spans="1:11" ht="31.2">
      <c r="A380" s="26" t="s">
        <v>414</v>
      </c>
      <c r="B380" s="95" t="s">
        <v>719</v>
      </c>
      <c r="C380" s="108" t="s">
        <v>312</v>
      </c>
      <c r="D380" s="111">
        <v>17.68</v>
      </c>
      <c r="E380" s="27">
        <v>0</v>
      </c>
      <c r="F380" s="27">
        <v>0</v>
      </c>
      <c r="G380" s="27">
        <f t="shared" si="24"/>
        <v>0</v>
      </c>
      <c r="H380" s="28">
        <f t="shared" si="25"/>
        <v>0</v>
      </c>
      <c r="I380" s="28">
        <f t="shared" si="26"/>
        <v>0</v>
      </c>
      <c r="J380" s="28">
        <f t="shared" si="27"/>
        <v>0</v>
      </c>
      <c r="K380" s="29"/>
    </row>
    <row r="381" spans="1:11" ht="31.2">
      <c r="A381" s="26" t="s">
        <v>415</v>
      </c>
      <c r="B381" s="95" t="s">
        <v>720</v>
      </c>
      <c r="C381" s="108" t="s">
        <v>312</v>
      </c>
      <c r="D381" s="111">
        <v>6.94</v>
      </c>
      <c r="E381" s="27">
        <v>0</v>
      </c>
      <c r="F381" s="27">
        <v>0</v>
      </c>
      <c r="G381" s="27">
        <f t="shared" si="24"/>
        <v>0</v>
      </c>
      <c r="H381" s="28">
        <f t="shared" si="25"/>
        <v>0</v>
      </c>
      <c r="I381" s="28">
        <f t="shared" si="26"/>
        <v>0</v>
      </c>
      <c r="J381" s="28">
        <f t="shared" si="27"/>
        <v>0</v>
      </c>
      <c r="K381" s="29"/>
    </row>
    <row r="382" spans="1:11" ht="31.2">
      <c r="A382" s="26" t="s">
        <v>416</v>
      </c>
      <c r="B382" s="95" t="s">
        <v>721</v>
      </c>
      <c r="C382" s="108" t="s">
        <v>312</v>
      </c>
      <c r="D382" s="111">
        <v>36.909999999999997</v>
      </c>
      <c r="E382" s="27">
        <v>0</v>
      </c>
      <c r="F382" s="27">
        <v>0</v>
      </c>
      <c r="G382" s="27">
        <f t="shared" si="24"/>
        <v>0</v>
      </c>
      <c r="H382" s="28">
        <f t="shared" si="25"/>
        <v>0</v>
      </c>
      <c r="I382" s="28">
        <f t="shared" si="26"/>
        <v>0</v>
      </c>
      <c r="J382" s="28">
        <f t="shared" si="27"/>
        <v>0</v>
      </c>
      <c r="K382" s="29"/>
    </row>
    <row r="383" spans="1:11" ht="31.2">
      <c r="A383" s="26" t="s">
        <v>417</v>
      </c>
      <c r="B383" s="95" t="s">
        <v>722</v>
      </c>
      <c r="C383" s="108" t="s">
        <v>312</v>
      </c>
      <c r="D383" s="111">
        <v>61.69</v>
      </c>
      <c r="E383" s="27">
        <v>0</v>
      </c>
      <c r="F383" s="27">
        <v>0</v>
      </c>
      <c r="G383" s="27">
        <f t="shared" si="24"/>
        <v>0</v>
      </c>
      <c r="H383" s="28">
        <f t="shared" si="25"/>
        <v>0</v>
      </c>
      <c r="I383" s="28">
        <f t="shared" si="26"/>
        <v>0</v>
      </c>
      <c r="J383" s="28">
        <f t="shared" si="27"/>
        <v>0</v>
      </c>
      <c r="K383" s="29"/>
    </row>
    <row r="384" spans="1:11" ht="31.2">
      <c r="A384" s="26" t="s">
        <v>418</v>
      </c>
      <c r="B384" s="95" t="s">
        <v>723</v>
      </c>
      <c r="C384" s="108" t="s">
        <v>312</v>
      </c>
      <c r="D384" s="111">
        <v>81.36</v>
      </c>
      <c r="E384" s="27">
        <v>0</v>
      </c>
      <c r="F384" s="27">
        <v>0</v>
      </c>
      <c r="G384" s="27">
        <f t="shared" si="24"/>
        <v>0</v>
      </c>
      <c r="H384" s="28">
        <f t="shared" si="25"/>
        <v>0</v>
      </c>
      <c r="I384" s="28">
        <f t="shared" si="26"/>
        <v>0</v>
      </c>
      <c r="J384" s="28">
        <f t="shared" si="27"/>
        <v>0</v>
      </c>
      <c r="K384" s="29"/>
    </row>
    <row r="385" spans="1:11" ht="31.2">
      <c r="A385" s="26" t="s">
        <v>419</v>
      </c>
      <c r="B385" s="95" t="s">
        <v>724</v>
      </c>
      <c r="C385" s="108" t="s">
        <v>312</v>
      </c>
      <c r="D385" s="111">
        <v>98.33</v>
      </c>
      <c r="E385" s="27">
        <v>0</v>
      </c>
      <c r="F385" s="27">
        <v>0</v>
      </c>
      <c r="G385" s="27">
        <f t="shared" si="24"/>
        <v>0</v>
      </c>
      <c r="H385" s="28">
        <f t="shared" si="25"/>
        <v>0</v>
      </c>
      <c r="I385" s="28">
        <f t="shared" si="26"/>
        <v>0</v>
      </c>
      <c r="J385" s="28">
        <f t="shared" si="27"/>
        <v>0</v>
      </c>
      <c r="K385" s="29"/>
    </row>
    <row r="386" spans="1:11" ht="31.2">
      <c r="A386" s="26" t="s">
        <v>420</v>
      </c>
      <c r="B386" s="95" t="s">
        <v>725</v>
      </c>
      <c r="C386" s="108" t="s">
        <v>312</v>
      </c>
      <c r="D386" s="111">
        <v>4.29</v>
      </c>
      <c r="E386" s="27">
        <v>0</v>
      </c>
      <c r="F386" s="27">
        <v>0</v>
      </c>
      <c r="G386" s="27">
        <f t="shared" si="24"/>
        <v>0</v>
      </c>
      <c r="H386" s="28">
        <f t="shared" si="25"/>
        <v>0</v>
      </c>
      <c r="I386" s="28">
        <f t="shared" si="26"/>
        <v>0</v>
      </c>
      <c r="J386" s="28">
        <f t="shared" si="27"/>
        <v>0</v>
      </c>
      <c r="K386" s="29"/>
    </row>
    <row r="387" spans="1:11" ht="31.2">
      <c r="A387" s="26" t="s">
        <v>421</v>
      </c>
      <c r="B387" s="95" t="s">
        <v>726</v>
      </c>
      <c r="C387" s="108" t="s">
        <v>312</v>
      </c>
      <c r="D387" s="111">
        <v>58.63</v>
      </c>
      <c r="E387" s="27">
        <v>0</v>
      </c>
      <c r="F387" s="27">
        <v>0</v>
      </c>
      <c r="G387" s="27">
        <f t="shared" si="24"/>
        <v>0</v>
      </c>
      <c r="H387" s="28">
        <f t="shared" si="25"/>
        <v>0</v>
      </c>
      <c r="I387" s="28">
        <f t="shared" si="26"/>
        <v>0</v>
      </c>
      <c r="J387" s="28">
        <f t="shared" si="27"/>
        <v>0</v>
      </c>
      <c r="K387" s="29"/>
    </row>
    <row r="388" spans="1:11" ht="31.2">
      <c r="A388" s="26" t="s">
        <v>422</v>
      </c>
      <c r="B388" s="95" t="s">
        <v>727</v>
      </c>
      <c r="C388" s="108" t="s">
        <v>312</v>
      </c>
      <c r="D388" s="111">
        <v>63.39</v>
      </c>
      <c r="E388" s="27">
        <v>0</v>
      </c>
      <c r="F388" s="27">
        <v>0</v>
      </c>
      <c r="G388" s="27">
        <f t="shared" si="24"/>
        <v>0</v>
      </c>
      <c r="H388" s="28">
        <f t="shared" si="25"/>
        <v>0</v>
      </c>
      <c r="I388" s="28">
        <f t="shared" si="26"/>
        <v>0</v>
      </c>
      <c r="J388" s="28">
        <f t="shared" si="27"/>
        <v>0</v>
      </c>
      <c r="K388" s="29"/>
    </row>
    <row r="389" spans="1:11" ht="31.2">
      <c r="A389" s="26" t="s">
        <v>423</v>
      </c>
      <c r="B389" s="95" t="s">
        <v>728</v>
      </c>
      <c r="C389" s="108" t="s">
        <v>312</v>
      </c>
      <c r="D389" s="111">
        <v>16.149999999999999</v>
      </c>
      <c r="E389" s="27">
        <v>0</v>
      </c>
      <c r="F389" s="27">
        <v>0</v>
      </c>
      <c r="G389" s="27">
        <f t="shared" si="24"/>
        <v>0</v>
      </c>
      <c r="H389" s="28">
        <f t="shared" si="25"/>
        <v>0</v>
      </c>
      <c r="I389" s="28">
        <f t="shared" si="26"/>
        <v>0</v>
      </c>
      <c r="J389" s="28">
        <f t="shared" si="27"/>
        <v>0</v>
      </c>
      <c r="K389" s="29"/>
    </row>
    <row r="390" spans="1:11" ht="31.2">
      <c r="A390" s="26" t="s">
        <v>424</v>
      </c>
      <c r="B390" s="95" t="s">
        <v>729</v>
      </c>
      <c r="C390" s="108" t="s">
        <v>312</v>
      </c>
      <c r="D390" s="111">
        <v>4.66</v>
      </c>
      <c r="E390" s="27">
        <v>0</v>
      </c>
      <c r="F390" s="27">
        <v>0</v>
      </c>
      <c r="G390" s="27">
        <f t="shared" si="24"/>
        <v>0</v>
      </c>
      <c r="H390" s="28">
        <f t="shared" si="25"/>
        <v>0</v>
      </c>
      <c r="I390" s="28">
        <f t="shared" si="26"/>
        <v>0</v>
      </c>
      <c r="J390" s="28">
        <f t="shared" si="27"/>
        <v>0</v>
      </c>
      <c r="K390" s="29"/>
    </row>
    <row r="391" spans="1:11" ht="31.2">
      <c r="A391" s="26" t="s">
        <v>425</v>
      </c>
      <c r="B391" s="95" t="s">
        <v>730</v>
      </c>
      <c r="C391" s="108" t="s">
        <v>312</v>
      </c>
      <c r="D391" s="111">
        <v>7.02</v>
      </c>
      <c r="E391" s="27">
        <v>0</v>
      </c>
      <c r="F391" s="27">
        <v>0</v>
      </c>
      <c r="G391" s="27">
        <f t="shared" si="24"/>
        <v>0</v>
      </c>
      <c r="H391" s="28">
        <f t="shared" si="25"/>
        <v>0</v>
      </c>
      <c r="I391" s="28">
        <f t="shared" si="26"/>
        <v>0</v>
      </c>
      <c r="J391" s="28">
        <f t="shared" si="27"/>
        <v>0</v>
      </c>
      <c r="K391" s="29"/>
    </row>
    <row r="392" spans="1:11" ht="31.2">
      <c r="A392" s="26" t="s">
        <v>426</v>
      </c>
      <c r="B392" s="95" t="s">
        <v>731</v>
      </c>
      <c r="C392" s="108" t="s">
        <v>312</v>
      </c>
      <c r="D392" s="111">
        <v>495.47</v>
      </c>
      <c r="E392" s="27">
        <v>0</v>
      </c>
      <c r="F392" s="27">
        <v>0</v>
      </c>
      <c r="G392" s="27">
        <f t="shared" si="24"/>
        <v>0</v>
      </c>
      <c r="H392" s="28">
        <f t="shared" si="25"/>
        <v>0</v>
      </c>
      <c r="I392" s="28">
        <f t="shared" si="26"/>
        <v>0</v>
      </c>
      <c r="J392" s="28">
        <f t="shared" si="27"/>
        <v>0</v>
      </c>
      <c r="K392" s="29"/>
    </row>
    <row r="393" spans="1:11" ht="31.2">
      <c r="A393" s="26" t="s">
        <v>427</v>
      </c>
      <c r="B393" s="95" t="s">
        <v>732</v>
      </c>
      <c r="C393" s="108" t="s">
        <v>312</v>
      </c>
      <c r="D393" s="111">
        <v>110.98</v>
      </c>
      <c r="E393" s="27">
        <v>0</v>
      </c>
      <c r="F393" s="27">
        <v>0</v>
      </c>
      <c r="G393" s="27">
        <f t="shared" si="24"/>
        <v>0</v>
      </c>
      <c r="H393" s="28">
        <f t="shared" si="25"/>
        <v>0</v>
      </c>
      <c r="I393" s="28">
        <f t="shared" si="26"/>
        <v>0</v>
      </c>
      <c r="J393" s="28">
        <f t="shared" si="27"/>
        <v>0</v>
      </c>
      <c r="K393" s="29"/>
    </row>
    <row r="394" spans="1:11" ht="31.2">
      <c r="A394" s="26" t="s">
        <v>428</v>
      </c>
      <c r="B394" s="95" t="s">
        <v>733</v>
      </c>
      <c r="C394" s="108" t="s">
        <v>312</v>
      </c>
      <c r="D394" s="111">
        <v>18.77</v>
      </c>
      <c r="E394" s="27">
        <v>0</v>
      </c>
      <c r="F394" s="27">
        <v>0</v>
      </c>
      <c r="G394" s="27">
        <f t="shared" si="24"/>
        <v>0</v>
      </c>
      <c r="H394" s="28">
        <f t="shared" si="25"/>
        <v>0</v>
      </c>
      <c r="I394" s="28">
        <f t="shared" si="26"/>
        <v>0</v>
      </c>
      <c r="J394" s="28">
        <f t="shared" si="27"/>
        <v>0</v>
      </c>
      <c r="K394" s="29"/>
    </row>
    <row r="395" spans="1:11" ht="31.2">
      <c r="A395" s="26" t="s">
        <v>429</v>
      </c>
      <c r="B395" s="95" t="s">
        <v>734</v>
      </c>
      <c r="C395" s="108" t="s">
        <v>312</v>
      </c>
      <c r="D395" s="111">
        <v>508.01</v>
      </c>
      <c r="E395" s="27">
        <v>0</v>
      </c>
      <c r="F395" s="27">
        <v>0</v>
      </c>
      <c r="G395" s="27">
        <f t="shared" si="24"/>
        <v>0</v>
      </c>
      <c r="H395" s="28">
        <f t="shared" si="25"/>
        <v>0</v>
      </c>
      <c r="I395" s="28">
        <f t="shared" si="26"/>
        <v>0</v>
      </c>
      <c r="J395" s="28">
        <f t="shared" si="27"/>
        <v>0</v>
      </c>
      <c r="K395" s="29"/>
    </row>
    <row r="396" spans="1:11" ht="31.2">
      <c r="A396" s="26" t="s">
        <v>430</v>
      </c>
      <c r="B396" s="95" t="s">
        <v>735</v>
      </c>
      <c r="C396" s="108" t="s">
        <v>312</v>
      </c>
      <c r="D396" s="111">
        <v>111.93</v>
      </c>
      <c r="E396" s="27">
        <v>0</v>
      </c>
      <c r="F396" s="27">
        <v>0</v>
      </c>
      <c r="G396" s="27">
        <f t="shared" si="24"/>
        <v>0</v>
      </c>
      <c r="H396" s="28">
        <f t="shared" si="25"/>
        <v>0</v>
      </c>
      <c r="I396" s="28">
        <f t="shared" si="26"/>
        <v>0</v>
      </c>
      <c r="J396" s="28">
        <f t="shared" si="27"/>
        <v>0</v>
      </c>
      <c r="K396" s="29"/>
    </row>
    <row r="397" spans="1:11" ht="31.2">
      <c r="A397" s="26" t="s">
        <v>431</v>
      </c>
      <c r="B397" s="95" t="s">
        <v>736</v>
      </c>
      <c r="C397" s="108" t="s">
        <v>312</v>
      </c>
      <c r="D397" s="111">
        <v>18.899999999999999</v>
      </c>
      <c r="E397" s="27">
        <v>0</v>
      </c>
      <c r="F397" s="27">
        <v>0</v>
      </c>
      <c r="G397" s="27">
        <f t="shared" si="24"/>
        <v>0</v>
      </c>
      <c r="H397" s="28">
        <f t="shared" si="25"/>
        <v>0</v>
      </c>
      <c r="I397" s="28">
        <f t="shared" si="26"/>
        <v>0</v>
      </c>
      <c r="J397" s="28">
        <f t="shared" si="27"/>
        <v>0</v>
      </c>
      <c r="K397" s="29"/>
    </row>
    <row r="398" spans="1:11" ht="31.2">
      <c r="A398" s="26" t="s">
        <v>432</v>
      </c>
      <c r="B398" s="95" t="s">
        <v>737</v>
      </c>
      <c r="C398" s="108" t="s">
        <v>312</v>
      </c>
      <c r="D398" s="111">
        <v>2.41</v>
      </c>
      <c r="E398" s="27">
        <v>0</v>
      </c>
      <c r="F398" s="27">
        <v>0</v>
      </c>
      <c r="G398" s="27">
        <f t="shared" si="24"/>
        <v>0</v>
      </c>
      <c r="H398" s="28">
        <f t="shared" si="25"/>
        <v>0</v>
      </c>
      <c r="I398" s="28">
        <f t="shared" si="26"/>
        <v>0</v>
      </c>
      <c r="J398" s="28">
        <f t="shared" si="27"/>
        <v>0</v>
      </c>
      <c r="K398" s="29"/>
    </row>
    <row r="399" spans="1:11" ht="31.2">
      <c r="A399" s="26" t="s">
        <v>433</v>
      </c>
      <c r="B399" s="95" t="s">
        <v>738</v>
      </c>
      <c r="C399" s="108" t="s">
        <v>312</v>
      </c>
      <c r="D399" s="111">
        <v>31.54</v>
      </c>
      <c r="E399" s="27">
        <v>0</v>
      </c>
      <c r="F399" s="27">
        <v>0</v>
      </c>
      <c r="G399" s="27">
        <f t="shared" si="24"/>
        <v>0</v>
      </c>
      <c r="H399" s="28">
        <f t="shared" si="25"/>
        <v>0</v>
      </c>
      <c r="I399" s="28">
        <f t="shared" si="26"/>
        <v>0</v>
      </c>
      <c r="J399" s="28">
        <f t="shared" si="27"/>
        <v>0</v>
      </c>
      <c r="K399" s="29"/>
    </row>
    <row r="400" spans="1:11" ht="31.2">
      <c r="A400" s="26" t="s">
        <v>434</v>
      </c>
      <c r="B400" s="95" t="s">
        <v>739</v>
      </c>
      <c r="C400" s="108" t="s">
        <v>312</v>
      </c>
      <c r="D400" s="111">
        <v>7.34</v>
      </c>
      <c r="E400" s="27">
        <v>0</v>
      </c>
      <c r="F400" s="27">
        <v>0</v>
      </c>
      <c r="G400" s="27">
        <f t="shared" si="24"/>
        <v>0</v>
      </c>
      <c r="H400" s="28">
        <f t="shared" si="25"/>
        <v>0</v>
      </c>
      <c r="I400" s="28">
        <f t="shared" si="26"/>
        <v>0</v>
      </c>
      <c r="J400" s="28">
        <f t="shared" si="27"/>
        <v>0</v>
      </c>
      <c r="K400" s="29"/>
    </row>
    <row r="401" spans="1:11" ht="31.2">
      <c r="A401" s="26" t="s">
        <v>435</v>
      </c>
      <c r="B401" s="95" t="s">
        <v>740</v>
      </c>
      <c r="C401" s="108" t="s">
        <v>312</v>
      </c>
      <c r="D401" s="111">
        <v>19.920000000000002</v>
      </c>
      <c r="E401" s="27">
        <v>0</v>
      </c>
      <c r="F401" s="27">
        <v>0</v>
      </c>
      <c r="G401" s="27">
        <f t="shared" si="24"/>
        <v>0</v>
      </c>
      <c r="H401" s="28">
        <f t="shared" si="25"/>
        <v>0</v>
      </c>
      <c r="I401" s="28">
        <f t="shared" si="26"/>
        <v>0</v>
      </c>
      <c r="J401" s="28">
        <f t="shared" si="27"/>
        <v>0</v>
      </c>
      <c r="K401" s="29"/>
    </row>
    <row r="402" spans="1:11" ht="31.2">
      <c r="A402" s="26" t="s">
        <v>436</v>
      </c>
      <c r="B402" s="95" t="s">
        <v>741</v>
      </c>
      <c r="C402" s="108" t="s">
        <v>312</v>
      </c>
      <c r="D402" s="111">
        <v>3.4</v>
      </c>
      <c r="E402" s="27">
        <v>0</v>
      </c>
      <c r="F402" s="27">
        <v>0</v>
      </c>
      <c r="G402" s="27">
        <f t="shared" si="24"/>
        <v>0</v>
      </c>
      <c r="H402" s="28">
        <f t="shared" si="25"/>
        <v>0</v>
      </c>
      <c r="I402" s="28">
        <f t="shared" si="26"/>
        <v>0</v>
      </c>
      <c r="J402" s="28">
        <f t="shared" si="27"/>
        <v>0</v>
      </c>
      <c r="K402" s="29"/>
    </row>
    <row r="403" spans="1:11">
      <c r="A403" s="26" t="s">
        <v>437</v>
      </c>
      <c r="B403" s="95" t="s">
        <v>742</v>
      </c>
      <c r="C403" s="108" t="s">
        <v>313</v>
      </c>
      <c r="D403" s="111">
        <v>4</v>
      </c>
      <c r="E403" s="27">
        <v>0</v>
      </c>
      <c r="F403" s="27">
        <v>0</v>
      </c>
      <c r="G403" s="27">
        <f t="shared" si="24"/>
        <v>0</v>
      </c>
      <c r="H403" s="28">
        <f t="shared" si="25"/>
        <v>0</v>
      </c>
      <c r="I403" s="28">
        <f t="shared" si="26"/>
        <v>0</v>
      </c>
      <c r="J403" s="28">
        <f t="shared" si="27"/>
        <v>0</v>
      </c>
      <c r="K403" s="29"/>
    </row>
    <row r="404" spans="1:11" ht="31.2">
      <c r="A404" s="26" t="s">
        <v>438</v>
      </c>
      <c r="B404" s="95" t="s">
        <v>743</v>
      </c>
      <c r="C404" s="108" t="s">
        <v>313</v>
      </c>
      <c r="D404" s="111">
        <v>4</v>
      </c>
      <c r="E404" s="27">
        <v>0</v>
      </c>
      <c r="F404" s="27">
        <v>0</v>
      </c>
      <c r="G404" s="27">
        <f t="shared" si="24"/>
        <v>0</v>
      </c>
      <c r="H404" s="28">
        <f t="shared" si="25"/>
        <v>0</v>
      </c>
      <c r="I404" s="28">
        <f t="shared" si="26"/>
        <v>0</v>
      </c>
      <c r="J404" s="28">
        <f t="shared" si="27"/>
        <v>0</v>
      </c>
      <c r="K404" s="29"/>
    </row>
    <row r="405" spans="1:11" ht="31.2">
      <c r="A405" s="26" t="s">
        <v>439</v>
      </c>
      <c r="B405" s="95" t="s">
        <v>744</v>
      </c>
      <c r="C405" s="108" t="s">
        <v>313</v>
      </c>
      <c r="D405" s="111">
        <v>4</v>
      </c>
      <c r="E405" s="27">
        <v>0</v>
      </c>
      <c r="F405" s="27">
        <v>0</v>
      </c>
      <c r="G405" s="27">
        <f t="shared" si="24"/>
        <v>0</v>
      </c>
      <c r="H405" s="28">
        <f t="shared" si="25"/>
        <v>0</v>
      </c>
      <c r="I405" s="28">
        <f t="shared" si="26"/>
        <v>0</v>
      </c>
      <c r="J405" s="28">
        <f t="shared" si="27"/>
        <v>0</v>
      </c>
      <c r="K405" s="29"/>
    </row>
    <row r="406" spans="1:11" ht="31.2">
      <c r="A406" s="26" t="s">
        <v>440</v>
      </c>
      <c r="B406" s="95" t="s">
        <v>745</v>
      </c>
      <c r="C406" s="108" t="s">
        <v>313</v>
      </c>
      <c r="D406" s="111">
        <v>11</v>
      </c>
      <c r="E406" s="27">
        <v>0</v>
      </c>
      <c r="F406" s="27">
        <v>0</v>
      </c>
      <c r="G406" s="27">
        <f t="shared" si="24"/>
        <v>0</v>
      </c>
      <c r="H406" s="28">
        <f t="shared" si="25"/>
        <v>0</v>
      </c>
      <c r="I406" s="28">
        <f t="shared" si="26"/>
        <v>0</v>
      </c>
      <c r="J406" s="28">
        <f t="shared" si="27"/>
        <v>0</v>
      </c>
      <c r="K406" s="29"/>
    </row>
    <row r="407" spans="1:11" ht="31.2">
      <c r="A407" s="26" t="s">
        <v>441</v>
      </c>
      <c r="B407" s="95" t="s">
        <v>746</v>
      </c>
      <c r="C407" s="108" t="s">
        <v>313</v>
      </c>
      <c r="D407" s="111">
        <v>12</v>
      </c>
      <c r="E407" s="27">
        <v>0</v>
      </c>
      <c r="F407" s="27">
        <v>0</v>
      </c>
      <c r="G407" s="27">
        <f t="shared" si="24"/>
        <v>0</v>
      </c>
      <c r="H407" s="28">
        <f t="shared" si="25"/>
        <v>0</v>
      </c>
      <c r="I407" s="28">
        <f t="shared" si="26"/>
        <v>0</v>
      </c>
      <c r="J407" s="28">
        <f t="shared" si="27"/>
        <v>0</v>
      </c>
      <c r="K407" s="29"/>
    </row>
    <row r="408" spans="1:11" ht="31.2">
      <c r="A408" s="26" t="s">
        <v>442</v>
      </c>
      <c r="B408" s="95" t="s">
        <v>747</v>
      </c>
      <c r="C408" s="108" t="s">
        <v>313</v>
      </c>
      <c r="D408" s="111">
        <v>2</v>
      </c>
      <c r="E408" s="27">
        <v>0</v>
      </c>
      <c r="F408" s="27">
        <v>0</v>
      </c>
      <c r="G408" s="27">
        <f t="shared" si="24"/>
        <v>0</v>
      </c>
      <c r="H408" s="28">
        <f t="shared" si="25"/>
        <v>0</v>
      </c>
      <c r="I408" s="28">
        <f t="shared" si="26"/>
        <v>0</v>
      </c>
      <c r="J408" s="28">
        <f t="shared" si="27"/>
        <v>0</v>
      </c>
      <c r="K408" s="29" t="s">
        <v>321</v>
      </c>
    </row>
    <row r="409" spans="1:11" ht="31.2">
      <c r="A409" s="26" t="s">
        <v>443</v>
      </c>
      <c r="B409" s="95" t="s">
        <v>748</v>
      </c>
      <c r="C409" s="108" t="s">
        <v>313</v>
      </c>
      <c r="D409" s="111">
        <v>2</v>
      </c>
      <c r="E409" s="27">
        <v>0</v>
      </c>
      <c r="F409" s="27">
        <v>0</v>
      </c>
      <c r="G409" s="27">
        <f t="shared" si="24"/>
        <v>0</v>
      </c>
      <c r="H409" s="28">
        <f t="shared" si="25"/>
        <v>0</v>
      </c>
      <c r="I409" s="28">
        <f t="shared" si="26"/>
        <v>0</v>
      </c>
      <c r="J409" s="28">
        <f t="shared" si="27"/>
        <v>0</v>
      </c>
      <c r="K409" s="29" t="s">
        <v>321</v>
      </c>
    </row>
    <row r="410" spans="1:11" ht="31.2">
      <c r="A410" s="26" t="s">
        <v>444</v>
      </c>
      <c r="B410" s="95" t="s">
        <v>749</v>
      </c>
      <c r="C410" s="108" t="s">
        <v>313</v>
      </c>
      <c r="D410" s="111">
        <v>4</v>
      </c>
      <c r="E410" s="27">
        <v>0</v>
      </c>
      <c r="F410" s="27">
        <v>0</v>
      </c>
      <c r="G410" s="27">
        <f t="shared" si="24"/>
        <v>0</v>
      </c>
      <c r="H410" s="28">
        <f t="shared" si="25"/>
        <v>0</v>
      </c>
      <c r="I410" s="28">
        <f t="shared" si="26"/>
        <v>0</v>
      </c>
      <c r="J410" s="28">
        <f t="shared" si="27"/>
        <v>0</v>
      </c>
      <c r="K410" s="29"/>
    </row>
    <row r="411" spans="1:11">
      <c r="A411" s="26" t="s">
        <v>445</v>
      </c>
      <c r="B411" s="95" t="s">
        <v>750</v>
      </c>
      <c r="C411" s="108" t="s">
        <v>312</v>
      </c>
      <c r="D411" s="111">
        <v>0.48</v>
      </c>
      <c r="E411" s="27">
        <v>0</v>
      </c>
      <c r="F411" s="27">
        <v>0</v>
      </c>
      <c r="G411" s="27">
        <f t="shared" si="24"/>
        <v>0</v>
      </c>
      <c r="H411" s="28">
        <f t="shared" si="25"/>
        <v>0</v>
      </c>
      <c r="I411" s="28">
        <f t="shared" si="26"/>
        <v>0</v>
      </c>
      <c r="J411" s="28">
        <f t="shared" si="27"/>
        <v>0</v>
      </c>
      <c r="K411" s="29"/>
    </row>
    <row r="412" spans="1:11" ht="31.2">
      <c r="A412" s="26" t="s">
        <v>446</v>
      </c>
      <c r="B412" s="95" t="s">
        <v>751</v>
      </c>
      <c r="C412" s="108" t="s">
        <v>312</v>
      </c>
      <c r="D412" s="111">
        <v>25.45</v>
      </c>
      <c r="E412" s="27">
        <v>0</v>
      </c>
      <c r="F412" s="27">
        <v>0</v>
      </c>
      <c r="G412" s="27">
        <f t="shared" si="24"/>
        <v>0</v>
      </c>
      <c r="H412" s="28">
        <f t="shared" si="25"/>
        <v>0</v>
      </c>
      <c r="I412" s="28">
        <f t="shared" si="26"/>
        <v>0</v>
      </c>
      <c r="J412" s="28">
        <f t="shared" si="27"/>
        <v>0</v>
      </c>
      <c r="K412" s="29"/>
    </row>
    <row r="413" spans="1:11" ht="31.2">
      <c r="A413" s="26" t="s">
        <v>447</v>
      </c>
      <c r="B413" s="95" t="s">
        <v>752</v>
      </c>
      <c r="C413" s="108" t="s">
        <v>312</v>
      </c>
      <c r="D413" s="111">
        <v>3.07</v>
      </c>
      <c r="E413" s="27">
        <v>0</v>
      </c>
      <c r="F413" s="27">
        <v>0</v>
      </c>
      <c r="G413" s="27">
        <f t="shared" si="24"/>
        <v>0</v>
      </c>
      <c r="H413" s="28">
        <f t="shared" si="25"/>
        <v>0</v>
      </c>
      <c r="I413" s="28">
        <f t="shared" si="26"/>
        <v>0</v>
      </c>
      <c r="J413" s="28">
        <f t="shared" si="27"/>
        <v>0</v>
      </c>
      <c r="K413" s="29"/>
    </row>
    <row r="414" spans="1:11" ht="31.2">
      <c r="A414" s="26" t="s">
        <v>448</v>
      </c>
      <c r="B414" s="95" t="s">
        <v>753</v>
      </c>
      <c r="C414" s="108" t="s">
        <v>312</v>
      </c>
      <c r="D414" s="111">
        <v>83.27</v>
      </c>
      <c r="E414" s="27">
        <v>0</v>
      </c>
      <c r="F414" s="27">
        <v>0</v>
      </c>
      <c r="G414" s="27">
        <f t="shared" si="24"/>
        <v>0</v>
      </c>
      <c r="H414" s="28">
        <f t="shared" si="25"/>
        <v>0</v>
      </c>
      <c r="I414" s="28">
        <f t="shared" si="26"/>
        <v>0</v>
      </c>
      <c r="J414" s="28">
        <f t="shared" si="27"/>
        <v>0</v>
      </c>
      <c r="K414" s="29"/>
    </row>
    <row r="415" spans="1:11" ht="31.2">
      <c r="A415" s="26" t="s">
        <v>449</v>
      </c>
      <c r="B415" s="95" t="s">
        <v>754</v>
      </c>
      <c r="C415" s="108" t="s">
        <v>312</v>
      </c>
      <c r="D415" s="111">
        <v>28</v>
      </c>
      <c r="E415" s="27">
        <v>0</v>
      </c>
      <c r="F415" s="27">
        <v>0</v>
      </c>
      <c r="G415" s="27">
        <f t="shared" ref="G415:G456" si="28">E415+F415</f>
        <v>0</v>
      </c>
      <c r="H415" s="28">
        <f t="shared" ref="H415:H456" si="29">D415*E415</f>
        <v>0</v>
      </c>
      <c r="I415" s="28">
        <f t="shared" ref="I415:I456" si="30">D415*F415</f>
        <v>0</v>
      </c>
      <c r="J415" s="28">
        <f t="shared" ref="J415:J456" si="31">H415+I415</f>
        <v>0</v>
      </c>
      <c r="K415" s="29"/>
    </row>
    <row r="416" spans="1:11" ht="31.2">
      <c r="A416" s="26" t="s">
        <v>450</v>
      </c>
      <c r="B416" s="95" t="s">
        <v>755</v>
      </c>
      <c r="C416" s="108" t="s">
        <v>312</v>
      </c>
      <c r="D416" s="111">
        <v>3.38</v>
      </c>
      <c r="E416" s="27">
        <v>0</v>
      </c>
      <c r="F416" s="27">
        <v>0</v>
      </c>
      <c r="G416" s="27">
        <f t="shared" si="28"/>
        <v>0</v>
      </c>
      <c r="H416" s="28">
        <f t="shared" si="29"/>
        <v>0</v>
      </c>
      <c r="I416" s="28">
        <f t="shared" si="30"/>
        <v>0</v>
      </c>
      <c r="J416" s="28">
        <f t="shared" si="31"/>
        <v>0</v>
      </c>
      <c r="K416" s="29"/>
    </row>
    <row r="417" spans="1:11" ht="31.2">
      <c r="A417" s="26" t="s">
        <v>451</v>
      </c>
      <c r="B417" s="95" t="s">
        <v>756</v>
      </c>
      <c r="C417" s="108" t="s">
        <v>312</v>
      </c>
      <c r="D417" s="111">
        <v>91.48</v>
      </c>
      <c r="E417" s="27">
        <v>0</v>
      </c>
      <c r="F417" s="27">
        <v>0</v>
      </c>
      <c r="G417" s="27">
        <f t="shared" si="28"/>
        <v>0</v>
      </c>
      <c r="H417" s="28">
        <f t="shared" si="29"/>
        <v>0</v>
      </c>
      <c r="I417" s="28">
        <f t="shared" si="30"/>
        <v>0</v>
      </c>
      <c r="J417" s="28">
        <f t="shared" si="31"/>
        <v>0</v>
      </c>
      <c r="K417" s="29"/>
    </row>
    <row r="418" spans="1:11">
      <c r="A418" s="26" t="s">
        <v>452</v>
      </c>
      <c r="B418" s="95" t="s">
        <v>757</v>
      </c>
      <c r="C418" s="108" t="s">
        <v>314</v>
      </c>
      <c r="D418" s="111">
        <v>69.12</v>
      </c>
      <c r="E418" s="27">
        <v>0</v>
      </c>
      <c r="F418" s="27">
        <v>0</v>
      </c>
      <c r="G418" s="27">
        <f t="shared" si="28"/>
        <v>0</v>
      </c>
      <c r="H418" s="28">
        <f t="shared" si="29"/>
        <v>0</v>
      </c>
      <c r="I418" s="28">
        <f t="shared" si="30"/>
        <v>0</v>
      </c>
      <c r="J418" s="28">
        <f t="shared" si="31"/>
        <v>0</v>
      </c>
      <c r="K418" s="29"/>
    </row>
    <row r="419" spans="1:11">
      <c r="A419" s="26" t="s">
        <v>453</v>
      </c>
      <c r="B419" s="95" t="s">
        <v>742</v>
      </c>
      <c r="C419" s="108" t="s">
        <v>313</v>
      </c>
      <c r="D419" s="111">
        <v>14</v>
      </c>
      <c r="E419" s="27">
        <v>0</v>
      </c>
      <c r="F419" s="27">
        <v>0</v>
      </c>
      <c r="G419" s="27">
        <f t="shared" si="28"/>
        <v>0</v>
      </c>
      <c r="H419" s="28">
        <f t="shared" si="29"/>
        <v>0</v>
      </c>
      <c r="I419" s="28">
        <f t="shared" si="30"/>
        <v>0</v>
      </c>
      <c r="J419" s="28">
        <f t="shared" si="31"/>
        <v>0</v>
      </c>
      <c r="K419" s="29"/>
    </row>
    <row r="420" spans="1:11" ht="31.2">
      <c r="A420" s="26" t="s">
        <v>454</v>
      </c>
      <c r="B420" s="95" t="s">
        <v>743</v>
      </c>
      <c r="C420" s="108" t="s">
        <v>313</v>
      </c>
      <c r="D420" s="111">
        <v>2</v>
      </c>
      <c r="E420" s="27">
        <v>0</v>
      </c>
      <c r="F420" s="27">
        <v>0</v>
      </c>
      <c r="G420" s="27">
        <f t="shared" si="28"/>
        <v>0</v>
      </c>
      <c r="H420" s="28">
        <f t="shared" si="29"/>
        <v>0</v>
      </c>
      <c r="I420" s="28">
        <f t="shared" si="30"/>
        <v>0</v>
      </c>
      <c r="J420" s="28">
        <f t="shared" si="31"/>
        <v>0</v>
      </c>
      <c r="K420" s="29"/>
    </row>
    <row r="421" spans="1:11" ht="31.2">
      <c r="A421" s="26" t="s">
        <v>455</v>
      </c>
      <c r="B421" s="95" t="s">
        <v>758</v>
      </c>
      <c r="C421" s="108" t="s">
        <v>313</v>
      </c>
      <c r="D421" s="111">
        <v>3</v>
      </c>
      <c r="E421" s="27">
        <v>0</v>
      </c>
      <c r="F421" s="27">
        <v>0</v>
      </c>
      <c r="G421" s="27">
        <f t="shared" si="28"/>
        <v>0</v>
      </c>
      <c r="H421" s="28">
        <f t="shared" si="29"/>
        <v>0</v>
      </c>
      <c r="I421" s="28">
        <f t="shared" si="30"/>
        <v>0</v>
      </c>
      <c r="J421" s="28">
        <f t="shared" si="31"/>
        <v>0</v>
      </c>
      <c r="K421" s="29"/>
    </row>
    <row r="422" spans="1:11" ht="31.2">
      <c r="A422" s="26" t="s">
        <v>456</v>
      </c>
      <c r="B422" s="95" t="s">
        <v>759</v>
      </c>
      <c r="C422" s="108" t="s">
        <v>313</v>
      </c>
      <c r="D422" s="111">
        <v>2</v>
      </c>
      <c r="E422" s="27">
        <v>0</v>
      </c>
      <c r="F422" s="27">
        <v>0</v>
      </c>
      <c r="G422" s="27">
        <f t="shared" si="28"/>
        <v>0</v>
      </c>
      <c r="H422" s="28">
        <f t="shared" si="29"/>
        <v>0</v>
      </c>
      <c r="I422" s="28">
        <f t="shared" si="30"/>
        <v>0</v>
      </c>
      <c r="J422" s="28">
        <f t="shared" si="31"/>
        <v>0</v>
      </c>
      <c r="K422" s="29"/>
    </row>
    <row r="423" spans="1:11" ht="31.2">
      <c r="A423" s="26" t="s">
        <v>457</v>
      </c>
      <c r="B423" s="95" t="s">
        <v>760</v>
      </c>
      <c r="C423" s="108" t="s">
        <v>313</v>
      </c>
      <c r="D423" s="111">
        <v>1</v>
      </c>
      <c r="E423" s="27">
        <v>0</v>
      </c>
      <c r="F423" s="27">
        <v>0</v>
      </c>
      <c r="G423" s="27">
        <f t="shared" si="28"/>
        <v>0</v>
      </c>
      <c r="H423" s="28">
        <f t="shared" si="29"/>
        <v>0</v>
      </c>
      <c r="I423" s="28">
        <f t="shared" si="30"/>
        <v>0</v>
      </c>
      <c r="J423" s="28">
        <f t="shared" si="31"/>
        <v>0</v>
      </c>
      <c r="K423" s="29"/>
    </row>
    <row r="424" spans="1:11" ht="31.2">
      <c r="A424" s="26" t="s">
        <v>458</v>
      </c>
      <c r="B424" s="95" t="s">
        <v>761</v>
      </c>
      <c r="C424" s="108" t="s">
        <v>313</v>
      </c>
      <c r="D424" s="111">
        <v>3</v>
      </c>
      <c r="E424" s="27">
        <v>0</v>
      </c>
      <c r="F424" s="27">
        <v>0</v>
      </c>
      <c r="G424" s="27">
        <f t="shared" si="28"/>
        <v>0</v>
      </c>
      <c r="H424" s="28">
        <f t="shared" si="29"/>
        <v>0</v>
      </c>
      <c r="I424" s="28">
        <f t="shared" si="30"/>
        <v>0</v>
      </c>
      <c r="J424" s="28">
        <f t="shared" si="31"/>
        <v>0</v>
      </c>
      <c r="K424" s="29"/>
    </row>
    <row r="425" spans="1:11" ht="31.2">
      <c r="A425" s="26" t="s">
        <v>459</v>
      </c>
      <c r="B425" s="95" t="s">
        <v>745</v>
      </c>
      <c r="C425" s="108" t="s">
        <v>313</v>
      </c>
      <c r="D425" s="111">
        <v>21</v>
      </c>
      <c r="E425" s="27">
        <v>0</v>
      </c>
      <c r="F425" s="27">
        <v>0</v>
      </c>
      <c r="G425" s="27">
        <f t="shared" si="28"/>
        <v>0</v>
      </c>
      <c r="H425" s="28">
        <f t="shared" si="29"/>
        <v>0</v>
      </c>
      <c r="I425" s="28">
        <f t="shared" si="30"/>
        <v>0</v>
      </c>
      <c r="J425" s="28">
        <f t="shared" si="31"/>
        <v>0</v>
      </c>
      <c r="K425" s="29"/>
    </row>
    <row r="426" spans="1:11" ht="31.2">
      <c r="A426" s="26" t="s">
        <v>460</v>
      </c>
      <c r="B426" s="95" t="s">
        <v>762</v>
      </c>
      <c r="C426" s="108" t="s">
        <v>313</v>
      </c>
      <c r="D426" s="111">
        <v>25</v>
      </c>
      <c r="E426" s="27">
        <v>0</v>
      </c>
      <c r="F426" s="27">
        <v>0</v>
      </c>
      <c r="G426" s="27">
        <f t="shared" si="28"/>
        <v>0</v>
      </c>
      <c r="H426" s="28">
        <f t="shared" si="29"/>
        <v>0</v>
      </c>
      <c r="I426" s="28">
        <f t="shared" si="30"/>
        <v>0</v>
      </c>
      <c r="J426" s="28">
        <f t="shared" si="31"/>
        <v>0</v>
      </c>
      <c r="K426" s="29"/>
    </row>
    <row r="427" spans="1:11" ht="31.2">
      <c r="A427" s="26" t="s">
        <v>461</v>
      </c>
      <c r="B427" s="95" t="s">
        <v>763</v>
      </c>
      <c r="C427" s="108" t="s">
        <v>313</v>
      </c>
      <c r="D427" s="111">
        <v>2</v>
      </c>
      <c r="E427" s="27">
        <v>0</v>
      </c>
      <c r="F427" s="27">
        <v>0</v>
      </c>
      <c r="G427" s="27">
        <f t="shared" si="28"/>
        <v>0</v>
      </c>
      <c r="H427" s="28">
        <f t="shared" si="29"/>
        <v>0</v>
      </c>
      <c r="I427" s="28">
        <f t="shared" si="30"/>
        <v>0</v>
      </c>
      <c r="J427" s="28">
        <f t="shared" si="31"/>
        <v>0</v>
      </c>
      <c r="K427" s="29"/>
    </row>
    <row r="428" spans="1:11" ht="31.2">
      <c r="A428" s="26" t="s">
        <v>462</v>
      </c>
      <c r="B428" s="95" t="s">
        <v>746</v>
      </c>
      <c r="C428" s="108" t="s">
        <v>313</v>
      </c>
      <c r="D428" s="111">
        <v>10</v>
      </c>
      <c r="E428" s="27">
        <v>0</v>
      </c>
      <c r="F428" s="27">
        <v>0</v>
      </c>
      <c r="G428" s="27">
        <f t="shared" si="28"/>
        <v>0</v>
      </c>
      <c r="H428" s="28">
        <f t="shared" si="29"/>
        <v>0</v>
      </c>
      <c r="I428" s="28">
        <f t="shared" si="30"/>
        <v>0</v>
      </c>
      <c r="J428" s="28">
        <f t="shared" si="31"/>
        <v>0</v>
      </c>
      <c r="K428" s="29"/>
    </row>
    <row r="429" spans="1:11" ht="46.8">
      <c r="A429" s="26" t="s">
        <v>463</v>
      </c>
      <c r="B429" s="95" t="s">
        <v>764</v>
      </c>
      <c r="C429" s="108" t="s">
        <v>313</v>
      </c>
      <c r="D429" s="111">
        <v>3</v>
      </c>
      <c r="E429" s="27">
        <v>0</v>
      </c>
      <c r="F429" s="27">
        <v>0</v>
      </c>
      <c r="G429" s="27">
        <f t="shared" si="28"/>
        <v>0</v>
      </c>
      <c r="H429" s="28">
        <f t="shared" si="29"/>
        <v>0</v>
      </c>
      <c r="I429" s="28">
        <f t="shared" si="30"/>
        <v>0</v>
      </c>
      <c r="J429" s="28">
        <f t="shared" si="31"/>
        <v>0</v>
      </c>
      <c r="K429" s="29"/>
    </row>
    <row r="430" spans="1:11" ht="46.8">
      <c r="A430" s="26" t="s">
        <v>464</v>
      </c>
      <c r="B430" s="95" t="s">
        <v>765</v>
      </c>
      <c r="C430" s="108" t="s">
        <v>313</v>
      </c>
      <c r="D430" s="111">
        <v>1</v>
      </c>
      <c r="E430" s="27">
        <v>0</v>
      </c>
      <c r="F430" s="27">
        <v>0</v>
      </c>
      <c r="G430" s="27">
        <f t="shared" si="28"/>
        <v>0</v>
      </c>
      <c r="H430" s="28">
        <f t="shared" si="29"/>
        <v>0</v>
      </c>
      <c r="I430" s="28">
        <f t="shared" si="30"/>
        <v>0</v>
      </c>
      <c r="J430" s="28">
        <f t="shared" si="31"/>
        <v>0</v>
      </c>
      <c r="K430" s="29"/>
    </row>
    <row r="431" spans="1:11" ht="31.2">
      <c r="A431" s="26" t="s">
        <v>465</v>
      </c>
      <c r="B431" s="95" t="s">
        <v>766</v>
      </c>
      <c r="C431" s="108" t="s">
        <v>313</v>
      </c>
      <c r="D431" s="111">
        <v>6</v>
      </c>
      <c r="E431" s="27">
        <v>0</v>
      </c>
      <c r="F431" s="27">
        <v>0</v>
      </c>
      <c r="G431" s="27">
        <f t="shared" si="28"/>
        <v>0</v>
      </c>
      <c r="H431" s="28">
        <f t="shared" si="29"/>
        <v>0</v>
      </c>
      <c r="I431" s="28">
        <f t="shared" si="30"/>
        <v>0</v>
      </c>
      <c r="J431" s="28">
        <f t="shared" si="31"/>
        <v>0</v>
      </c>
      <c r="K431" s="29"/>
    </row>
    <row r="432" spans="1:11" ht="31.2">
      <c r="A432" s="26" t="s">
        <v>466</v>
      </c>
      <c r="B432" s="95" t="s">
        <v>749</v>
      </c>
      <c r="C432" s="108" t="s">
        <v>313</v>
      </c>
      <c r="D432" s="111">
        <v>2</v>
      </c>
      <c r="E432" s="27">
        <v>0</v>
      </c>
      <c r="F432" s="27">
        <v>0</v>
      </c>
      <c r="G432" s="27">
        <f t="shared" si="28"/>
        <v>0</v>
      </c>
      <c r="H432" s="28">
        <f t="shared" si="29"/>
        <v>0</v>
      </c>
      <c r="I432" s="28">
        <f t="shared" si="30"/>
        <v>0</v>
      </c>
      <c r="J432" s="28">
        <f t="shared" si="31"/>
        <v>0</v>
      </c>
      <c r="K432" s="29"/>
    </row>
    <row r="433" spans="1:11" ht="31.2">
      <c r="A433" s="26" t="s">
        <v>467</v>
      </c>
      <c r="B433" s="95" t="s">
        <v>767</v>
      </c>
      <c r="C433" s="108" t="s">
        <v>313</v>
      </c>
      <c r="D433" s="111">
        <v>2</v>
      </c>
      <c r="E433" s="27">
        <v>0</v>
      </c>
      <c r="F433" s="27">
        <v>0</v>
      </c>
      <c r="G433" s="27">
        <f t="shared" si="28"/>
        <v>0</v>
      </c>
      <c r="H433" s="28">
        <f t="shared" si="29"/>
        <v>0</v>
      </c>
      <c r="I433" s="28">
        <f t="shared" si="30"/>
        <v>0</v>
      </c>
      <c r="J433" s="28">
        <f t="shared" si="31"/>
        <v>0</v>
      </c>
      <c r="K433" s="29" t="s">
        <v>321</v>
      </c>
    </row>
    <row r="434" spans="1:11" ht="31.2">
      <c r="A434" s="26" t="s">
        <v>468</v>
      </c>
      <c r="B434" s="95" t="s">
        <v>747</v>
      </c>
      <c r="C434" s="108" t="s">
        <v>313</v>
      </c>
      <c r="D434" s="111">
        <v>2</v>
      </c>
      <c r="E434" s="27">
        <v>0</v>
      </c>
      <c r="F434" s="27">
        <v>0</v>
      </c>
      <c r="G434" s="27">
        <f t="shared" si="28"/>
        <v>0</v>
      </c>
      <c r="H434" s="28">
        <f t="shared" si="29"/>
        <v>0</v>
      </c>
      <c r="I434" s="28">
        <f t="shared" si="30"/>
        <v>0</v>
      </c>
      <c r="J434" s="28">
        <f t="shared" si="31"/>
        <v>0</v>
      </c>
      <c r="K434" s="29" t="s">
        <v>321</v>
      </c>
    </row>
    <row r="435" spans="1:11" ht="31.2">
      <c r="A435" s="26" t="s">
        <v>469</v>
      </c>
      <c r="B435" s="95" t="s">
        <v>768</v>
      </c>
      <c r="C435" s="108" t="s">
        <v>313</v>
      </c>
      <c r="D435" s="111">
        <v>2</v>
      </c>
      <c r="E435" s="27">
        <v>0</v>
      </c>
      <c r="F435" s="27">
        <v>0</v>
      </c>
      <c r="G435" s="27">
        <f t="shared" si="28"/>
        <v>0</v>
      </c>
      <c r="H435" s="28">
        <f t="shared" si="29"/>
        <v>0</v>
      </c>
      <c r="I435" s="28">
        <f t="shared" si="30"/>
        <v>0</v>
      </c>
      <c r="J435" s="28">
        <f t="shared" si="31"/>
        <v>0</v>
      </c>
      <c r="K435" s="29" t="s">
        <v>321</v>
      </c>
    </row>
    <row r="436" spans="1:11" ht="31.2">
      <c r="A436" s="26" t="s">
        <v>470</v>
      </c>
      <c r="B436" s="95" t="s">
        <v>748</v>
      </c>
      <c r="C436" s="108" t="s">
        <v>313</v>
      </c>
      <c r="D436" s="111">
        <v>2</v>
      </c>
      <c r="E436" s="27">
        <v>0</v>
      </c>
      <c r="F436" s="27">
        <v>0</v>
      </c>
      <c r="G436" s="27">
        <f t="shared" si="28"/>
        <v>0</v>
      </c>
      <c r="H436" s="28">
        <f t="shared" si="29"/>
        <v>0</v>
      </c>
      <c r="I436" s="28">
        <f t="shared" si="30"/>
        <v>0</v>
      </c>
      <c r="J436" s="28">
        <f t="shared" si="31"/>
        <v>0</v>
      </c>
      <c r="K436" s="29" t="s">
        <v>321</v>
      </c>
    </row>
    <row r="437" spans="1:11">
      <c r="A437" s="26" t="s">
        <v>471</v>
      </c>
      <c r="B437" s="95" t="s">
        <v>750</v>
      </c>
      <c r="C437" s="108" t="s">
        <v>312</v>
      </c>
      <c r="D437" s="111">
        <v>0.9</v>
      </c>
      <c r="E437" s="27">
        <v>0</v>
      </c>
      <c r="F437" s="27">
        <v>0</v>
      </c>
      <c r="G437" s="27">
        <f t="shared" si="28"/>
        <v>0</v>
      </c>
      <c r="H437" s="28">
        <f t="shared" si="29"/>
        <v>0</v>
      </c>
      <c r="I437" s="28">
        <f t="shared" si="30"/>
        <v>0</v>
      </c>
      <c r="J437" s="28">
        <f t="shared" si="31"/>
        <v>0</v>
      </c>
      <c r="K437" s="29"/>
    </row>
    <row r="438" spans="1:11">
      <c r="A438" s="26" t="s">
        <v>472</v>
      </c>
      <c r="B438" s="95" t="s">
        <v>769</v>
      </c>
      <c r="C438" s="108" t="s">
        <v>312</v>
      </c>
      <c r="D438" s="111">
        <v>27.17</v>
      </c>
      <c r="E438" s="27">
        <v>0</v>
      </c>
      <c r="F438" s="27">
        <v>0</v>
      </c>
      <c r="G438" s="27">
        <f t="shared" si="28"/>
        <v>0</v>
      </c>
      <c r="H438" s="28">
        <f t="shared" si="29"/>
        <v>0</v>
      </c>
      <c r="I438" s="28">
        <f t="shared" si="30"/>
        <v>0</v>
      </c>
      <c r="J438" s="28">
        <f t="shared" si="31"/>
        <v>0</v>
      </c>
      <c r="K438" s="29"/>
    </row>
    <row r="439" spans="1:11">
      <c r="A439" s="26" t="s">
        <v>473</v>
      </c>
      <c r="B439" s="95" t="s">
        <v>770</v>
      </c>
      <c r="C439" s="108" t="s">
        <v>312</v>
      </c>
      <c r="D439" s="111">
        <v>82.51</v>
      </c>
      <c r="E439" s="27">
        <v>0</v>
      </c>
      <c r="F439" s="27">
        <v>0</v>
      </c>
      <c r="G439" s="27">
        <f t="shared" si="28"/>
        <v>0</v>
      </c>
      <c r="H439" s="28">
        <f t="shared" si="29"/>
        <v>0</v>
      </c>
      <c r="I439" s="28">
        <f t="shared" si="30"/>
        <v>0</v>
      </c>
      <c r="J439" s="28">
        <f t="shared" si="31"/>
        <v>0</v>
      </c>
      <c r="K439" s="29"/>
    </row>
    <row r="440" spans="1:11">
      <c r="A440" s="26" t="s">
        <v>474</v>
      </c>
      <c r="B440" s="95" t="s">
        <v>771</v>
      </c>
      <c r="C440" s="108" t="s">
        <v>312</v>
      </c>
      <c r="D440" s="111">
        <v>19.46</v>
      </c>
      <c r="E440" s="27">
        <v>0</v>
      </c>
      <c r="F440" s="27">
        <v>0</v>
      </c>
      <c r="G440" s="27">
        <f t="shared" si="28"/>
        <v>0</v>
      </c>
      <c r="H440" s="28">
        <f t="shared" si="29"/>
        <v>0</v>
      </c>
      <c r="I440" s="28">
        <f t="shared" si="30"/>
        <v>0</v>
      </c>
      <c r="J440" s="28">
        <f t="shared" si="31"/>
        <v>0</v>
      </c>
      <c r="K440" s="29"/>
    </row>
    <row r="441" spans="1:11" ht="31.2">
      <c r="A441" s="26" t="s">
        <v>475</v>
      </c>
      <c r="B441" s="95" t="s">
        <v>751</v>
      </c>
      <c r="C441" s="108" t="s">
        <v>312</v>
      </c>
      <c r="D441" s="111">
        <v>20.62</v>
      </c>
      <c r="E441" s="27">
        <v>0</v>
      </c>
      <c r="F441" s="27">
        <v>0</v>
      </c>
      <c r="G441" s="27">
        <f t="shared" si="28"/>
        <v>0</v>
      </c>
      <c r="H441" s="28">
        <f t="shared" si="29"/>
        <v>0</v>
      </c>
      <c r="I441" s="28">
        <f t="shared" si="30"/>
        <v>0</v>
      </c>
      <c r="J441" s="28">
        <f t="shared" si="31"/>
        <v>0</v>
      </c>
      <c r="K441" s="29"/>
    </row>
    <row r="442" spans="1:11" ht="31.2">
      <c r="A442" s="26" t="s">
        <v>476</v>
      </c>
      <c r="B442" s="95" t="s">
        <v>752</v>
      </c>
      <c r="C442" s="108" t="s">
        <v>312</v>
      </c>
      <c r="D442" s="111">
        <v>57.63</v>
      </c>
      <c r="E442" s="27">
        <v>0</v>
      </c>
      <c r="F442" s="27">
        <v>0</v>
      </c>
      <c r="G442" s="27">
        <f t="shared" si="28"/>
        <v>0</v>
      </c>
      <c r="H442" s="28">
        <f t="shared" si="29"/>
        <v>0</v>
      </c>
      <c r="I442" s="28">
        <f t="shared" si="30"/>
        <v>0</v>
      </c>
      <c r="J442" s="28">
        <f t="shared" si="31"/>
        <v>0</v>
      </c>
      <c r="K442" s="29"/>
    </row>
    <row r="443" spans="1:11" ht="31.2">
      <c r="A443" s="26" t="s">
        <v>477</v>
      </c>
      <c r="B443" s="95" t="s">
        <v>753</v>
      </c>
      <c r="C443" s="108" t="s">
        <v>312</v>
      </c>
      <c r="D443" s="111">
        <v>14.68</v>
      </c>
      <c r="E443" s="27">
        <v>0</v>
      </c>
      <c r="F443" s="27">
        <v>0</v>
      </c>
      <c r="G443" s="27">
        <f t="shared" si="28"/>
        <v>0</v>
      </c>
      <c r="H443" s="28">
        <f t="shared" si="29"/>
        <v>0</v>
      </c>
      <c r="I443" s="28">
        <f t="shared" si="30"/>
        <v>0</v>
      </c>
      <c r="J443" s="28">
        <f t="shared" si="31"/>
        <v>0</v>
      </c>
      <c r="K443" s="29"/>
    </row>
    <row r="444" spans="1:11" ht="31.2">
      <c r="A444" s="26" t="s">
        <v>478</v>
      </c>
      <c r="B444" s="95" t="s">
        <v>772</v>
      </c>
      <c r="C444" s="108" t="s">
        <v>312</v>
      </c>
      <c r="D444" s="111">
        <v>0.28999999999999998</v>
      </c>
      <c r="E444" s="27">
        <v>0</v>
      </c>
      <c r="F444" s="27">
        <v>0</v>
      </c>
      <c r="G444" s="27">
        <f t="shared" si="28"/>
        <v>0</v>
      </c>
      <c r="H444" s="28">
        <f t="shared" si="29"/>
        <v>0</v>
      </c>
      <c r="I444" s="28">
        <f t="shared" si="30"/>
        <v>0</v>
      </c>
      <c r="J444" s="28">
        <f t="shared" si="31"/>
        <v>0</v>
      </c>
      <c r="K444" s="29"/>
    </row>
    <row r="445" spans="1:11" ht="31.2">
      <c r="A445" s="26" t="s">
        <v>479</v>
      </c>
      <c r="B445" s="95" t="s">
        <v>773</v>
      </c>
      <c r="C445" s="108" t="s">
        <v>312</v>
      </c>
      <c r="D445" s="111">
        <v>5.08</v>
      </c>
      <c r="E445" s="27">
        <v>0</v>
      </c>
      <c r="F445" s="27">
        <v>0</v>
      </c>
      <c r="G445" s="27">
        <f t="shared" si="28"/>
        <v>0</v>
      </c>
      <c r="H445" s="28">
        <f t="shared" si="29"/>
        <v>0</v>
      </c>
      <c r="I445" s="28">
        <f t="shared" si="30"/>
        <v>0</v>
      </c>
      <c r="J445" s="28">
        <f t="shared" si="31"/>
        <v>0</v>
      </c>
      <c r="K445" s="29"/>
    </row>
    <row r="446" spans="1:11" ht="31.2">
      <c r="A446" s="26" t="s">
        <v>480</v>
      </c>
      <c r="B446" s="95" t="s">
        <v>774</v>
      </c>
      <c r="C446" s="108" t="s">
        <v>312</v>
      </c>
      <c r="D446" s="111">
        <v>15.41</v>
      </c>
      <c r="E446" s="27">
        <v>0</v>
      </c>
      <c r="F446" s="27">
        <v>0</v>
      </c>
      <c r="G446" s="27">
        <f t="shared" si="28"/>
        <v>0</v>
      </c>
      <c r="H446" s="28">
        <f t="shared" si="29"/>
        <v>0</v>
      </c>
      <c r="I446" s="28">
        <f t="shared" si="30"/>
        <v>0</v>
      </c>
      <c r="J446" s="28">
        <f t="shared" si="31"/>
        <v>0</v>
      </c>
      <c r="K446" s="29"/>
    </row>
    <row r="447" spans="1:11" ht="31.2">
      <c r="A447" s="26" t="s">
        <v>481</v>
      </c>
      <c r="B447" s="95" t="s">
        <v>775</v>
      </c>
      <c r="C447" s="108" t="s">
        <v>312</v>
      </c>
      <c r="D447" s="111">
        <v>6.94</v>
      </c>
      <c r="E447" s="27">
        <v>0</v>
      </c>
      <c r="F447" s="27">
        <v>0</v>
      </c>
      <c r="G447" s="27">
        <f t="shared" si="28"/>
        <v>0</v>
      </c>
      <c r="H447" s="28">
        <f t="shared" si="29"/>
        <v>0</v>
      </c>
      <c r="I447" s="28">
        <f t="shared" si="30"/>
        <v>0</v>
      </c>
      <c r="J447" s="28">
        <f t="shared" si="31"/>
        <v>0</v>
      </c>
      <c r="K447" s="29"/>
    </row>
    <row r="448" spans="1:11" ht="31.2">
      <c r="A448" s="26" t="s">
        <v>482</v>
      </c>
      <c r="B448" s="95" t="s">
        <v>776</v>
      </c>
      <c r="C448" s="108" t="s">
        <v>312</v>
      </c>
      <c r="D448" s="111">
        <v>24.81</v>
      </c>
      <c r="E448" s="27">
        <v>0</v>
      </c>
      <c r="F448" s="27">
        <v>0</v>
      </c>
      <c r="G448" s="27">
        <f t="shared" si="28"/>
        <v>0</v>
      </c>
      <c r="H448" s="28">
        <f t="shared" si="29"/>
        <v>0</v>
      </c>
      <c r="I448" s="28">
        <f t="shared" si="30"/>
        <v>0</v>
      </c>
      <c r="J448" s="28">
        <f t="shared" si="31"/>
        <v>0</v>
      </c>
      <c r="K448" s="29"/>
    </row>
    <row r="449" spans="1:11" ht="31.2">
      <c r="A449" s="26" t="s">
        <v>483</v>
      </c>
      <c r="B449" s="95" t="s">
        <v>777</v>
      </c>
      <c r="C449" s="108" t="s">
        <v>312</v>
      </c>
      <c r="D449" s="111">
        <v>72.19</v>
      </c>
      <c r="E449" s="27">
        <v>0</v>
      </c>
      <c r="F449" s="27">
        <v>0</v>
      </c>
      <c r="G449" s="27">
        <f t="shared" si="28"/>
        <v>0</v>
      </c>
      <c r="H449" s="28">
        <f t="shared" si="29"/>
        <v>0</v>
      </c>
      <c r="I449" s="28">
        <f t="shared" si="30"/>
        <v>0</v>
      </c>
      <c r="J449" s="28">
        <f t="shared" si="31"/>
        <v>0</v>
      </c>
      <c r="K449" s="29"/>
    </row>
    <row r="450" spans="1:11" ht="31.2">
      <c r="A450" s="26" t="s">
        <v>484</v>
      </c>
      <c r="B450" s="95" t="s">
        <v>778</v>
      </c>
      <c r="C450" s="108" t="s">
        <v>312</v>
      </c>
      <c r="D450" s="111">
        <v>21.01</v>
      </c>
      <c r="E450" s="27">
        <v>0</v>
      </c>
      <c r="F450" s="27">
        <v>0</v>
      </c>
      <c r="G450" s="27">
        <f t="shared" si="28"/>
        <v>0</v>
      </c>
      <c r="H450" s="28">
        <f t="shared" si="29"/>
        <v>0</v>
      </c>
      <c r="I450" s="28">
        <f t="shared" si="30"/>
        <v>0</v>
      </c>
      <c r="J450" s="28">
        <f t="shared" si="31"/>
        <v>0</v>
      </c>
      <c r="K450" s="29"/>
    </row>
    <row r="451" spans="1:11" ht="31.2">
      <c r="A451" s="26" t="s">
        <v>485</v>
      </c>
      <c r="B451" s="95" t="s">
        <v>754</v>
      </c>
      <c r="C451" s="108" t="s">
        <v>312</v>
      </c>
      <c r="D451" s="111">
        <v>15.62</v>
      </c>
      <c r="E451" s="27">
        <v>0</v>
      </c>
      <c r="F451" s="27">
        <v>0</v>
      </c>
      <c r="G451" s="27">
        <f t="shared" si="28"/>
        <v>0</v>
      </c>
      <c r="H451" s="28">
        <f t="shared" si="29"/>
        <v>0</v>
      </c>
      <c r="I451" s="28">
        <f t="shared" si="30"/>
        <v>0</v>
      </c>
      <c r="J451" s="28">
        <f t="shared" si="31"/>
        <v>0</v>
      </c>
      <c r="K451" s="29"/>
    </row>
    <row r="452" spans="1:11" ht="31.2">
      <c r="A452" s="26" t="s">
        <v>486</v>
      </c>
      <c r="B452" s="95" t="s">
        <v>755</v>
      </c>
      <c r="C452" s="108" t="s">
        <v>312</v>
      </c>
      <c r="D452" s="111">
        <v>63.39</v>
      </c>
      <c r="E452" s="27">
        <v>0</v>
      </c>
      <c r="F452" s="27">
        <v>0</v>
      </c>
      <c r="G452" s="27">
        <f t="shared" si="28"/>
        <v>0</v>
      </c>
      <c r="H452" s="28">
        <f t="shared" si="29"/>
        <v>0</v>
      </c>
      <c r="I452" s="28">
        <f t="shared" si="30"/>
        <v>0</v>
      </c>
      <c r="J452" s="28">
        <f t="shared" si="31"/>
        <v>0</v>
      </c>
      <c r="K452" s="29"/>
    </row>
    <row r="453" spans="1:11" ht="31.2">
      <c r="A453" s="26" t="s">
        <v>487</v>
      </c>
      <c r="B453" s="95" t="s">
        <v>756</v>
      </c>
      <c r="C453" s="108" t="s">
        <v>312</v>
      </c>
      <c r="D453" s="111">
        <v>16.149999999999999</v>
      </c>
      <c r="E453" s="27">
        <v>0</v>
      </c>
      <c r="F453" s="27">
        <v>0</v>
      </c>
      <c r="G453" s="27">
        <f t="shared" si="28"/>
        <v>0</v>
      </c>
      <c r="H453" s="28">
        <f t="shared" si="29"/>
        <v>0</v>
      </c>
      <c r="I453" s="28">
        <f t="shared" si="30"/>
        <v>0</v>
      </c>
      <c r="J453" s="28">
        <f t="shared" si="31"/>
        <v>0</v>
      </c>
      <c r="K453" s="29"/>
    </row>
    <row r="454" spans="1:11" ht="31.2">
      <c r="A454" s="26" t="s">
        <v>488</v>
      </c>
      <c r="B454" s="95" t="s">
        <v>779</v>
      </c>
      <c r="C454" s="108" t="s">
        <v>312</v>
      </c>
      <c r="D454" s="111">
        <v>3.15</v>
      </c>
      <c r="E454" s="27">
        <v>0</v>
      </c>
      <c r="F454" s="27">
        <v>0</v>
      </c>
      <c r="G454" s="27">
        <f t="shared" si="28"/>
        <v>0</v>
      </c>
      <c r="H454" s="28">
        <f t="shared" si="29"/>
        <v>0</v>
      </c>
      <c r="I454" s="28">
        <f t="shared" si="30"/>
        <v>0</v>
      </c>
      <c r="J454" s="28">
        <f t="shared" si="31"/>
        <v>0</v>
      </c>
      <c r="K454" s="29"/>
    </row>
    <row r="455" spans="1:11">
      <c r="A455" s="26" t="s">
        <v>489</v>
      </c>
      <c r="B455" s="95" t="s">
        <v>757</v>
      </c>
      <c r="C455" s="108" t="s">
        <v>314</v>
      </c>
      <c r="D455" s="111">
        <v>47.08</v>
      </c>
      <c r="E455" s="27">
        <v>0</v>
      </c>
      <c r="F455" s="27">
        <v>0</v>
      </c>
      <c r="G455" s="27">
        <f t="shared" si="28"/>
        <v>0</v>
      </c>
      <c r="H455" s="28">
        <f t="shared" si="29"/>
        <v>0</v>
      </c>
      <c r="I455" s="28">
        <f t="shared" si="30"/>
        <v>0</v>
      </c>
      <c r="J455" s="28">
        <f t="shared" si="31"/>
        <v>0</v>
      </c>
      <c r="K455" s="29"/>
    </row>
    <row r="456" spans="1:11">
      <c r="A456" s="26" t="s">
        <v>490</v>
      </c>
      <c r="B456" s="95" t="s">
        <v>913</v>
      </c>
      <c r="C456" s="108" t="s">
        <v>311</v>
      </c>
      <c r="D456" s="111">
        <v>1</v>
      </c>
      <c r="E456" s="27">
        <v>0</v>
      </c>
      <c r="F456" s="27">
        <v>0</v>
      </c>
      <c r="G456" s="27">
        <f t="shared" si="28"/>
        <v>0</v>
      </c>
      <c r="H456" s="28">
        <f t="shared" si="29"/>
        <v>0</v>
      </c>
      <c r="I456" s="28">
        <f t="shared" si="30"/>
        <v>0</v>
      </c>
      <c r="J456" s="28">
        <f t="shared" si="31"/>
        <v>0</v>
      </c>
      <c r="K456" s="29"/>
    </row>
    <row r="457" spans="1:11">
      <c r="A457" s="136" t="s">
        <v>349</v>
      </c>
      <c r="B457" s="137"/>
      <c r="C457" s="137"/>
      <c r="D457" s="137"/>
      <c r="E457" s="137"/>
      <c r="F457" s="137"/>
      <c r="G457" s="138"/>
      <c r="H457" s="48">
        <f>SUM(H13:H456)</f>
        <v>0</v>
      </c>
      <c r="I457" s="48">
        <f>SUM(I13:I456)</f>
        <v>0</v>
      </c>
      <c r="J457" s="48">
        <f>H457+I457</f>
        <v>0</v>
      </c>
      <c r="K457" s="69"/>
    </row>
    <row r="458" spans="1:11">
      <c r="A458" s="118" t="s">
        <v>914</v>
      </c>
      <c r="B458" s="118"/>
      <c r="C458" s="118"/>
      <c r="D458" s="118"/>
      <c r="E458" s="118"/>
      <c r="F458" s="118"/>
      <c r="G458" s="118"/>
      <c r="H458" s="49">
        <f>H457-H457/1.22</f>
        <v>0</v>
      </c>
      <c r="I458" s="49">
        <f t="shared" ref="I458:J458" si="32">I457-I457/1.22</f>
        <v>0</v>
      </c>
      <c r="J458" s="49">
        <f t="shared" si="32"/>
        <v>0</v>
      </c>
      <c r="K458" s="70"/>
    </row>
    <row r="459" spans="1:11" s="20" customFormat="1">
      <c r="A459" s="119" t="s">
        <v>343</v>
      </c>
      <c r="B459" s="120"/>
      <c r="C459" s="120"/>
      <c r="D459" s="120"/>
      <c r="E459" s="120"/>
      <c r="F459" s="120"/>
      <c r="G459" s="120"/>
      <c r="H459" s="120"/>
      <c r="I459" s="120"/>
      <c r="J459" s="121"/>
      <c r="K459" s="110"/>
    </row>
    <row r="460" spans="1:11">
      <c r="A460" s="32" t="s">
        <v>9</v>
      </c>
      <c r="B460" s="33" t="s">
        <v>10</v>
      </c>
      <c r="C460" s="90"/>
      <c r="D460" s="101"/>
      <c r="E460" s="53"/>
      <c r="F460" s="53"/>
      <c r="G460" s="53"/>
      <c r="H460" s="53"/>
      <c r="I460" s="53"/>
      <c r="J460" s="57">
        <f>J461</f>
        <v>0</v>
      </c>
      <c r="K460" s="71"/>
    </row>
    <row r="461" spans="1:11">
      <c r="A461" s="36" t="s">
        <v>11</v>
      </c>
      <c r="B461" s="37" t="s">
        <v>12</v>
      </c>
      <c r="C461" s="91"/>
      <c r="D461" s="102"/>
      <c r="E461" s="54"/>
      <c r="F461" s="54"/>
      <c r="G461" s="54"/>
      <c r="H461" s="54"/>
      <c r="I461" s="54"/>
      <c r="J461" s="58">
        <f>J462</f>
        <v>0</v>
      </c>
      <c r="K461" s="71"/>
    </row>
    <row r="462" spans="1:11">
      <c r="A462" s="80" t="s">
        <v>13</v>
      </c>
      <c r="B462" s="40" t="s">
        <v>14</v>
      </c>
      <c r="C462" s="92"/>
      <c r="D462" s="56"/>
      <c r="E462" s="55"/>
      <c r="F462" s="55"/>
      <c r="G462" s="55"/>
      <c r="H462" s="55"/>
      <c r="I462" s="55"/>
      <c r="J462" s="56">
        <f>J463</f>
        <v>0</v>
      </c>
      <c r="K462" s="72"/>
    </row>
    <row r="463" spans="1:11">
      <c r="A463" s="81" t="s">
        <v>15</v>
      </c>
      <c r="B463" s="44" t="s">
        <v>16</v>
      </c>
      <c r="C463" s="24"/>
      <c r="D463" s="25"/>
      <c r="E463" s="25"/>
      <c r="F463" s="25"/>
      <c r="G463" s="25"/>
      <c r="H463" s="25"/>
      <c r="I463" s="25"/>
      <c r="J463" s="25">
        <f>SUM(J464:J921)</f>
        <v>0</v>
      </c>
      <c r="K463" s="73"/>
    </row>
    <row r="464" spans="1:11" ht="46.8">
      <c r="A464" s="26" t="s">
        <v>17</v>
      </c>
      <c r="B464" s="95" t="s">
        <v>780</v>
      </c>
      <c r="C464" s="108" t="s">
        <v>313</v>
      </c>
      <c r="D464" s="111">
        <v>1</v>
      </c>
      <c r="E464" s="27">
        <v>0</v>
      </c>
      <c r="F464" s="27">
        <v>0</v>
      </c>
      <c r="G464" s="27">
        <f>E464+F464</f>
        <v>0</v>
      </c>
      <c r="H464" s="28">
        <f>D464*E464</f>
        <v>0</v>
      </c>
      <c r="I464" s="28">
        <f>D464*F464</f>
        <v>0</v>
      </c>
      <c r="J464" s="28">
        <f>H464+I464</f>
        <v>0</v>
      </c>
      <c r="K464" s="29"/>
    </row>
    <row r="465" spans="1:11" ht="62.4">
      <c r="A465" s="26" t="s">
        <v>18</v>
      </c>
      <c r="B465" s="95" t="s">
        <v>506</v>
      </c>
      <c r="C465" s="108" t="s">
        <v>313</v>
      </c>
      <c r="D465" s="111">
        <v>3</v>
      </c>
      <c r="E465" s="27">
        <v>0</v>
      </c>
      <c r="F465" s="27">
        <v>0</v>
      </c>
      <c r="G465" s="27">
        <f t="shared" ref="G465:G526" si="33">E465+F465</f>
        <v>0</v>
      </c>
      <c r="H465" s="28">
        <f t="shared" ref="H465:H526" si="34">D465*E465</f>
        <v>0</v>
      </c>
      <c r="I465" s="28">
        <f t="shared" ref="I465:I526" si="35">D465*F465</f>
        <v>0</v>
      </c>
      <c r="J465" s="28">
        <f t="shared" ref="J465:J526" si="36">H465+I465</f>
        <v>0</v>
      </c>
      <c r="K465" s="29"/>
    </row>
    <row r="466" spans="1:11" ht="62.4">
      <c r="A466" s="26" t="s">
        <v>19</v>
      </c>
      <c r="B466" s="95" t="s">
        <v>781</v>
      </c>
      <c r="C466" s="108" t="s">
        <v>313</v>
      </c>
      <c r="D466" s="111">
        <v>2</v>
      </c>
      <c r="E466" s="27">
        <v>0</v>
      </c>
      <c r="F466" s="27">
        <v>0</v>
      </c>
      <c r="G466" s="27">
        <f t="shared" si="33"/>
        <v>0</v>
      </c>
      <c r="H466" s="28">
        <f t="shared" si="34"/>
        <v>0</v>
      </c>
      <c r="I466" s="28">
        <f t="shared" si="35"/>
        <v>0</v>
      </c>
      <c r="J466" s="28">
        <f t="shared" si="36"/>
        <v>0</v>
      </c>
      <c r="K466" s="29"/>
    </row>
    <row r="467" spans="1:11" ht="62.4">
      <c r="A467" s="26" t="s">
        <v>20</v>
      </c>
      <c r="B467" s="95" t="s">
        <v>782</v>
      </c>
      <c r="C467" s="108" t="s">
        <v>313</v>
      </c>
      <c r="D467" s="111">
        <v>21</v>
      </c>
      <c r="E467" s="27">
        <v>0</v>
      </c>
      <c r="F467" s="27">
        <v>0</v>
      </c>
      <c r="G467" s="27">
        <f t="shared" si="33"/>
        <v>0</v>
      </c>
      <c r="H467" s="28">
        <f t="shared" si="34"/>
        <v>0</v>
      </c>
      <c r="I467" s="28">
        <f t="shared" si="35"/>
        <v>0</v>
      </c>
      <c r="J467" s="28">
        <f t="shared" si="36"/>
        <v>0</v>
      </c>
      <c r="K467" s="29"/>
    </row>
    <row r="468" spans="1:11" ht="62.4">
      <c r="A468" s="26" t="s">
        <v>21</v>
      </c>
      <c r="B468" s="95" t="s">
        <v>783</v>
      </c>
      <c r="C468" s="108" t="s">
        <v>313</v>
      </c>
      <c r="D468" s="111">
        <v>25</v>
      </c>
      <c r="E468" s="27">
        <v>0</v>
      </c>
      <c r="F468" s="27">
        <v>0</v>
      </c>
      <c r="G468" s="27">
        <f t="shared" si="33"/>
        <v>0</v>
      </c>
      <c r="H468" s="28">
        <f t="shared" si="34"/>
        <v>0</v>
      </c>
      <c r="I468" s="28">
        <f t="shared" si="35"/>
        <v>0</v>
      </c>
      <c r="J468" s="28">
        <f t="shared" si="36"/>
        <v>0</v>
      </c>
      <c r="K468" s="29"/>
    </row>
    <row r="469" spans="1:11" ht="62.4">
      <c r="A469" s="26" t="s">
        <v>22</v>
      </c>
      <c r="B469" s="95" t="s">
        <v>784</v>
      </c>
      <c r="C469" s="108" t="s">
        <v>313</v>
      </c>
      <c r="D469" s="111">
        <v>1</v>
      </c>
      <c r="E469" s="27">
        <v>0</v>
      </c>
      <c r="F469" s="27">
        <v>0</v>
      </c>
      <c r="G469" s="27">
        <f t="shared" si="33"/>
        <v>0</v>
      </c>
      <c r="H469" s="28">
        <f t="shared" si="34"/>
        <v>0</v>
      </c>
      <c r="I469" s="28">
        <f t="shared" si="35"/>
        <v>0</v>
      </c>
      <c r="J469" s="28">
        <f t="shared" si="36"/>
        <v>0</v>
      </c>
      <c r="K469" s="29"/>
    </row>
    <row r="470" spans="1:11" ht="62.4">
      <c r="A470" s="26" t="s">
        <v>23</v>
      </c>
      <c r="B470" s="95" t="s">
        <v>785</v>
      </c>
      <c r="C470" s="108" t="s">
        <v>313</v>
      </c>
      <c r="D470" s="111">
        <v>18</v>
      </c>
      <c r="E470" s="27">
        <v>0</v>
      </c>
      <c r="F470" s="27">
        <v>0</v>
      </c>
      <c r="G470" s="27">
        <f t="shared" si="33"/>
        <v>0</v>
      </c>
      <c r="H470" s="28">
        <f t="shared" si="34"/>
        <v>0</v>
      </c>
      <c r="I470" s="28">
        <f t="shared" si="35"/>
        <v>0</v>
      </c>
      <c r="J470" s="28">
        <f t="shared" si="36"/>
        <v>0</v>
      </c>
      <c r="K470" s="29"/>
    </row>
    <row r="471" spans="1:11" ht="62.4">
      <c r="A471" s="26" t="s">
        <v>24</v>
      </c>
      <c r="B471" s="95" t="s">
        <v>786</v>
      </c>
      <c r="C471" s="108" t="s">
        <v>313</v>
      </c>
      <c r="D471" s="111">
        <v>1</v>
      </c>
      <c r="E471" s="27">
        <v>0</v>
      </c>
      <c r="F471" s="27">
        <v>0</v>
      </c>
      <c r="G471" s="27">
        <f t="shared" si="33"/>
        <v>0</v>
      </c>
      <c r="H471" s="28">
        <f t="shared" si="34"/>
        <v>0</v>
      </c>
      <c r="I471" s="28">
        <f t="shared" si="35"/>
        <v>0</v>
      </c>
      <c r="J471" s="28">
        <f t="shared" si="36"/>
        <v>0</v>
      </c>
      <c r="K471" s="29"/>
    </row>
    <row r="472" spans="1:11" ht="31.2">
      <c r="A472" s="26" t="s">
        <v>25</v>
      </c>
      <c r="B472" s="95" t="s">
        <v>510</v>
      </c>
      <c r="C472" s="108" t="s">
        <v>313</v>
      </c>
      <c r="D472" s="111">
        <v>5</v>
      </c>
      <c r="E472" s="27">
        <v>0</v>
      </c>
      <c r="F472" s="27">
        <v>0</v>
      </c>
      <c r="G472" s="27">
        <f t="shared" si="33"/>
        <v>0</v>
      </c>
      <c r="H472" s="28">
        <f t="shared" si="34"/>
        <v>0</v>
      </c>
      <c r="I472" s="28">
        <f t="shared" si="35"/>
        <v>0</v>
      </c>
      <c r="J472" s="28">
        <f t="shared" si="36"/>
        <v>0</v>
      </c>
      <c r="K472" s="29"/>
    </row>
    <row r="473" spans="1:11" ht="31.2">
      <c r="A473" s="26" t="s">
        <v>26</v>
      </c>
      <c r="B473" s="95" t="s">
        <v>787</v>
      </c>
      <c r="C473" s="108" t="s">
        <v>313</v>
      </c>
      <c r="D473" s="111">
        <v>5</v>
      </c>
      <c r="E473" s="27">
        <v>0</v>
      </c>
      <c r="F473" s="27">
        <v>0</v>
      </c>
      <c r="G473" s="27">
        <f t="shared" si="33"/>
        <v>0</v>
      </c>
      <c r="H473" s="28">
        <f t="shared" si="34"/>
        <v>0</v>
      </c>
      <c r="I473" s="28">
        <f t="shared" si="35"/>
        <v>0</v>
      </c>
      <c r="J473" s="28">
        <f t="shared" si="36"/>
        <v>0</v>
      </c>
      <c r="K473" s="29"/>
    </row>
    <row r="474" spans="1:11" ht="31.2">
      <c r="A474" s="26" t="s">
        <v>27</v>
      </c>
      <c r="B474" s="95" t="s">
        <v>788</v>
      </c>
      <c r="C474" s="108" t="s">
        <v>313</v>
      </c>
      <c r="D474" s="111">
        <v>1</v>
      </c>
      <c r="E474" s="27">
        <v>0</v>
      </c>
      <c r="F474" s="27">
        <v>0</v>
      </c>
      <c r="G474" s="27">
        <f t="shared" si="33"/>
        <v>0</v>
      </c>
      <c r="H474" s="28">
        <f t="shared" si="34"/>
        <v>0</v>
      </c>
      <c r="I474" s="28">
        <f t="shared" si="35"/>
        <v>0</v>
      </c>
      <c r="J474" s="28">
        <f t="shared" si="36"/>
        <v>0</v>
      </c>
      <c r="K474" s="29"/>
    </row>
    <row r="475" spans="1:11" ht="31.2">
      <c r="A475" s="26" t="s">
        <v>28</v>
      </c>
      <c r="B475" s="95" t="s">
        <v>789</v>
      </c>
      <c r="C475" s="108" t="s">
        <v>313</v>
      </c>
      <c r="D475" s="111">
        <v>1</v>
      </c>
      <c r="E475" s="27">
        <v>0</v>
      </c>
      <c r="F475" s="27">
        <v>0</v>
      </c>
      <c r="G475" s="27">
        <f t="shared" si="33"/>
        <v>0</v>
      </c>
      <c r="H475" s="28">
        <f t="shared" si="34"/>
        <v>0</v>
      </c>
      <c r="I475" s="28">
        <f t="shared" si="35"/>
        <v>0</v>
      </c>
      <c r="J475" s="28">
        <f t="shared" si="36"/>
        <v>0</v>
      </c>
      <c r="K475" s="29"/>
    </row>
    <row r="476" spans="1:11" ht="31.2">
      <c r="A476" s="26" t="s">
        <v>29</v>
      </c>
      <c r="B476" s="95" t="s">
        <v>790</v>
      </c>
      <c r="C476" s="108" t="s">
        <v>313</v>
      </c>
      <c r="D476" s="111">
        <v>1</v>
      </c>
      <c r="E476" s="27">
        <v>0</v>
      </c>
      <c r="F476" s="27">
        <v>0</v>
      </c>
      <c r="G476" s="27">
        <f t="shared" si="33"/>
        <v>0</v>
      </c>
      <c r="H476" s="28">
        <f t="shared" si="34"/>
        <v>0</v>
      </c>
      <c r="I476" s="28">
        <f t="shared" si="35"/>
        <v>0</v>
      </c>
      <c r="J476" s="28">
        <f t="shared" si="36"/>
        <v>0</v>
      </c>
      <c r="K476" s="29"/>
    </row>
    <row r="477" spans="1:11" ht="31.2">
      <c r="A477" s="26" t="s">
        <v>30</v>
      </c>
      <c r="B477" s="95" t="s">
        <v>791</v>
      </c>
      <c r="C477" s="108" t="s">
        <v>313</v>
      </c>
      <c r="D477" s="111">
        <v>1</v>
      </c>
      <c r="E477" s="27">
        <v>0</v>
      </c>
      <c r="F477" s="27">
        <v>0</v>
      </c>
      <c r="G477" s="27">
        <f t="shared" si="33"/>
        <v>0</v>
      </c>
      <c r="H477" s="28">
        <f t="shared" si="34"/>
        <v>0</v>
      </c>
      <c r="I477" s="28">
        <f t="shared" si="35"/>
        <v>0</v>
      </c>
      <c r="J477" s="28">
        <f t="shared" si="36"/>
        <v>0</v>
      </c>
      <c r="K477" s="29"/>
    </row>
    <row r="478" spans="1:11" ht="46.8">
      <c r="A478" s="26" t="s">
        <v>31</v>
      </c>
      <c r="B478" s="95" t="s">
        <v>792</v>
      </c>
      <c r="C478" s="108" t="s">
        <v>313</v>
      </c>
      <c r="D478" s="111">
        <v>14</v>
      </c>
      <c r="E478" s="27">
        <v>0</v>
      </c>
      <c r="F478" s="27">
        <v>0</v>
      </c>
      <c r="G478" s="27">
        <f t="shared" si="33"/>
        <v>0</v>
      </c>
      <c r="H478" s="28">
        <f t="shared" si="34"/>
        <v>0</v>
      </c>
      <c r="I478" s="28">
        <f t="shared" si="35"/>
        <v>0</v>
      </c>
      <c r="J478" s="28">
        <f t="shared" si="36"/>
        <v>0</v>
      </c>
      <c r="K478" s="29"/>
    </row>
    <row r="479" spans="1:11" ht="46.8">
      <c r="A479" s="26" t="s">
        <v>32</v>
      </c>
      <c r="B479" s="95" t="s">
        <v>516</v>
      </c>
      <c r="C479" s="108" t="s">
        <v>313</v>
      </c>
      <c r="D479" s="111">
        <v>58</v>
      </c>
      <c r="E479" s="27">
        <v>0</v>
      </c>
      <c r="F479" s="27">
        <v>0</v>
      </c>
      <c r="G479" s="27">
        <f t="shared" si="33"/>
        <v>0</v>
      </c>
      <c r="H479" s="28">
        <f t="shared" si="34"/>
        <v>0</v>
      </c>
      <c r="I479" s="28">
        <f t="shared" si="35"/>
        <v>0</v>
      </c>
      <c r="J479" s="28">
        <f t="shared" si="36"/>
        <v>0</v>
      </c>
      <c r="K479" s="29"/>
    </row>
    <row r="480" spans="1:11" ht="46.8">
      <c r="A480" s="26" t="s">
        <v>33</v>
      </c>
      <c r="B480" s="95" t="s">
        <v>520</v>
      </c>
      <c r="C480" s="108" t="s">
        <v>313</v>
      </c>
      <c r="D480" s="111">
        <v>8</v>
      </c>
      <c r="E480" s="27">
        <v>0</v>
      </c>
      <c r="F480" s="27">
        <v>0</v>
      </c>
      <c r="G480" s="27">
        <f t="shared" si="33"/>
        <v>0</v>
      </c>
      <c r="H480" s="28">
        <f t="shared" si="34"/>
        <v>0</v>
      </c>
      <c r="I480" s="28">
        <f t="shared" si="35"/>
        <v>0</v>
      </c>
      <c r="J480" s="28">
        <f t="shared" si="36"/>
        <v>0</v>
      </c>
      <c r="K480" s="29"/>
    </row>
    <row r="481" spans="1:11" ht="46.8">
      <c r="A481" s="26" t="s">
        <v>34</v>
      </c>
      <c r="B481" s="95" t="s">
        <v>521</v>
      </c>
      <c r="C481" s="108" t="s">
        <v>313</v>
      </c>
      <c r="D481" s="111">
        <v>116</v>
      </c>
      <c r="E481" s="27">
        <v>0</v>
      </c>
      <c r="F481" s="27">
        <v>0</v>
      </c>
      <c r="G481" s="27">
        <f t="shared" si="33"/>
        <v>0</v>
      </c>
      <c r="H481" s="28">
        <f t="shared" si="34"/>
        <v>0</v>
      </c>
      <c r="I481" s="28">
        <f t="shared" si="35"/>
        <v>0</v>
      </c>
      <c r="J481" s="28">
        <f t="shared" si="36"/>
        <v>0</v>
      </c>
      <c r="K481" s="29"/>
    </row>
    <row r="482" spans="1:11" ht="46.8">
      <c r="A482" s="26" t="s">
        <v>35</v>
      </c>
      <c r="B482" s="95" t="s">
        <v>522</v>
      </c>
      <c r="C482" s="108" t="s">
        <v>313</v>
      </c>
      <c r="D482" s="111">
        <v>101</v>
      </c>
      <c r="E482" s="27">
        <v>0</v>
      </c>
      <c r="F482" s="27">
        <v>0</v>
      </c>
      <c r="G482" s="27">
        <f t="shared" si="33"/>
        <v>0</v>
      </c>
      <c r="H482" s="28">
        <f t="shared" si="34"/>
        <v>0</v>
      </c>
      <c r="I482" s="28">
        <f t="shared" si="35"/>
        <v>0</v>
      </c>
      <c r="J482" s="28">
        <f t="shared" si="36"/>
        <v>0</v>
      </c>
      <c r="K482" s="29"/>
    </row>
    <row r="483" spans="1:11" ht="46.8">
      <c r="A483" s="26" t="s">
        <v>36</v>
      </c>
      <c r="B483" s="95" t="s">
        <v>523</v>
      </c>
      <c r="C483" s="108" t="s">
        <v>313</v>
      </c>
      <c r="D483" s="111">
        <v>174</v>
      </c>
      <c r="E483" s="27">
        <v>0</v>
      </c>
      <c r="F483" s="27">
        <v>0</v>
      </c>
      <c r="G483" s="27">
        <f t="shared" si="33"/>
        <v>0</v>
      </c>
      <c r="H483" s="28">
        <f t="shared" si="34"/>
        <v>0</v>
      </c>
      <c r="I483" s="28">
        <f t="shared" si="35"/>
        <v>0</v>
      </c>
      <c r="J483" s="28">
        <f t="shared" si="36"/>
        <v>0</v>
      </c>
      <c r="K483" s="29"/>
    </row>
    <row r="484" spans="1:11" ht="46.8">
      <c r="A484" s="26" t="s">
        <v>37</v>
      </c>
      <c r="B484" s="95" t="s">
        <v>793</v>
      </c>
      <c r="C484" s="108" t="s">
        <v>313</v>
      </c>
      <c r="D484" s="111">
        <v>2</v>
      </c>
      <c r="E484" s="27">
        <v>0</v>
      </c>
      <c r="F484" s="27">
        <v>0</v>
      </c>
      <c r="G484" s="27">
        <f t="shared" si="33"/>
        <v>0</v>
      </c>
      <c r="H484" s="28">
        <f t="shared" si="34"/>
        <v>0</v>
      </c>
      <c r="I484" s="28">
        <f t="shared" si="35"/>
        <v>0</v>
      </c>
      <c r="J484" s="28">
        <f t="shared" si="36"/>
        <v>0</v>
      </c>
      <c r="K484" s="29"/>
    </row>
    <row r="485" spans="1:11" ht="46.8">
      <c r="A485" s="26" t="s">
        <v>38</v>
      </c>
      <c r="B485" s="95" t="s">
        <v>524</v>
      </c>
      <c r="C485" s="108" t="s">
        <v>313</v>
      </c>
      <c r="D485" s="111">
        <v>3</v>
      </c>
      <c r="E485" s="27">
        <v>0</v>
      </c>
      <c r="F485" s="27">
        <v>0</v>
      </c>
      <c r="G485" s="27">
        <f t="shared" si="33"/>
        <v>0</v>
      </c>
      <c r="H485" s="28">
        <f t="shared" si="34"/>
        <v>0</v>
      </c>
      <c r="I485" s="28">
        <f t="shared" si="35"/>
        <v>0</v>
      </c>
      <c r="J485" s="28">
        <f t="shared" si="36"/>
        <v>0</v>
      </c>
      <c r="K485" s="29"/>
    </row>
    <row r="486" spans="1:11" ht="46.8">
      <c r="A486" s="26" t="s">
        <v>39</v>
      </c>
      <c r="B486" s="95" t="s">
        <v>794</v>
      </c>
      <c r="C486" s="108" t="s">
        <v>313</v>
      </c>
      <c r="D486" s="111">
        <v>16</v>
      </c>
      <c r="E486" s="27">
        <v>0</v>
      </c>
      <c r="F486" s="27">
        <v>0</v>
      </c>
      <c r="G486" s="27">
        <f t="shared" si="33"/>
        <v>0</v>
      </c>
      <c r="H486" s="28">
        <f t="shared" si="34"/>
        <v>0</v>
      </c>
      <c r="I486" s="28">
        <f t="shared" si="35"/>
        <v>0</v>
      </c>
      <c r="J486" s="28">
        <f t="shared" si="36"/>
        <v>0</v>
      </c>
      <c r="K486" s="29"/>
    </row>
    <row r="487" spans="1:11" ht="46.8">
      <c r="A487" s="26" t="s">
        <v>40</v>
      </c>
      <c r="B487" s="95" t="s">
        <v>526</v>
      </c>
      <c r="C487" s="108" t="s">
        <v>313</v>
      </c>
      <c r="D487" s="111">
        <v>41</v>
      </c>
      <c r="E487" s="27">
        <v>0</v>
      </c>
      <c r="F487" s="27">
        <v>0</v>
      </c>
      <c r="G487" s="27">
        <f t="shared" si="33"/>
        <v>0</v>
      </c>
      <c r="H487" s="28">
        <f t="shared" si="34"/>
        <v>0</v>
      </c>
      <c r="I487" s="28">
        <f t="shared" si="35"/>
        <v>0</v>
      </c>
      <c r="J487" s="28">
        <f t="shared" si="36"/>
        <v>0</v>
      </c>
      <c r="K487" s="29"/>
    </row>
    <row r="488" spans="1:11" ht="46.8">
      <c r="A488" s="26" t="s">
        <v>41</v>
      </c>
      <c r="B488" s="95" t="s">
        <v>527</v>
      </c>
      <c r="C488" s="108" t="s">
        <v>313</v>
      </c>
      <c r="D488" s="111">
        <v>23</v>
      </c>
      <c r="E488" s="27">
        <v>0</v>
      </c>
      <c r="F488" s="27">
        <v>0</v>
      </c>
      <c r="G488" s="27">
        <f t="shared" si="33"/>
        <v>0</v>
      </c>
      <c r="H488" s="28">
        <f t="shared" si="34"/>
        <v>0</v>
      </c>
      <c r="I488" s="28">
        <f t="shared" si="35"/>
        <v>0</v>
      </c>
      <c r="J488" s="28">
        <f t="shared" si="36"/>
        <v>0</v>
      </c>
      <c r="K488" s="29"/>
    </row>
    <row r="489" spans="1:11" ht="46.8">
      <c r="A489" s="26" t="s">
        <v>42</v>
      </c>
      <c r="B489" s="95" t="s">
        <v>528</v>
      </c>
      <c r="C489" s="108" t="s">
        <v>313</v>
      </c>
      <c r="D489" s="111">
        <v>11</v>
      </c>
      <c r="E489" s="27">
        <v>0</v>
      </c>
      <c r="F489" s="27">
        <v>0</v>
      </c>
      <c r="G489" s="27">
        <f t="shared" si="33"/>
        <v>0</v>
      </c>
      <c r="H489" s="28">
        <f t="shared" si="34"/>
        <v>0</v>
      </c>
      <c r="I489" s="28">
        <f t="shared" si="35"/>
        <v>0</v>
      </c>
      <c r="J489" s="28">
        <f t="shared" si="36"/>
        <v>0</v>
      </c>
      <c r="K489" s="29"/>
    </row>
    <row r="490" spans="1:11" ht="46.8">
      <c r="A490" s="26" t="s">
        <v>43</v>
      </c>
      <c r="B490" s="95" t="s">
        <v>529</v>
      </c>
      <c r="C490" s="108" t="s">
        <v>313</v>
      </c>
      <c r="D490" s="111">
        <v>9</v>
      </c>
      <c r="E490" s="27">
        <v>0</v>
      </c>
      <c r="F490" s="27">
        <v>0</v>
      </c>
      <c r="G490" s="27">
        <f t="shared" si="33"/>
        <v>0</v>
      </c>
      <c r="H490" s="28">
        <f t="shared" si="34"/>
        <v>0</v>
      </c>
      <c r="I490" s="28">
        <f t="shared" si="35"/>
        <v>0</v>
      </c>
      <c r="J490" s="28">
        <f t="shared" si="36"/>
        <v>0</v>
      </c>
      <c r="K490" s="29"/>
    </row>
    <row r="491" spans="1:11" ht="46.8">
      <c r="A491" s="26" t="s">
        <v>44</v>
      </c>
      <c r="B491" s="95" t="s">
        <v>530</v>
      </c>
      <c r="C491" s="108" t="s">
        <v>313</v>
      </c>
      <c r="D491" s="111">
        <v>25</v>
      </c>
      <c r="E491" s="27">
        <v>0</v>
      </c>
      <c r="F491" s="27">
        <v>0</v>
      </c>
      <c r="G491" s="27">
        <f t="shared" si="33"/>
        <v>0</v>
      </c>
      <c r="H491" s="28">
        <f t="shared" si="34"/>
        <v>0</v>
      </c>
      <c r="I491" s="28">
        <f t="shared" si="35"/>
        <v>0</v>
      </c>
      <c r="J491" s="28">
        <f t="shared" si="36"/>
        <v>0</v>
      </c>
      <c r="K491" s="29"/>
    </row>
    <row r="492" spans="1:11" ht="46.8">
      <c r="A492" s="26" t="s">
        <v>45</v>
      </c>
      <c r="B492" s="95" t="s">
        <v>531</v>
      </c>
      <c r="C492" s="108" t="s">
        <v>313</v>
      </c>
      <c r="D492" s="111">
        <v>50</v>
      </c>
      <c r="E492" s="27">
        <v>0</v>
      </c>
      <c r="F492" s="27">
        <v>0</v>
      </c>
      <c r="G492" s="27">
        <f t="shared" si="33"/>
        <v>0</v>
      </c>
      <c r="H492" s="28">
        <f t="shared" si="34"/>
        <v>0</v>
      </c>
      <c r="I492" s="28">
        <f t="shared" si="35"/>
        <v>0</v>
      </c>
      <c r="J492" s="28">
        <f t="shared" si="36"/>
        <v>0</v>
      </c>
      <c r="K492" s="29"/>
    </row>
    <row r="493" spans="1:11" ht="46.8">
      <c r="A493" s="26" t="s">
        <v>46</v>
      </c>
      <c r="B493" s="95" t="s">
        <v>795</v>
      </c>
      <c r="C493" s="108" t="s">
        <v>313</v>
      </c>
      <c r="D493" s="111">
        <v>1</v>
      </c>
      <c r="E493" s="27">
        <v>0</v>
      </c>
      <c r="F493" s="27">
        <v>0</v>
      </c>
      <c r="G493" s="27">
        <f t="shared" si="33"/>
        <v>0</v>
      </c>
      <c r="H493" s="28">
        <f t="shared" si="34"/>
        <v>0</v>
      </c>
      <c r="I493" s="28">
        <f t="shared" si="35"/>
        <v>0</v>
      </c>
      <c r="J493" s="28">
        <f t="shared" si="36"/>
        <v>0</v>
      </c>
      <c r="K493" s="29"/>
    </row>
    <row r="494" spans="1:11" ht="46.8">
      <c r="A494" s="26" t="s">
        <v>47</v>
      </c>
      <c r="B494" s="95" t="s">
        <v>796</v>
      </c>
      <c r="C494" s="108" t="s">
        <v>313</v>
      </c>
      <c r="D494" s="111">
        <v>9</v>
      </c>
      <c r="E494" s="27">
        <v>0</v>
      </c>
      <c r="F494" s="27">
        <v>0</v>
      </c>
      <c r="G494" s="27">
        <f t="shared" si="33"/>
        <v>0</v>
      </c>
      <c r="H494" s="28">
        <f t="shared" si="34"/>
        <v>0</v>
      </c>
      <c r="I494" s="28">
        <f t="shared" si="35"/>
        <v>0</v>
      </c>
      <c r="J494" s="28">
        <f t="shared" si="36"/>
        <v>0</v>
      </c>
      <c r="K494" s="29"/>
    </row>
    <row r="495" spans="1:11" ht="46.8">
      <c r="A495" s="26" t="s">
        <v>48</v>
      </c>
      <c r="B495" s="95" t="s">
        <v>797</v>
      </c>
      <c r="C495" s="108" t="s">
        <v>313</v>
      </c>
      <c r="D495" s="111">
        <v>19</v>
      </c>
      <c r="E495" s="27">
        <v>0</v>
      </c>
      <c r="F495" s="27">
        <v>0</v>
      </c>
      <c r="G495" s="27">
        <f t="shared" si="33"/>
        <v>0</v>
      </c>
      <c r="H495" s="28">
        <f t="shared" si="34"/>
        <v>0</v>
      </c>
      <c r="I495" s="28">
        <f t="shared" si="35"/>
        <v>0</v>
      </c>
      <c r="J495" s="28">
        <f t="shared" si="36"/>
        <v>0</v>
      </c>
      <c r="K495" s="29"/>
    </row>
    <row r="496" spans="1:11" ht="46.8">
      <c r="A496" s="26" t="s">
        <v>49</v>
      </c>
      <c r="B496" s="95" t="s">
        <v>798</v>
      </c>
      <c r="C496" s="108" t="s">
        <v>313</v>
      </c>
      <c r="D496" s="111">
        <v>1</v>
      </c>
      <c r="E496" s="27">
        <v>0</v>
      </c>
      <c r="F496" s="27">
        <v>0</v>
      </c>
      <c r="G496" s="27">
        <f t="shared" si="33"/>
        <v>0</v>
      </c>
      <c r="H496" s="28">
        <f t="shared" si="34"/>
        <v>0</v>
      </c>
      <c r="I496" s="28">
        <f t="shared" si="35"/>
        <v>0</v>
      </c>
      <c r="J496" s="28">
        <f t="shared" si="36"/>
        <v>0</v>
      </c>
      <c r="K496" s="29"/>
    </row>
    <row r="497" spans="1:11" ht="46.8">
      <c r="A497" s="26" t="s">
        <v>50</v>
      </c>
      <c r="B497" s="95" t="s">
        <v>532</v>
      </c>
      <c r="C497" s="108" t="s">
        <v>313</v>
      </c>
      <c r="D497" s="111">
        <v>4</v>
      </c>
      <c r="E497" s="27">
        <v>0</v>
      </c>
      <c r="F497" s="27">
        <v>0</v>
      </c>
      <c r="G497" s="27">
        <f t="shared" si="33"/>
        <v>0</v>
      </c>
      <c r="H497" s="28">
        <f t="shared" si="34"/>
        <v>0</v>
      </c>
      <c r="I497" s="28">
        <f t="shared" si="35"/>
        <v>0</v>
      </c>
      <c r="J497" s="28">
        <f t="shared" si="36"/>
        <v>0</v>
      </c>
      <c r="K497" s="29"/>
    </row>
    <row r="498" spans="1:11" ht="46.8">
      <c r="A498" s="26" t="s">
        <v>51</v>
      </c>
      <c r="B498" s="95" t="s">
        <v>533</v>
      </c>
      <c r="C498" s="108" t="s">
        <v>313</v>
      </c>
      <c r="D498" s="111">
        <v>1</v>
      </c>
      <c r="E498" s="27">
        <v>0</v>
      </c>
      <c r="F498" s="27">
        <v>0</v>
      </c>
      <c r="G498" s="27">
        <f t="shared" si="33"/>
        <v>0</v>
      </c>
      <c r="H498" s="28">
        <f t="shared" si="34"/>
        <v>0</v>
      </c>
      <c r="I498" s="28">
        <f t="shared" si="35"/>
        <v>0</v>
      </c>
      <c r="J498" s="28">
        <f t="shared" si="36"/>
        <v>0</v>
      </c>
      <c r="K498" s="29"/>
    </row>
    <row r="499" spans="1:11">
      <c r="A499" s="26" t="s">
        <v>52</v>
      </c>
      <c r="B499" s="95" t="s">
        <v>537</v>
      </c>
      <c r="C499" s="108" t="s">
        <v>313</v>
      </c>
      <c r="D499" s="111">
        <v>23</v>
      </c>
      <c r="E499" s="27">
        <v>0</v>
      </c>
      <c r="F499" s="27">
        <v>0</v>
      </c>
      <c r="G499" s="27">
        <f t="shared" si="33"/>
        <v>0</v>
      </c>
      <c r="H499" s="28">
        <f t="shared" si="34"/>
        <v>0</v>
      </c>
      <c r="I499" s="28">
        <f t="shared" si="35"/>
        <v>0</v>
      </c>
      <c r="J499" s="28">
        <f t="shared" si="36"/>
        <v>0</v>
      </c>
      <c r="K499" s="29"/>
    </row>
    <row r="500" spans="1:11" ht="31.2">
      <c r="A500" s="26" t="s">
        <v>53</v>
      </c>
      <c r="B500" s="95" t="s">
        <v>538</v>
      </c>
      <c r="C500" s="108" t="s">
        <v>313</v>
      </c>
      <c r="D500" s="111">
        <v>686</v>
      </c>
      <c r="E500" s="27">
        <v>0</v>
      </c>
      <c r="F500" s="27">
        <v>0</v>
      </c>
      <c r="G500" s="27">
        <f t="shared" si="33"/>
        <v>0</v>
      </c>
      <c r="H500" s="28">
        <f t="shared" si="34"/>
        <v>0</v>
      </c>
      <c r="I500" s="28">
        <f t="shared" si="35"/>
        <v>0</v>
      </c>
      <c r="J500" s="28">
        <f t="shared" si="36"/>
        <v>0</v>
      </c>
      <c r="K500" s="29"/>
    </row>
    <row r="501" spans="1:11" ht="31.2">
      <c r="A501" s="26" t="s">
        <v>54</v>
      </c>
      <c r="B501" s="95" t="s">
        <v>539</v>
      </c>
      <c r="C501" s="108" t="s">
        <v>313</v>
      </c>
      <c r="D501" s="111">
        <v>14</v>
      </c>
      <c r="E501" s="27">
        <v>0</v>
      </c>
      <c r="F501" s="27">
        <v>0</v>
      </c>
      <c r="G501" s="27">
        <f t="shared" si="33"/>
        <v>0</v>
      </c>
      <c r="H501" s="28">
        <f t="shared" si="34"/>
        <v>0</v>
      </c>
      <c r="I501" s="28">
        <f t="shared" si="35"/>
        <v>0</v>
      </c>
      <c r="J501" s="28">
        <f t="shared" si="36"/>
        <v>0</v>
      </c>
      <c r="K501" s="29"/>
    </row>
    <row r="502" spans="1:11" ht="31.2">
      <c r="A502" s="26" t="s">
        <v>55</v>
      </c>
      <c r="B502" s="95" t="s">
        <v>799</v>
      </c>
      <c r="C502" s="108" t="s">
        <v>313</v>
      </c>
      <c r="D502" s="111">
        <v>8</v>
      </c>
      <c r="E502" s="27">
        <v>0</v>
      </c>
      <c r="F502" s="27">
        <v>0</v>
      </c>
      <c r="G502" s="27">
        <f t="shared" si="33"/>
        <v>0</v>
      </c>
      <c r="H502" s="28">
        <f t="shared" si="34"/>
        <v>0</v>
      </c>
      <c r="I502" s="28">
        <f t="shared" si="35"/>
        <v>0</v>
      </c>
      <c r="J502" s="28">
        <f t="shared" si="36"/>
        <v>0</v>
      </c>
      <c r="K502" s="29"/>
    </row>
    <row r="503" spans="1:11" ht="31.2">
      <c r="A503" s="26" t="s">
        <v>56</v>
      </c>
      <c r="B503" s="95" t="s">
        <v>540</v>
      </c>
      <c r="C503" s="108" t="s">
        <v>313</v>
      </c>
      <c r="D503" s="111">
        <v>40</v>
      </c>
      <c r="E503" s="27">
        <v>0</v>
      </c>
      <c r="F503" s="27">
        <v>0</v>
      </c>
      <c r="G503" s="27">
        <f t="shared" si="33"/>
        <v>0</v>
      </c>
      <c r="H503" s="28">
        <f t="shared" si="34"/>
        <v>0</v>
      </c>
      <c r="I503" s="28">
        <f t="shared" si="35"/>
        <v>0</v>
      </c>
      <c r="J503" s="28">
        <f t="shared" si="36"/>
        <v>0</v>
      </c>
      <c r="K503" s="29"/>
    </row>
    <row r="504" spans="1:11" ht="31.2">
      <c r="A504" s="26" t="s">
        <v>57</v>
      </c>
      <c r="B504" s="95" t="s">
        <v>800</v>
      </c>
      <c r="C504" s="108" t="s">
        <v>313</v>
      </c>
      <c r="D504" s="111">
        <v>2</v>
      </c>
      <c r="E504" s="27">
        <v>0</v>
      </c>
      <c r="F504" s="27">
        <v>0</v>
      </c>
      <c r="G504" s="27">
        <f t="shared" si="33"/>
        <v>0</v>
      </c>
      <c r="H504" s="28">
        <f t="shared" si="34"/>
        <v>0</v>
      </c>
      <c r="I504" s="28">
        <f t="shared" si="35"/>
        <v>0</v>
      </c>
      <c r="J504" s="28">
        <f t="shared" si="36"/>
        <v>0</v>
      </c>
      <c r="K504" s="29"/>
    </row>
    <row r="505" spans="1:11" ht="31.2">
      <c r="A505" s="26" t="s">
        <v>58</v>
      </c>
      <c r="B505" s="95" t="s">
        <v>801</v>
      </c>
      <c r="C505" s="108" t="s">
        <v>313</v>
      </c>
      <c r="D505" s="111">
        <v>2</v>
      </c>
      <c r="E505" s="27">
        <v>0</v>
      </c>
      <c r="F505" s="27">
        <v>0</v>
      </c>
      <c r="G505" s="27">
        <f t="shared" si="33"/>
        <v>0</v>
      </c>
      <c r="H505" s="28">
        <f t="shared" si="34"/>
        <v>0</v>
      </c>
      <c r="I505" s="28">
        <f t="shared" si="35"/>
        <v>0</v>
      </c>
      <c r="J505" s="28">
        <f t="shared" si="36"/>
        <v>0</v>
      </c>
      <c r="K505" s="29"/>
    </row>
    <row r="506" spans="1:11" ht="31.2">
      <c r="A506" s="26" t="s">
        <v>59</v>
      </c>
      <c r="B506" s="95" t="s">
        <v>541</v>
      </c>
      <c r="C506" s="108" t="s">
        <v>313</v>
      </c>
      <c r="D506" s="111">
        <v>14</v>
      </c>
      <c r="E506" s="27">
        <v>0</v>
      </c>
      <c r="F506" s="27">
        <v>0</v>
      </c>
      <c r="G506" s="27">
        <f t="shared" si="33"/>
        <v>0</v>
      </c>
      <c r="H506" s="28">
        <f t="shared" si="34"/>
        <v>0</v>
      </c>
      <c r="I506" s="28">
        <f t="shared" si="35"/>
        <v>0</v>
      </c>
      <c r="J506" s="28">
        <f t="shared" si="36"/>
        <v>0</v>
      </c>
      <c r="K506" s="29"/>
    </row>
    <row r="507" spans="1:11" ht="31.2">
      <c r="A507" s="26" t="s">
        <v>60</v>
      </c>
      <c r="B507" s="95" t="s">
        <v>542</v>
      </c>
      <c r="C507" s="108" t="s">
        <v>313</v>
      </c>
      <c r="D507" s="111">
        <v>92</v>
      </c>
      <c r="E507" s="27">
        <v>0</v>
      </c>
      <c r="F507" s="27">
        <v>0</v>
      </c>
      <c r="G507" s="27">
        <f t="shared" si="33"/>
        <v>0</v>
      </c>
      <c r="H507" s="28">
        <f t="shared" si="34"/>
        <v>0</v>
      </c>
      <c r="I507" s="28">
        <f t="shared" si="35"/>
        <v>0</v>
      </c>
      <c r="J507" s="28">
        <f t="shared" si="36"/>
        <v>0</v>
      </c>
      <c r="K507" s="29"/>
    </row>
    <row r="508" spans="1:11">
      <c r="A508" s="26" t="s">
        <v>61</v>
      </c>
      <c r="B508" s="95" t="s">
        <v>543</v>
      </c>
      <c r="C508" s="108" t="s">
        <v>313</v>
      </c>
      <c r="D508" s="111">
        <v>700</v>
      </c>
      <c r="E508" s="27">
        <v>0</v>
      </c>
      <c r="F508" s="27">
        <v>0</v>
      </c>
      <c r="G508" s="27">
        <f t="shared" si="33"/>
        <v>0</v>
      </c>
      <c r="H508" s="28">
        <f t="shared" si="34"/>
        <v>0</v>
      </c>
      <c r="I508" s="28">
        <f t="shared" si="35"/>
        <v>0</v>
      </c>
      <c r="J508" s="28">
        <f t="shared" si="36"/>
        <v>0</v>
      </c>
      <c r="K508" s="73"/>
    </row>
    <row r="509" spans="1:11" ht="31.2">
      <c r="A509" s="26" t="s">
        <v>62</v>
      </c>
      <c r="B509" s="95" t="s">
        <v>802</v>
      </c>
      <c r="C509" s="108" t="s">
        <v>313</v>
      </c>
      <c r="D509" s="111">
        <v>30</v>
      </c>
      <c r="E509" s="27">
        <v>0</v>
      </c>
      <c r="F509" s="27">
        <v>0</v>
      </c>
      <c r="G509" s="27">
        <f t="shared" si="33"/>
        <v>0</v>
      </c>
      <c r="H509" s="28">
        <f t="shared" si="34"/>
        <v>0</v>
      </c>
      <c r="I509" s="28">
        <f t="shared" si="35"/>
        <v>0</v>
      </c>
      <c r="J509" s="28">
        <f t="shared" si="36"/>
        <v>0</v>
      </c>
      <c r="K509" s="73"/>
    </row>
    <row r="510" spans="1:11" ht="46.8">
      <c r="A510" s="26" t="s">
        <v>63</v>
      </c>
      <c r="B510" s="95" t="s">
        <v>803</v>
      </c>
      <c r="C510" s="108" t="s">
        <v>313</v>
      </c>
      <c r="D510" s="111">
        <v>656</v>
      </c>
      <c r="E510" s="27">
        <v>0</v>
      </c>
      <c r="F510" s="27">
        <v>0</v>
      </c>
      <c r="G510" s="27">
        <f t="shared" si="33"/>
        <v>0</v>
      </c>
      <c r="H510" s="28">
        <f t="shared" si="34"/>
        <v>0</v>
      </c>
      <c r="I510" s="28">
        <f t="shared" si="35"/>
        <v>0</v>
      </c>
      <c r="J510" s="28">
        <f t="shared" si="36"/>
        <v>0</v>
      </c>
      <c r="K510" s="73"/>
    </row>
    <row r="511" spans="1:11">
      <c r="A511" s="26" t="s">
        <v>64</v>
      </c>
      <c r="B511" s="95" t="s">
        <v>554</v>
      </c>
      <c r="C511" s="108" t="s">
        <v>313</v>
      </c>
      <c r="D511" s="111">
        <v>26</v>
      </c>
      <c r="E511" s="27">
        <v>0</v>
      </c>
      <c r="F511" s="27">
        <v>0</v>
      </c>
      <c r="G511" s="27">
        <f t="shared" si="33"/>
        <v>0</v>
      </c>
      <c r="H511" s="28">
        <f t="shared" si="34"/>
        <v>0</v>
      </c>
      <c r="I511" s="28">
        <f t="shared" si="35"/>
        <v>0</v>
      </c>
      <c r="J511" s="28">
        <f t="shared" si="36"/>
        <v>0</v>
      </c>
      <c r="K511" s="73"/>
    </row>
    <row r="512" spans="1:11">
      <c r="A512" s="26" t="s">
        <v>65</v>
      </c>
      <c r="B512" s="95" t="s">
        <v>804</v>
      </c>
      <c r="C512" s="108" t="s">
        <v>313</v>
      </c>
      <c r="D512" s="111">
        <v>1</v>
      </c>
      <c r="E512" s="27">
        <v>0</v>
      </c>
      <c r="F512" s="27">
        <v>0</v>
      </c>
      <c r="G512" s="27">
        <f t="shared" si="33"/>
        <v>0</v>
      </c>
      <c r="H512" s="28">
        <f t="shared" si="34"/>
        <v>0</v>
      </c>
      <c r="I512" s="28">
        <f t="shared" si="35"/>
        <v>0</v>
      </c>
      <c r="J512" s="28">
        <f t="shared" si="36"/>
        <v>0</v>
      </c>
      <c r="K512" s="73"/>
    </row>
    <row r="513" spans="1:11" ht="31.2">
      <c r="A513" s="26" t="s">
        <v>66</v>
      </c>
      <c r="B513" s="95" t="s">
        <v>556</v>
      </c>
      <c r="C513" s="108" t="s">
        <v>313</v>
      </c>
      <c r="D513" s="111">
        <v>2</v>
      </c>
      <c r="E513" s="27">
        <v>0</v>
      </c>
      <c r="F513" s="27">
        <v>0</v>
      </c>
      <c r="G513" s="27">
        <f t="shared" si="33"/>
        <v>0</v>
      </c>
      <c r="H513" s="28">
        <f t="shared" si="34"/>
        <v>0</v>
      </c>
      <c r="I513" s="28">
        <f t="shared" si="35"/>
        <v>0</v>
      </c>
      <c r="J513" s="28">
        <f t="shared" si="36"/>
        <v>0</v>
      </c>
      <c r="K513" s="73"/>
    </row>
    <row r="514" spans="1:11" ht="31.2">
      <c r="A514" s="26" t="s">
        <v>67</v>
      </c>
      <c r="B514" s="95" t="s">
        <v>557</v>
      </c>
      <c r="C514" s="108" t="s">
        <v>313</v>
      </c>
      <c r="D514" s="111">
        <v>1</v>
      </c>
      <c r="E514" s="27">
        <v>0</v>
      </c>
      <c r="F514" s="27">
        <v>0</v>
      </c>
      <c r="G514" s="27">
        <f t="shared" si="33"/>
        <v>0</v>
      </c>
      <c r="H514" s="28">
        <f t="shared" si="34"/>
        <v>0</v>
      </c>
      <c r="I514" s="28">
        <f t="shared" si="35"/>
        <v>0</v>
      </c>
      <c r="J514" s="28">
        <f t="shared" si="36"/>
        <v>0</v>
      </c>
      <c r="K514" s="73"/>
    </row>
    <row r="515" spans="1:11" ht="46.8">
      <c r="A515" s="26" t="s">
        <v>68</v>
      </c>
      <c r="B515" s="95" t="s">
        <v>805</v>
      </c>
      <c r="C515" s="108" t="s">
        <v>313</v>
      </c>
      <c r="D515" s="111">
        <v>1</v>
      </c>
      <c r="E515" s="27">
        <v>0</v>
      </c>
      <c r="F515" s="27">
        <v>0</v>
      </c>
      <c r="G515" s="27">
        <f t="shared" si="33"/>
        <v>0</v>
      </c>
      <c r="H515" s="28">
        <f t="shared" si="34"/>
        <v>0</v>
      </c>
      <c r="I515" s="28">
        <f t="shared" si="35"/>
        <v>0</v>
      </c>
      <c r="J515" s="28">
        <f t="shared" si="36"/>
        <v>0</v>
      </c>
      <c r="K515" s="73"/>
    </row>
    <row r="516" spans="1:11">
      <c r="A516" s="26" t="s">
        <v>69</v>
      </c>
      <c r="B516" s="95" t="s">
        <v>559</v>
      </c>
      <c r="C516" s="108" t="s">
        <v>313</v>
      </c>
      <c r="D516" s="111">
        <v>2</v>
      </c>
      <c r="E516" s="27">
        <v>0</v>
      </c>
      <c r="F516" s="27">
        <v>0</v>
      </c>
      <c r="G516" s="27">
        <f t="shared" si="33"/>
        <v>0</v>
      </c>
      <c r="H516" s="28">
        <f t="shared" si="34"/>
        <v>0</v>
      </c>
      <c r="I516" s="28">
        <f t="shared" si="35"/>
        <v>0</v>
      </c>
      <c r="J516" s="28">
        <f t="shared" si="36"/>
        <v>0</v>
      </c>
      <c r="K516" s="73"/>
    </row>
    <row r="517" spans="1:11" ht="31.2">
      <c r="A517" s="26" t="s">
        <v>70</v>
      </c>
      <c r="B517" s="95" t="s">
        <v>560</v>
      </c>
      <c r="C517" s="108" t="s">
        <v>313</v>
      </c>
      <c r="D517" s="111">
        <v>2</v>
      </c>
      <c r="E517" s="27">
        <v>0</v>
      </c>
      <c r="F517" s="27">
        <v>0</v>
      </c>
      <c r="G517" s="27">
        <f t="shared" si="33"/>
        <v>0</v>
      </c>
      <c r="H517" s="28">
        <f t="shared" si="34"/>
        <v>0</v>
      </c>
      <c r="I517" s="28">
        <f t="shared" si="35"/>
        <v>0</v>
      </c>
      <c r="J517" s="28">
        <f t="shared" si="36"/>
        <v>0</v>
      </c>
      <c r="K517" s="73"/>
    </row>
    <row r="518" spans="1:11">
      <c r="A518" s="26" t="s">
        <v>71</v>
      </c>
      <c r="B518" s="95" t="s">
        <v>561</v>
      </c>
      <c r="C518" s="108" t="s">
        <v>313</v>
      </c>
      <c r="D518" s="111">
        <v>2</v>
      </c>
      <c r="E518" s="27">
        <v>0</v>
      </c>
      <c r="F518" s="27">
        <v>0</v>
      </c>
      <c r="G518" s="27">
        <f t="shared" si="33"/>
        <v>0</v>
      </c>
      <c r="H518" s="28">
        <f t="shared" si="34"/>
        <v>0</v>
      </c>
      <c r="I518" s="28">
        <f t="shared" si="35"/>
        <v>0</v>
      </c>
      <c r="J518" s="28">
        <f t="shared" si="36"/>
        <v>0</v>
      </c>
      <c r="K518" s="73"/>
    </row>
    <row r="519" spans="1:11" ht="31.2">
      <c r="A519" s="26" t="s">
        <v>72</v>
      </c>
      <c r="B519" s="95" t="s">
        <v>562</v>
      </c>
      <c r="C519" s="108" t="s">
        <v>313</v>
      </c>
      <c r="D519" s="111">
        <v>2</v>
      </c>
      <c r="E519" s="27">
        <v>0</v>
      </c>
      <c r="F519" s="27">
        <v>0</v>
      </c>
      <c r="G519" s="27">
        <f t="shared" si="33"/>
        <v>0</v>
      </c>
      <c r="H519" s="28">
        <f t="shared" si="34"/>
        <v>0</v>
      </c>
      <c r="I519" s="28">
        <f t="shared" si="35"/>
        <v>0</v>
      </c>
      <c r="J519" s="28">
        <f t="shared" si="36"/>
        <v>0</v>
      </c>
      <c r="K519" s="73"/>
    </row>
    <row r="520" spans="1:11" ht="31.2">
      <c r="A520" s="26" t="s">
        <v>73</v>
      </c>
      <c r="B520" s="95" t="s">
        <v>563</v>
      </c>
      <c r="C520" s="108" t="s">
        <v>313</v>
      </c>
      <c r="D520" s="111">
        <v>1</v>
      </c>
      <c r="E520" s="27">
        <v>0</v>
      </c>
      <c r="F520" s="27">
        <v>0</v>
      </c>
      <c r="G520" s="27">
        <f t="shared" si="33"/>
        <v>0</v>
      </c>
      <c r="H520" s="28">
        <f t="shared" si="34"/>
        <v>0</v>
      </c>
      <c r="I520" s="28">
        <f t="shared" si="35"/>
        <v>0</v>
      </c>
      <c r="J520" s="28">
        <f t="shared" si="36"/>
        <v>0</v>
      </c>
      <c r="K520" s="73"/>
    </row>
    <row r="521" spans="1:11" ht="31.2">
      <c r="A521" s="26" t="s">
        <v>74</v>
      </c>
      <c r="B521" s="95" t="s">
        <v>564</v>
      </c>
      <c r="C521" s="108" t="s">
        <v>313</v>
      </c>
      <c r="D521" s="111">
        <v>1</v>
      </c>
      <c r="E521" s="27">
        <v>0</v>
      </c>
      <c r="F521" s="27">
        <v>0</v>
      </c>
      <c r="G521" s="27">
        <f t="shared" si="33"/>
        <v>0</v>
      </c>
      <c r="H521" s="28">
        <f t="shared" si="34"/>
        <v>0</v>
      </c>
      <c r="I521" s="28">
        <f t="shared" si="35"/>
        <v>0</v>
      </c>
      <c r="J521" s="28">
        <f t="shared" si="36"/>
        <v>0</v>
      </c>
      <c r="K521" s="29"/>
    </row>
    <row r="522" spans="1:11">
      <c r="A522" s="26" t="s">
        <v>75</v>
      </c>
      <c r="B522" s="95" t="s">
        <v>565</v>
      </c>
      <c r="C522" s="108" t="s">
        <v>313</v>
      </c>
      <c r="D522" s="111">
        <v>6</v>
      </c>
      <c r="E522" s="27">
        <v>0</v>
      </c>
      <c r="F522" s="27">
        <v>0</v>
      </c>
      <c r="G522" s="27">
        <f t="shared" si="33"/>
        <v>0</v>
      </c>
      <c r="H522" s="28">
        <f t="shared" si="34"/>
        <v>0</v>
      </c>
      <c r="I522" s="28">
        <f t="shared" si="35"/>
        <v>0</v>
      </c>
      <c r="J522" s="28">
        <f t="shared" si="36"/>
        <v>0</v>
      </c>
      <c r="K522" s="29"/>
    </row>
    <row r="523" spans="1:11">
      <c r="A523" s="26" t="s">
        <v>76</v>
      </c>
      <c r="B523" s="95" t="s">
        <v>554</v>
      </c>
      <c r="C523" s="108" t="s">
        <v>313</v>
      </c>
      <c r="D523" s="111">
        <v>3</v>
      </c>
      <c r="E523" s="27">
        <v>0</v>
      </c>
      <c r="F523" s="27">
        <v>0</v>
      </c>
      <c r="G523" s="27">
        <f t="shared" si="33"/>
        <v>0</v>
      </c>
      <c r="H523" s="28">
        <f t="shared" si="34"/>
        <v>0</v>
      </c>
      <c r="I523" s="28">
        <f t="shared" si="35"/>
        <v>0</v>
      </c>
      <c r="J523" s="28">
        <f t="shared" si="36"/>
        <v>0</v>
      </c>
      <c r="K523" s="29"/>
    </row>
    <row r="524" spans="1:11" ht="31.2">
      <c r="A524" s="26" t="s">
        <v>77</v>
      </c>
      <c r="B524" s="95" t="s">
        <v>806</v>
      </c>
      <c r="C524" s="108" t="s">
        <v>313</v>
      </c>
      <c r="D524" s="111">
        <v>3</v>
      </c>
      <c r="E524" s="27">
        <v>0</v>
      </c>
      <c r="F524" s="27">
        <v>0</v>
      </c>
      <c r="G524" s="27">
        <f t="shared" si="33"/>
        <v>0</v>
      </c>
      <c r="H524" s="28">
        <f t="shared" si="34"/>
        <v>0</v>
      </c>
      <c r="I524" s="28">
        <f t="shared" si="35"/>
        <v>0</v>
      </c>
      <c r="J524" s="28">
        <f t="shared" si="36"/>
        <v>0</v>
      </c>
      <c r="K524" s="29"/>
    </row>
    <row r="525" spans="1:11" ht="31.2">
      <c r="A525" s="26" t="s">
        <v>78</v>
      </c>
      <c r="B525" s="95" t="s">
        <v>566</v>
      </c>
      <c r="C525" s="108" t="s">
        <v>313</v>
      </c>
      <c r="D525" s="111">
        <v>6</v>
      </c>
      <c r="E525" s="27">
        <v>0</v>
      </c>
      <c r="F525" s="27">
        <v>0</v>
      </c>
      <c r="G525" s="27">
        <f t="shared" si="33"/>
        <v>0</v>
      </c>
      <c r="H525" s="28">
        <f t="shared" si="34"/>
        <v>0</v>
      </c>
      <c r="I525" s="28">
        <f t="shared" si="35"/>
        <v>0</v>
      </c>
      <c r="J525" s="28">
        <f t="shared" si="36"/>
        <v>0</v>
      </c>
      <c r="K525" s="29"/>
    </row>
    <row r="526" spans="1:11" ht="31.2">
      <c r="A526" s="26" t="s">
        <v>79</v>
      </c>
      <c r="B526" s="95" t="s">
        <v>575</v>
      </c>
      <c r="C526" s="108" t="s">
        <v>313</v>
      </c>
      <c r="D526" s="111">
        <v>3</v>
      </c>
      <c r="E526" s="27">
        <v>0</v>
      </c>
      <c r="F526" s="27">
        <v>0</v>
      </c>
      <c r="G526" s="27">
        <f t="shared" si="33"/>
        <v>0</v>
      </c>
      <c r="H526" s="28">
        <f t="shared" si="34"/>
        <v>0</v>
      </c>
      <c r="I526" s="28">
        <f t="shared" si="35"/>
        <v>0</v>
      </c>
      <c r="J526" s="28">
        <f t="shared" si="36"/>
        <v>0</v>
      </c>
      <c r="K526" s="29"/>
    </row>
    <row r="527" spans="1:11" ht="31.2">
      <c r="A527" s="26" t="s">
        <v>80</v>
      </c>
      <c r="B527" s="95" t="s">
        <v>567</v>
      </c>
      <c r="C527" s="108" t="s">
        <v>313</v>
      </c>
      <c r="D527" s="111">
        <v>6</v>
      </c>
      <c r="E527" s="27">
        <v>0</v>
      </c>
      <c r="F527" s="27">
        <v>0</v>
      </c>
      <c r="G527" s="27">
        <f t="shared" ref="G527:G578" si="37">E527+F527</f>
        <v>0</v>
      </c>
      <c r="H527" s="28">
        <f t="shared" ref="H527:H578" si="38">D527*E527</f>
        <v>0</v>
      </c>
      <c r="I527" s="28">
        <f t="shared" ref="I527:I578" si="39">D527*F527</f>
        <v>0</v>
      </c>
      <c r="J527" s="28">
        <f t="shared" ref="J527:J578" si="40">H527+I527</f>
        <v>0</v>
      </c>
      <c r="K527" s="29"/>
    </row>
    <row r="528" spans="1:11" ht="31.2">
      <c r="A528" s="26" t="s">
        <v>81</v>
      </c>
      <c r="B528" s="95" t="s">
        <v>807</v>
      </c>
      <c r="C528" s="108" t="s">
        <v>313</v>
      </c>
      <c r="D528" s="111">
        <v>3</v>
      </c>
      <c r="E528" s="27">
        <v>0</v>
      </c>
      <c r="F528" s="27">
        <v>0</v>
      </c>
      <c r="G528" s="27">
        <f t="shared" si="37"/>
        <v>0</v>
      </c>
      <c r="H528" s="28">
        <f t="shared" si="38"/>
        <v>0</v>
      </c>
      <c r="I528" s="28">
        <f t="shared" si="39"/>
        <v>0</v>
      </c>
      <c r="J528" s="28">
        <f t="shared" si="40"/>
        <v>0</v>
      </c>
      <c r="K528" s="29"/>
    </row>
    <row r="529" spans="1:11" ht="31.2">
      <c r="A529" s="26" t="s">
        <v>82</v>
      </c>
      <c r="B529" s="95" t="s">
        <v>808</v>
      </c>
      <c r="C529" s="108" t="s">
        <v>313</v>
      </c>
      <c r="D529" s="111">
        <v>6</v>
      </c>
      <c r="E529" s="27">
        <v>0</v>
      </c>
      <c r="F529" s="27">
        <v>0</v>
      </c>
      <c r="G529" s="27">
        <f t="shared" si="37"/>
        <v>0</v>
      </c>
      <c r="H529" s="28">
        <f t="shared" si="38"/>
        <v>0</v>
      </c>
      <c r="I529" s="28">
        <f t="shared" si="39"/>
        <v>0</v>
      </c>
      <c r="J529" s="28">
        <f t="shared" si="40"/>
        <v>0</v>
      </c>
      <c r="K529" s="29"/>
    </row>
    <row r="530" spans="1:11" ht="46.8">
      <c r="A530" s="26" t="s">
        <v>83</v>
      </c>
      <c r="B530" s="95" t="s">
        <v>569</v>
      </c>
      <c r="C530" s="108" t="s">
        <v>313</v>
      </c>
      <c r="D530" s="111">
        <v>9</v>
      </c>
      <c r="E530" s="27">
        <v>0</v>
      </c>
      <c r="F530" s="27">
        <v>0</v>
      </c>
      <c r="G530" s="27">
        <f t="shared" si="37"/>
        <v>0</v>
      </c>
      <c r="H530" s="28">
        <f t="shared" si="38"/>
        <v>0</v>
      </c>
      <c r="I530" s="28">
        <f t="shared" si="39"/>
        <v>0</v>
      </c>
      <c r="J530" s="28">
        <f t="shared" si="40"/>
        <v>0</v>
      </c>
      <c r="K530" s="29"/>
    </row>
    <row r="531" spans="1:11">
      <c r="A531" s="26" t="s">
        <v>84</v>
      </c>
      <c r="B531" s="95" t="s">
        <v>577</v>
      </c>
      <c r="C531" s="108" t="s">
        <v>313</v>
      </c>
      <c r="D531" s="111">
        <v>3</v>
      </c>
      <c r="E531" s="27">
        <v>0</v>
      </c>
      <c r="F531" s="27">
        <v>0</v>
      </c>
      <c r="G531" s="27">
        <f t="shared" si="37"/>
        <v>0</v>
      </c>
      <c r="H531" s="28">
        <f t="shared" si="38"/>
        <v>0</v>
      </c>
      <c r="I531" s="28">
        <f t="shared" si="39"/>
        <v>0</v>
      </c>
      <c r="J531" s="28">
        <f t="shared" si="40"/>
        <v>0</v>
      </c>
      <c r="K531" s="29"/>
    </row>
    <row r="532" spans="1:11">
      <c r="A532" s="26" t="s">
        <v>85</v>
      </c>
      <c r="B532" s="95" t="s">
        <v>578</v>
      </c>
      <c r="C532" s="108" t="s">
        <v>313</v>
      </c>
      <c r="D532" s="111">
        <v>3</v>
      </c>
      <c r="E532" s="27">
        <v>0</v>
      </c>
      <c r="F532" s="27">
        <v>0</v>
      </c>
      <c r="G532" s="27">
        <f t="shared" si="37"/>
        <v>0</v>
      </c>
      <c r="H532" s="28">
        <f t="shared" si="38"/>
        <v>0</v>
      </c>
      <c r="I532" s="28">
        <f t="shared" si="39"/>
        <v>0</v>
      </c>
      <c r="J532" s="28">
        <f t="shared" si="40"/>
        <v>0</v>
      </c>
      <c r="K532" s="29"/>
    </row>
    <row r="533" spans="1:11" ht="31.2">
      <c r="A533" s="26" t="s">
        <v>86</v>
      </c>
      <c r="B533" s="95" t="s">
        <v>572</v>
      </c>
      <c r="C533" s="108" t="s">
        <v>313</v>
      </c>
      <c r="D533" s="111">
        <v>3</v>
      </c>
      <c r="E533" s="27">
        <v>0</v>
      </c>
      <c r="F533" s="27">
        <v>0</v>
      </c>
      <c r="G533" s="27">
        <f t="shared" si="37"/>
        <v>0</v>
      </c>
      <c r="H533" s="28">
        <f t="shared" si="38"/>
        <v>0</v>
      </c>
      <c r="I533" s="28">
        <f t="shared" si="39"/>
        <v>0</v>
      </c>
      <c r="J533" s="28">
        <f t="shared" si="40"/>
        <v>0</v>
      </c>
      <c r="K533" s="29"/>
    </row>
    <row r="534" spans="1:11" ht="31.2">
      <c r="A534" s="26" t="s">
        <v>87</v>
      </c>
      <c r="B534" s="95" t="s">
        <v>573</v>
      </c>
      <c r="C534" s="108" t="s">
        <v>313</v>
      </c>
      <c r="D534" s="111">
        <v>6</v>
      </c>
      <c r="E534" s="27">
        <v>0</v>
      </c>
      <c r="F534" s="27">
        <v>0</v>
      </c>
      <c r="G534" s="27">
        <f t="shared" si="37"/>
        <v>0</v>
      </c>
      <c r="H534" s="28">
        <f t="shared" si="38"/>
        <v>0</v>
      </c>
      <c r="I534" s="28">
        <f t="shared" si="39"/>
        <v>0</v>
      </c>
      <c r="J534" s="28">
        <f t="shared" si="40"/>
        <v>0</v>
      </c>
      <c r="K534" s="29"/>
    </row>
    <row r="535" spans="1:11">
      <c r="A535" s="26" t="s">
        <v>88</v>
      </c>
      <c r="B535" s="95" t="s">
        <v>565</v>
      </c>
      <c r="C535" s="108" t="s">
        <v>313</v>
      </c>
      <c r="D535" s="111">
        <v>10</v>
      </c>
      <c r="E535" s="27">
        <v>0</v>
      </c>
      <c r="F535" s="27">
        <v>0</v>
      </c>
      <c r="G535" s="27">
        <f t="shared" si="37"/>
        <v>0</v>
      </c>
      <c r="H535" s="28">
        <f t="shared" si="38"/>
        <v>0</v>
      </c>
      <c r="I535" s="28">
        <f t="shared" si="39"/>
        <v>0</v>
      </c>
      <c r="J535" s="28">
        <f t="shared" si="40"/>
        <v>0</v>
      </c>
      <c r="K535" s="29"/>
    </row>
    <row r="536" spans="1:11">
      <c r="A536" s="26" t="s">
        <v>89</v>
      </c>
      <c r="B536" s="95" t="s">
        <v>554</v>
      </c>
      <c r="C536" s="108" t="s">
        <v>313</v>
      </c>
      <c r="D536" s="111">
        <v>5</v>
      </c>
      <c r="E536" s="27">
        <v>0</v>
      </c>
      <c r="F536" s="27">
        <v>0</v>
      </c>
      <c r="G536" s="27">
        <f t="shared" si="37"/>
        <v>0</v>
      </c>
      <c r="H536" s="28">
        <f t="shared" si="38"/>
        <v>0</v>
      </c>
      <c r="I536" s="28">
        <f t="shared" si="39"/>
        <v>0</v>
      </c>
      <c r="J536" s="28">
        <f t="shared" si="40"/>
        <v>0</v>
      </c>
      <c r="K536" s="29"/>
    </row>
    <row r="537" spans="1:11" ht="31.2">
      <c r="A537" s="26" t="s">
        <v>908</v>
      </c>
      <c r="B537" s="95" t="s">
        <v>574</v>
      </c>
      <c r="C537" s="108" t="s">
        <v>313</v>
      </c>
      <c r="D537" s="111">
        <v>5</v>
      </c>
      <c r="E537" s="27">
        <v>0</v>
      </c>
      <c r="F537" s="27">
        <v>0</v>
      </c>
      <c r="G537" s="27">
        <f t="shared" si="37"/>
        <v>0</v>
      </c>
      <c r="H537" s="28">
        <f t="shared" si="38"/>
        <v>0</v>
      </c>
      <c r="I537" s="28">
        <f t="shared" si="39"/>
        <v>0</v>
      </c>
      <c r="J537" s="28">
        <f t="shared" si="40"/>
        <v>0</v>
      </c>
      <c r="K537" s="29"/>
    </row>
    <row r="538" spans="1:11" ht="31.2">
      <c r="A538" s="26" t="s">
        <v>90</v>
      </c>
      <c r="B538" s="95" t="s">
        <v>566</v>
      </c>
      <c r="C538" s="108" t="s">
        <v>313</v>
      </c>
      <c r="D538" s="111">
        <v>10</v>
      </c>
      <c r="E538" s="27">
        <v>0</v>
      </c>
      <c r="F538" s="27">
        <v>0</v>
      </c>
      <c r="G538" s="27">
        <f t="shared" si="37"/>
        <v>0</v>
      </c>
      <c r="H538" s="28">
        <f t="shared" si="38"/>
        <v>0</v>
      </c>
      <c r="I538" s="28">
        <f t="shared" si="39"/>
        <v>0</v>
      </c>
      <c r="J538" s="28">
        <f t="shared" si="40"/>
        <v>0</v>
      </c>
      <c r="K538" s="29"/>
    </row>
    <row r="539" spans="1:11" ht="31.2">
      <c r="A539" s="26" t="s">
        <v>91</v>
      </c>
      <c r="B539" s="95" t="s">
        <v>575</v>
      </c>
      <c r="C539" s="108" t="s">
        <v>313</v>
      </c>
      <c r="D539" s="111">
        <v>5</v>
      </c>
      <c r="E539" s="27">
        <v>0</v>
      </c>
      <c r="F539" s="27">
        <v>0</v>
      </c>
      <c r="G539" s="27">
        <f t="shared" si="37"/>
        <v>0</v>
      </c>
      <c r="H539" s="28">
        <f t="shared" si="38"/>
        <v>0</v>
      </c>
      <c r="I539" s="28">
        <f t="shared" si="39"/>
        <v>0</v>
      </c>
      <c r="J539" s="28">
        <f t="shared" si="40"/>
        <v>0</v>
      </c>
      <c r="K539" s="29"/>
    </row>
    <row r="540" spans="1:11" ht="31.2">
      <c r="A540" s="26" t="s">
        <v>92</v>
      </c>
      <c r="B540" s="95" t="s">
        <v>567</v>
      </c>
      <c r="C540" s="108" t="s">
        <v>313</v>
      </c>
      <c r="D540" s="111">
        <v>10</v>
      </c>
      <c r="E540" s="27">
        <v>0</v>
      </c>
      <c r="F540" s="27">
        <v>0</v>
      </c>
      <c r="G540" s="27">
        <f t="shared" si="37"/>
        <v>0</v>
      </c>
      <c r="H540" s="28">
        <f t="shared" si="38"/>
        <v>0</v>
      </c>
      <c r="I540" s="28">
        <f t="shared" si="39"/>
        <v>0</v>
      </c>
      <c r="J540" s="28">
        <f t="shared" si="40"/>
        <v>0</v>
      </c>
      <c r="K540" s="29"/>
    </row>
    <row r="541" spans="1:11" ht="31.2">
      <c r="A541" s="26" t="s">
        <v>93</v>
      </c>
      <c r="B541" s="95" t="s">
        <v>807</v>
      </c>
      <c r="C541" s="108" t="s">
        <v>313</v>
      </c>
      <c r="D541" s="111">
        <v>5</v>
      </c>
      <c r="E541" s="27">
        <v>0</v>
      </c>
      <c r="F541" s="27">
        <v>0</v>
      </c>
      <c r="G541" s="27">
        <f t="shared" si="37"/>
        <v>0</v>
      </c>
      <c r="H541" s="28">
        <f t="shared" si="38"/>
        <v>0</v>
      </c>
      <c r="I541" s="28">
        <f t="shared" si="39"/>
        <v>0</v>
      </c>
      <c r="J541" s="28">
        <f t="shared" si="40"/>
        <v>0</v>
      </c>
      <c r="K541" s="29"/>
    </row>
    <row r="542" spans="1:11" ht="31.2">
      <c r="A542" s="26" t="s">
        <v>94</v>
      </c>
      <c r="B542" s="95" t="s">
        <v>808</v>
      </c>
      <c r="C542" s="108" t="s">
        <v>313</v>
      </c>
      <c r="D542" s="111">
        <v>10</v>
      </c>
      <c r="E542" s="27">
        <v>0</v>
      </c>
      <c r="F542" s="27">
        <v>0</v>
      </c>
      <c r="G542" s="27">
        <f t="shared" si="37"/>
        <v>0</v>
      </c>
      <c r="H542" s="28">
        <f t="shared" si="38"/>
        <v>0</v>
      </c>
      <c r="I542" s="28">
        <f t="shared" si="39"/>
        <v>0</v>
      </c>
      <c r="J542" s="28">
        <f t="shared" si="40"/>
        <v>0</v>
      </c>
      <c r="K542" s="29"/>
    </row>
    <row r="543" spans="1:11" ht="46.8">
      <c r="A543" s="26" t="s">
        <v>95</v>
      </c>
      <c r="B543" s="95" t="s">
        <v>569</v>
      </c>
      <c r="C543" s="108" t="s">
        <v>313</v>
      </c>
      <c r="D543" s="111">
        <v>15</v>
      </c>
      <c r="E543" s="27">
        <v>0</v>
      </c>
      <c r="F543" s="27">
        <v>0</v>
      </c>
      <c r="G543" s="27">
        <f t="shared" si="37"/>
        <v>0</v>
      </c>
      <c r="H543" s="28">
        <f t="shared" si="38"/>
        <v>0</v>
      </c>
      <c r="I543" s="28">
        <f t="shared" si="39"/>
        <v>0</v>
      </c>
      <c r="J543" s="28">
        <f t="shared" si="40"/>
        <v>0</v>
      </c>
      <c r="K543" s="29"/>
    </row>
    <row r="544" spans="1:11">
      <c r="A544" s="26" t="s">
        <v>96</v>
      </c>
      <c r="B544" s="95" t="s">
        <v>577</v>
      </c>
      <c r="C544" s="108" t="s">
        <v>313</v>
      </c>
      <c r="D544" s="111">
        <v>5</v>
      </c>
      <c r="E544" s="27">
        <v>0</v>
      </c>
      <c r="F544" s="27">
        <v>0</v>
      </c>
      <c r="G544" s="27">
        <f t="shared" si="37"/>
        <v>0</v>
      </c>
      <c r="H544" s="28">
        <f t="shared" si="38"/>
        <v>0</v>
      </c>
      <c r="I544" s="28">
        <f t="shared" si="39"/>
        <v>0</v>
      </c>
      <c r="J544" s="28">
        <f t="shared" si="40"/>
        <v>0</v>
      </c>
      <c r="K544" s="29"/>
    </row>
    <row r="545" spans="1:11">
      <c r="A545" s="26" t="s">
        <v>97</v>
      </c>
      <c r="B545" s="95" t="s">
        <v>578</v>
      </c>
      <c r="C545" s="108" t="s">
        <v>313</v>
      </c>
      <c r="D545" s="111">
        <v>5</v>
      </c>
      <c r="E545" s="27">
        <v>0</v>
      </c>
      <c r="F545" s="27">
        <v>0</v>
      </c>
      <c r="G545" s="27">
        <f t="shared" si="37"/>
        <v>0</v>
      </c>
      <c r="H545" s="28">
        <f t="shared" si="38"/>
        <v>0</v>
      </c>
      <c r="I545" s="28">
        <f t="shared" si="39"/>
        <v>0</v>
      </c>
      <c r="J545" s="28">
        <f t="shared" si="40"/>
        <v>0</v>
      </c>
      <c r="K545" s="29"/>
    </row>
    <row r="546" spans="1:11" ht="31.2">
      <c r="A546" s="26" t="s">
        <v>98</v>
      </c>
      <c r="B546" s="95" t="s">
        <v>572</v>
      </c>
      <c r="C546" s="108" t="s">
        <v>313</v>
      </c>
      <c r="D546" s="111">
        <v>5</v>
      </c>
      <c r="E546" s="27">
        <v>0</v>
      </c>
      <c r="F546" s="27">
        <v>0</v>
      </c>
      <c r="G546" s="27">
        <f t="shared" si="37"/>
        <v>0</v>
      </c>
      <c r="H546" s="28">
        <f t="shared" si="38"/>
        <v>0</v>
      </c>
      <c r="I546" s="28">
        <f t="shared" si="39"/>
        <v>0</v>
      </c>
      <c r="J546" s="28">
        <f t="shared" si="40"/>
        <v>0</v>
      </c>
      <c r="K546" s="29"/>
    </row>
    <row r="547" spans="1:11" ht="31.2">
      <c r="A547" s="26" t="s">
        <v>99</v>
      </c>
      <c r="B547" s="95" t="s">
        <v>573</v>
      </c>
      <c r="C547" s="108" t="s">
        <v>313</v>
      </c>
      <c r="D547" s="111">
        <v>10</v>
      </c>
      <c r="E547" s="27">
        <v>0</v>
      </c>
      <c r="F547" s="27">
        <v>0</v>
      </c>
      <c r="G547" s="27">
        <f t="shared" si="37"/>
        <v>0</v>
      </c>
      <c r="H547" s="28">
        <f t="shared" si="38"/>
        <v>0</v>
      </c>
      <c r="I547" s="28">
        <f t="shared" si="39"/>
        <v>0</v>
      </c>
      <c r="J547" s="28">
        <f t="shared" si="40"/>
        <v>0</v>
      </c>
      <c r="K547" s="29"/>
    </row>
    <row r="548" spans="1:11">
      <c r="A548" s="26" t="s">
        <v>100</v>
      </c>
      <c r="B548" s="95" t="s">
        <v>582</v>
      </c>
      <c r="C548" s="108" t="s">
        <v>313</v>
      </c>
      <c r="D548" s="111">
        <v>2</v>
      </c>
      <c r="E548" s="27">
        <v>0</v>
      </c>
      <c r="F548" s="27">
        <v>0</v>
      </c>
      <c r="G548" s="27">
        <f t="shared" si="37"/>
        <v>0</v>
      </c>
      <c r="H548" s="28">
        <f t="shared" si="38"/>
        <v>0</v>
      </c>
      <c r="I548" s="28">
        <f t="shared" si="39"/>
        <v>0</v>
      </c>
      <c r="J548" s="28">
        <f t="shared" si="40"/>
        <v>0</v>
      </c>
      <c r="K548" s="29"/>
    </row>
    <row r="549" spans="1:11">
      <c r="A549" s="26" t="s">
        <v>101</v>
      </c>
      <c r="B549" s="95" t="s">
        <v>583</v>
      </c>
      <c r="C549" s="108" t="s">
        <v>313</v>
      </c>
      <c r="D549" s="111">
        <v>1</v>
      </c>
      <c r="E549" s="27">
        <v>0</v>
      </c>
      <c r="F549" s="27">
        <v>0</v>
      </c>
      <c r="G549" s="27">
        <f t="shared" si="37"/>
        <v>0</v>
      </c>
      <c r="H549" s="28">
        <f t="shared" si="38"/>
        <v>0</v>
      </c>
      <c r="I549" s="28">
        <f t="shared" si="39"/>
        <v>0</v>
      </c>
      <c r="J549" s="28">
        <f t="shared" si="40"/>
        <v>0</v>
      </c>
      <c r="K549" s="29"/>
    </row>
    <row r="550" spans="1:11" ht="31.2">
      <c r="A550" s="26" t="s">
        <v>102</v>
      </c>
      <c r="B550" s="95" t="s">
        <v>574</v>
      </c>
      <c r="C550" s="108" t="s">
        <v>313</v>
      </c>
      <c r="D550" s="111">
        <v>1</v>
      </c>
      <c r="E550" s="27">
        <v>0</v>
      </c>
      <c r="F550" s="27">
        <v>0</v>
      </c>
      <c r="G550" s="27">
        <f t="shared" si="37"/>
        <v>0</v>
      </c>
      <c r="H550" s="28">
        <f t="shared" si="38"/>
        <v>0</v>
      </c>
      <c r="I550" s="28">
        <f t="shared" si="39"/>
        <v>0</v>
      </c>
      <c r="J550" s="28">
        <f t="shared" si="40"/>
        <v>0</v>
      </c>
      <c r="K550" s="29"/>
    </row>
    <row r="551" spans="1:11" ht="31.2">
      <c r="A551" s="26" t="s">
        <v>103</v>
      </c>
      <c r="B551" s="95" t="s">
        <v>584</v>
      </c>
      <c r="C551" s="108" t="s">
        <v>313</v>
      </c>
      <c r="D551" s="111">
        <v>2</v>
      </c>
      <c r="E551" s="27">
        <v>0</v>
      </c>
      <c r="F551" s="27">
        <v>0</v>
      </c>
      <c r="G551" s="27">
        <f t="shared" si="37"/>
        <v>0</v>
      </c>
      <c r="H551" s="28">
        <f t="shared" si="38"/>
        <v>0</v>
      </c>
      <c r="I551" s="28">
        <f t="shared" si="39"/>
        <v>0</v>
      </c>
      <c r="J551" s="28">
        <f t="shared" si="40"/>
        <v>0</v>
      </c>
      <c r="K551" s="29"/>
    </row>
    <row r="552" spans="1:11" ht="31.2">
      <c r="A552" s="26" t="s">
        <v>104</v>
      </c>
      <c r="B552" s="95" t="s">
        <v>575</v>
      </c>
      <c r="C552" s="108" t="s">
        <v>313</v>
      </c>
      <c r="D552" s="111">
        <v>1</v>
      </c>
      <c r="E552" s="27">
        <v>0</v>
      </c>
      <c r="F552" s="27">
        <v>0</v>
      </c>
      <c r="G552" s="27">
        <f t="shared" si="37"/>
        <v>0</v>
      </c>
      <c r="H552" s="28">
        <f t="shared" si="38"/>
        <v>0</v>
      </c>
      <c r="I552" s="28">
        <f t="shared" si="39"/>
        <v>0</v>
      </c>
      <c r="J552" s="28">
        <f t="shared" si="40"/>
        <v>0</v>
      </c>
      <c r="K552" s="29"/>
    </row>
    <row r="553" spans="1:11" ht="31.2">
      <c r="A553" s="26" t="s">
        <v>105</v>
      </c>
      <c r="B553" s="95" t="s">
        <v>585</v>
      </c>
      <c r="C553" s="108" t="s">
        <v>313</v>
      </c>
      <c r="D553" s="111">
        <v>2</v>
      </c>
      <c r="E553" s="27">
        <v>0</v>
      </c>
      <c r="F553" s="27">
        <v>0</v>
      </c>
      <c r="G553" s="27">
        <f t="shared" si="37"/>
        <v>0</v>
      </c>
      <c r="H553" s="28">
        <f t="shared" si="38"/>
        <v>0</v>
      </c>
      <c r="I553" s="28">
        <f t="shared" si="39"/>
        <v>0</v>
      </c>
      <c r="J553" s="28">
        <f t="shared" si="40"/>
        <v>0</v>
      </c>
      <c r="K553" s="29"/>
    </row>
    <row r="554" spans="1:11" ht="31.2">
      <c r="A554" s="26" t="s">
        <v>106</v>
      </c>
      <c r="B554" s="95" t="s">
        <v>807</v>
      </c>
      <c r="C554" s="108" t="s">
        <v>313</v>
      </c>
      <c r="D554" s="111">
        <v>1</v>
      </c>
      <c r="E554" s="27">
        <v>0</v>
      </c>
      <c r="F554" s="27">
        <v>0</v>
      </c>
      <c r="G554" s="27">
        <f t="shared" si="37"/>
        <v>0</v>
      </c>
      <c r="H554" s="28">
        <f t="shared" si="38"/>
        <v>0</v>
      </c>
      <c r="I554" s="28">
        <f t="shared" si="39"/>
        <v>0</v>
      </c>
      <c r="J554" s="28">
        <f t="shared" si="40"/>
        <v>0</v>
      </c>
      <c r="K554" s="29"/>
    </row>
    <row r="555" spans="1:11" ht="31.2">
      <c r="A555" s="26" t="s">
        <v>107</v>
      </c>
      <c r="B555" s="95" t="s">
        <v>586</v>
      </c>
      <c r="C555" s="108" t="s">
        <v>313</v>
      </c>
      <c r="D555" s="111">
        <v>2</v>
      </c>
      <c r="E555" s="27">
        <v>0</v>
      </c>
      <c r="F555" s="27">
        <v>0</v>
      </c>
      <c r="G555" s="27">
        <f t="shared" si="37"/>
        <v>0</v>
      </c>
      <c r="H555" s="28">
        <f t="shared" si="38"/>
        <v>0</v>
      </c>
      <c r="I555" s="28">
        <f t="shared" si="39"/>
        <v>0</v>
      </c>
      <c r="J555" s="28">
        <f t="shared" si="40"/>
        <v>0</v>
      </c>
      <c r="K555" s="29"/>
    </row>
    <row r="556" spans="1:11" ht="46.8">
      <c r="A556" s="26" t="s">
        <v>108</v>
      </c>
      <c r="B556" s="95" t="s">
        <v>569</v>
      </c>
      <c r="C556" s="108" t="s">
        <v>313</v>
      </c>
      <c r="D556" s="111">
        <v>3</v>
      </c>
      <c r="E556" s="27">
        <v>0</v>
      </c>
      <c r="F556" s="27">
        <v>0</v>
      </c>
      <c r="G556" s="27">
        <f t="shared" si="37"/>
        <v>0</v>
      </c>
      <c r="H556" s="28">
        <f t="shared" si="38"/>
        <v>0</v>
      </c>
      <c r="I556" s="28">
        <f t="shared" si="39"/>
        <v>0</v>
      </c>
      <c r="J556" s="28">
        <f t="shared" si="40"/>
        <v>0</v>
      </c>
      <c r="K556" s="29"/>
    </row>
    <row r="557" spans="1:11">
      <c r="A557" s="26" t="s">
        <v>109</v>
      </c>
      <c r="B557" s="95" t="s">
        <v>577</v>
      </c>
      <c r="C557" s="108" t="s">
        <v>313</v>
      </c>
      <c r="D557" s="111">
        <v>1</v>
      </c>
      <c r="E557" s="27">
        <v>0</v>
      </c>
      <c r="F557" s="27">
        <v>0</v>
      </c>
      <c r="G557" s="27">
        <f t="shared" si="37"/>
        <v>0</v>
      </c>
      <c r="H557" s="28">
        <f t="shared" si="38"/>
        <v>0</v>
      </c>
      <c r="I557" s="28">
        <f t="shared" si="39"/>
        <v>0</v>
      </c>
      <c r="J557" s="28">
        <f t="shared" si="40"/>
        <v>0</v>
      </c>
      <c r="K557" s="29"/>
    </row>
    <row r="558" spans="1:11">
      <c r="A558" s="26" t="s">
        <v>110</v>
      </c>
      <c r="B558" s="95" t="s">
        <v>578</v>
      </c>
      <c r="C558" s="108" t="s">
        <v>313</v>
      </c>
      <c r="D558" s="111">
        <v>1</v>
      </c>
      <c r="E558" s="27">
        <v>0</v>
      </c>
      <c r="F558" s="27">
        <v>0</v>
      </c>
      <c r="G558" s="27">
        <f t="shared" si="37"/>
        <v>0</v>
      </c>
      <c r="H558" s="28">
        <f t="shared" si="38"/>
        <v>0</v>
      </c>
      <c r="I558" s="28">
        <f t="shared" si="39"/>
        <v>0</v>
      </c>
      <c r="J558" s="28">
        <f t="shared" si="40"/>
        <v>0</v>
      </c>
      <c r="K558" s="29"/>
    </row>
    <row r="559" spans="1:11" ht="31.2">
      <c r="A559" s="26" t="s">
        <v>111</v>
      </c>
      <c r="B559" s="95" t="s">
        <v>587</v>
      </c>
      <c r="C559" s="108" t="s">
        <v>313</v>
      </c>
      <c r="D559" s="111">
        <v>1</v>
      </c>
      <c r="E559" s="27">
        <v>0</v>
      </c>
      <c r="F559" s="27">
        <v>0</v>
      </c>
      <c r="G559" s="27">
        <f t="shared" si="37"/>
        <v>0</v>
      </c>
      <c r="H559" s="28">
        <f t="shared" si="38"/>
        <v>0</v>
      </c>
      <c r="I559" s="28">
        <f t="shared" si="39"/>
        <v>0</v>
      </c>
      <c r="J559" s="28">
        <f t="shared" si="40"/>
        <v>0</v>
      </c>
      <c r="K559" s="29"/>
    </row>
    <row r="560" spans="1:11" ht="31.2">
      <c r="A560" s="26" t="s">
        <v>112</v>
      </c>
      <c r="B560" s="95" t="s">
        <v>573</v>
      </c>
      <c r="C560" s="108" t="s">
        <v>313</v>
      </c>
      <c r="D560" s="111">
        <v>2</v>
      </c>
      <c r="E560" s="27">
        <v>0</v>
      </c>
      <c r="F560" s="27">
        <v>0</v>
      </c>
      <c r="G560" s="27">
        <f t="shared" si="37"/>
        <v>0</v>
      </c>
      <c r="H560" s="28">
        <f t="shared" si="38"/>
        <v>0</v>
      </c>
      <c r="I560" s="28">
        <f t="shared" si="39"/>
        <v>0</v>
      </c>
      <c r="J560" s="28">
        <f t="shared" si="40"/>
        <v>0</v>
      </c>
      <c r="K560" s="29"/>
    </row>
    <row r="561" spans="1:11">
      <c r="A561" s="26" t="s">
        <v>113</v>
      </c>
      <c r="B561" s="95" t="s">
        <v>565</v>
      </c>
      <c r="C561" s="108" t="s">
        <v>313</v>
      </c>
      <c r="D561" s="111">
        <v>2</v>
      </c>
      <c r="E561" s="27">
        <v>0</v>
      </c>
      <c r="F561" s="27">
        <v>0</v>
      </c>
      <c r="G561" s="27">
        <f t="shared" si="37"/>
        <v>0</v>
      </c>
      <c r="H561" s="28">
        <f t="shared" si="38"/>
        <v>0</v>
      </c>
      <c r="I561" s="28">
        <f t="shared" si="39"/>
        <v>0</v>
      </c>
      <c r="J561" s="28">
        <f t="shared" si="40"/>
        <v>0</v>
      </c>
      <c r="K561" s="29"/>
    </row>
    <row r="562" spans="1:11" ht="31.2">
      <c r="A562" s="26" t="s">
        <v>114</v>
      </c>
      <c r="B562" s="95" t="s">
        <v>574</v>
      </c>
      <c r="C562" s="108" t="s">
        <v>313</v>
      </c>
      <c r="D562" s="111">
        <v>2</v>
      </c>
      <c r="E562" s="27">
        <v>0</v>
      </c>
      <c r="F562" s="27">
        <v>0</v>
      </c>
      <c r="G562" s="27">
        <f t="shared" si="37"/>
        <v>0</v>
      </c>
      <c r="H562" s="28">
        <f t="shared" si="38"/>
        <v>0</v>
      </c>
      <c r="I562" s="28">
        <f t="shared" si="39"/>
        <v>0</v>
      </c>
      <c r="J562" s="28">
        <f t="shared" si="40"/>
        <v>0</v>
      </c>
      <c r="K562" s="29"/>
    </row>
    <row r="563" spans="1:11" ht="31.2">
      <c r="A563" s="26" t="s">
        <v>115</v>
      </c>
      <c r="B563" s="95" t="s">
        <v>566</v>
      </c>
      <c r="C563" s="108" t="s">
        <v>313</v>
      </c>
      <c r="D563" s="111">
        <v>1</v>
      </c>
      <c r="E563" s="27">
        <v>0</v>
      </c>
      <c r="F563" s="27">
        <v>0</v>
      </c>
      <c r="G563" s="27">
        <f t="shared" si="37"/>
        <v>0</v>
      </c>
      <c r="H563" s="28">
        <f t="shared" si="38"/>
        <v>0</v>
      </c>
      <c r="I563" s="28">
        <f t="shared" si="39"/>
        <v>0</v>
      </c>
      <c r="J563" s="28">
        <f t="shared" si="40"/>
        <v>0</v>
      </c>
      <c r="K563" s="29"/>
    </row>
    <row r="564" spans="1:11" ht="31.2">
      <c r="A564" s="26" t="s">
        <v>116</v>
      </c>
      <c r="B564" s="95" t="s">
        <v>575</v>
      </c>
      <c r="C564" s="108" t="s">
        <v>313</v>
      </c>
      <c r="D564" s="111">
        <v>2</v>
      </c>
      <c r="E564" s="27">
        <v>0</v>
      </c>
      <c r="F564" s="27">
        <v>0</v>
      </c>
      <c r="G564" s="27">
        <f t="shared" si="37"/>
        <v>0</v>
      </c>
      <c r="H564" s="28">
        <f t="shared" si="38"/>
        <v>0</v>
      </c>
      <c r="I564" s="28">
        <f t="shared" si="39"/>
        <v>0</v>
      </c>
      <c r="J564" s="28">
        <f t="shared" si="40"/>
        <v>0</v>
      </c>
      <c r="K564" s="73"/>
    </row>
    <row r="565" spans="1:11" ht="31.2">
      <c r="A565" s="26" t="s">
        <v>117</v>
      </c>
      <c r="B565" s="95" t="s">
        <v>567</v>
      </c>
      <c r="C565" s="108" t="s">
        <v>313</v>
      </c>
      <c r="D565" s="111">
        <v>1</v>
      </c>
      <c r="E565" s="27">
        <v>0</v>
      </c>
      <c r="F565" s="27">
        <v>0</v>
      </c>
      <c r="G565" s="27">
        <f t="shared" si="37"/>
        <v>0</v>
      </c>
      <c r="H565" s="28">
        <f t="shared" si="38"/>
        <v>0</v>
      </c>
      <c r="I565" s="28">
        <f t="shared" si="39"/>
        <v>0</v>
      </c>
      <c r="J565" s="28">
        <f t="shared" si="40"/>
        <v>0</v>
      </c>
      <c r="K565" s="73"/>
    </row>
    <row r="566" spans="1:11" ht="31.2">
      <c r="A566" s="26" t="s">
        <v>118</v>
      </c>
      <c r="B566" s="95" t="s">
        <v>576</v>
      </c>
      <c r="C566" s="108" t="s">
        <v>313</v>
      </c>
      <c r="D566" s="111">
        <v>2</v>
      </c>
      <c r="E566" s="27">
        <v>0</v>
      </c>
      <c r="F566" s="27">
        <v>0</v>
      </c>
      <c r="G566" s="27">
        <f t="shared" si="37"/>
        <v>0</v>
      </c>
      <c r="H566" s="28">
        <f t="shared" si="38"/>
        <v>0</v>
      </c>
      <c r="I566" s="28">
        <f t="shared" si="39"/>
        <v>0</v>
      </c>
      <c r="J566" s="28">
        <f t="shared" si="40"/>
        <v>0</v>
      </c>
      <c r="K566" s="73"/>
    </row>
    <row r="567" spans="1:11" ht="31.2">
      <c r="A567" s="26" t="s">
        <v>119</v>
      </c>
      <c r="B567" s="95" t="s">
        <v>568</v>
      </c>
      <c r="C567" s="108" t="s">
        <v>313</v>
      </c>
      <c r="D567" s="111">
        <v>1</v>
      </c>
      <c r="E567" s="27">
        <v>0</v>
      </c>
      <c r="F567" s="27">
        <v>0</v>
      </c>
      <c r="G567" s="27">
        <f t="shared" si="37"/>
        <v>0</v>
      </c>
      <c r="H567" s="28">
        <f t="shared" si="38"/>
        <v>0</v>
      </c>
      <c r="I567" s="28">
        <f t="shared" si="39"/>
        <v>0</v>
      </c>
      <c r="J567" s="28">
        <f t="shared" si="40"/>
        <v>0</v>
      </c>
      <c r="K567" s="73"/>
    </row>
    <row r="568" spans="1:11" ht="46.8">
      <c r="A568" s="26" t="s">
        <v>120</v>
      </c>
      <c r="B568" s="95" t="s">
        <v>569</v>
      </c>
      <c r="C568" s="108" t="s">
        <v>313</v>
      </c>
      <c r="D568" s="111">
        <v>3</v>
      </c>
      <c r="E568" s="27">
        <v>0</v>
      </c>
      <c r="F568" s="27">
        <v>0</v>
      </c>
      <c r="G568" s="27">
        <f t="shared" si="37"/>
        <v>0</v>
      </c>
      <c r="H568" s="28">
        <f t="shared" si="38"/>
        <v>0</v>
      </c>
      <c r="I568" s="28">
        <f t="shared" si="39"/>
        <v>0</v>
      </c>
      <c r="J568" s="28">
        <f t="shared" si="40"/>
        <v>0</v>
      </c>
      <c r="K568" s="73"/>
    </row>
    <row r="569" spans="1:11">
      <c r="A569" s="26" t="s">
        <v>121</v>
      </c>
      <c r="B569" s="95" t="s">
        <v>577</v>
      </c>
      <c r="C569" s="108" t="s">
        <v>313</v>
      </c>
      <c r="D569" s="111">
        <v>1</v>
      </c>
      <c r="E569" s="27">
        <v>0</v>
      </c>
      <c r="F569" s="27">
        <v>0</v>
      </c>
      <c r="G569" s="27">
        <f t="shared" si="37"/>
        <v>0</v>
      </c>
      <c r="H569" s="28">
        <f t="shared" si="38"/>
        <v>0</v>
      </c>
      <c r="I569" s="28">
        <f t="shared" si="39"/>
        <v>0</v>
      </c>
      <c r="J569" s="28">
        <f t="shared" si="40"/>
        <v>0</v>
      </c>
      <c r="K569" s="73"/>
    </row>
    <row r="570" spans="1:11">
      <c r="A570" s="26" t="s">
        <v>122</v>
      </c>
      <c r="B570" s="95" t="s">
        <v>578</v>
      </c>
      <c r="C570" s="108" t="s">
        <v>313</v>
      </c>
      <c r="D570" s="111">
        <v>1</v>
      </c>
      <c r="E570" s="27">
        <v>0</v>
      </c>
      <c r="F570" s="27">
        <v>0</v>
      </c>
      <c r="G570" s="27">
        <f t="shared" si="37"/>
        <v>0</v>
      </c>
      <c r="H570" s="28">
        <f t="shared" si="38"/>
        <v>0</v>
      </c>
      <c r="I570" s="28">
        <f t="shared" si="39"/>
        <v>0</v>
      </c>
      <c r="J570" s="28">
        <f t="shared" si="40"/>
        <v>0</v>
      </c>
      <c r="K570" s="73"/>
    </row>
    <row r="571" spans="1:11" ht="31.2">
      <c r="A571" s="26" t="s">
        <v>123</v>
      </c>
      <c r="B571" s="95" t="s">
        <v>572</v>
      </c>
      <c r="C571" s="108" t="s">
        <v>313</v>
      </c>
      <c r="D571" s="111">
        <v>1</v>
      </c>
      <c r="E571" s="27">
        <v>0</v>
      </c>
      <c r="F571" s="27">
        <v>0</v>
      </c>
      <c r="G571" s="27">
        <f t="shared" si="37"/>
        <v>0</v>
      </c>
      <c r="H571" s="28">
        <f t="shared" si="38"/>
        <v>0</v>
      </c>
      <c r="I571" s="28">
        <f t="shared" si="39"/>
        <v>0</v>
      </c>
      <c r="J571" s="28">
        <f t="shared" si="40"/>
        <v>0</v>
      </c>
      <c r="K571" s="73"/>
    </row>
    <row r="572" spans="1:11" ht="31.2">
      <c r="A572" s="26" t="s">
        <v>124</v>
      </c>
      <c r="B572" s="95" t="s">
        <v>573</v>
      </c>
      <c r="C572" s="108" t="s">
        <v>313</v>
      </c>
      <c r="D572" s="111">
        <v>2</v>
      </c>
      <c r="E572" s="27">
        <v>0</v>
      </c>
      <c r="F572" s="27">
        <v>0</v>
      </c>
      <c r="G572" s="27">
        <f t="shared" si="37"/>
        <v>0</v>
      </c>
      <c r="H572" s="28">
        <f t="shared" si="38"/>
        <v>0</v>
      </c>
      <c r="I572" s="28">
        <f t="shared" si="39"/>
        <v>0</v>
      </c>
      <c r="J572" s="28">
        <f t="shared" si="40"/>
        <v>0</v>
      </c>
      <c r="K572" s="73"/>
    </row>
    <row r="573" spans="1:11">
      <c r="A573" s="26" t="s">
        <v>125</v>
      </c>
      <c r="B573" s="95" t="s">
        <v>565</v>
      </c>
      <c r="C573" s="108" t="s">
        <v>313</v>
      </c>
      <c r="D573" s="111">
        <v>4</v>
      </c>
      <c r="E573" s="27">
        <v>0</v>
      </c>
      <c r="F573" s="27">
        <v>0</v>
      </c>
      <c r="G573" s="27">
        <f t="shared" si="37"/>
        <v>0</v>
      </c>
      <c r="H573" s="28">
        <f t="shared" si="38"/>
        <v>0</v>
      </c>
      <c r="I573" s="28">
        <f t="shared" si="39"/>
        <v>0</v>
      </c>
      <c r="J573" s="28">
        <f t="shared" si="40"/>
        <v>0</v>
      </c>
      <c r="K573" s="73"/>
    </row>
    <row r="574" spans="1:11" ht="31.2">
      <c r="A574" s="26" t="s">
        <v>126</v>
      </c>
      <c r="B574" s="95" t="s">
        <v>574</v>
      </c>
      <c r="C574" s="108" t="s">
        <v>313</v>
      </c>
      <c r="D574" s="111">
        <v>4</v>
      </c>
      <c r="E574" s="27">
        <v>0</v>
      </c>
      <c r="F574" s="27">
        <v>0</v>
      </c>
      <c r="G574" s="27">
        <f t="shared" si="37"/>
        <v>0</v>
      </c>
      <c r="H574" s="28">
        <f t="shared" si="38"/>
        <v>0</v>
      </c>
      <c r="I574" s="28">
        <f t="shared" si="39"/>
        <v>0</v>
      </c>
      <c r="J574" s="28">
        <f t="shared" si="40"/>
        <v>0</v>
      </c>
      <c r="K574" s="73"/>
    </row>
    <row r="575" spans="1:11" ht="31.2">
      <c r="A575" s="26" t="s">
        <v>127</v>
      </c>
      <c r="B575" s="95" t="s">
        <v>566</v>
      </c>
      <c r="C575" s="108" t="s">
        <v>313</v>
      </c>
      <c r="D575" s="111">
        <v>2</v>
      </c>
      <c r="E575" s="27">
        <v>0</v>
      </c>
      <c r="F575" s="27">
        <v>0</v>
      </c>
      <c r="G575" s="27">
        <f t="shared" si="37"/>
        <v>0</v>
      </c>
      <c r="H575" s="28">
        <f t="shared" si="38"/>
        <v>0</v>
      </c>
      <c r="I575" s="28">
        <f t="shared" si="39"/>
        <v>0</v>
      </c>
      <c r="J575" s="28">
        <f t="shared" si="40"/>
        <v>0</v>
      </c>
      <c r="K575" s="29"/>
    </row>
    <row r="576" spans="1:11" ht="31.2">
      <c r="A576" s="26" t="s">
        <v>128</v>
      </c>
      <c r="B576" s="95" t="s">
        <v>575</v>
      </c>
      <c r="C576" s="108" t="s">
        <v>313</v>
      </c>
      <c r="D576" s="111">
        <v>4</v>
      </c>
      <c r="E576" s="27">
        <v>0</v>
      </c>
      <c r="F576" s="27">
        <v>0</v>
      </c>
      <c r="G576" s="27">
        <f t="shared" si="37"/>
        <v>0</v>
      </c>
      <c r="H576" s="28">
        <f t="shared" si="38"/>
        <v>0</v>
      </c>
      <c r="I576" s="28">
        <f t="shared" si="39"/>
        <v>0</v>
      </c>
      <c r="J576" s="28">
        <f t="shared" si="40"/>
        <v>0</v>
      </c>
      <c r="K576" s="29"/>
    </row>
    <row r="577" spans="1:11" ht="31.2">
      <c r="A577" s="26" t="s">
        <v>129</v>
      </c>
      <c r="B577" s="95" t="s">
        <v>567</v>
      </c>
      <c r="C577" s="108" t="s">
        <v>313</v>
      </c>
      <c r="D577" s="111">
        <v>2</v>
      </c>
      <c r="E577" s="27">
        <v>0</v>
      </c>
      <c r="F577" s="27">
        <v>0</v>
      </c>
      <c r="G577" s="27">
        <f t="shared" si="37"/>
        <v>0</v>
      </c>
      <c r="H577" s="28">
        <f t="shared" si="38"/>
        <v>0</v>
      </c>
      <c r="I577" s="28">
        <f t="shared" si="39"/>
        <v>0</v>
      </c>
      <c r="J577" s="28">
        <f t="shared" si="40"/>
        <v>0</v>
      </c>
      <c r="K577" s="29"/>
    </row>
    <row r="578" spans="1:11" ht="31.2">
      <c r="A578" s="26" t="s">
        <v>130</v>
      </c>
      <c r="B578" s="95" t="s">
        <v>576</v>
      </c>
      <c r="C578" s="108" t="s">
        <v>313</v>
      </c>
      <c r="D578" s="111">
        <v>4</v>
      </c>
      <c r="E578" s="27">
        <v>0</v>
      </c>
      <c r="F578" s="27">
        <v>0</v>
      </c>
      <c r="G578" s="27">
        <f t="shared" si="37"/>
        <v>0</v>
      </c>
      <c r="H578" s="28">
        <f t="shared" si="38"/>
        <v>0</v>
      </c>
      <c r="I578" s="28">
        <f t="shared" si="39"/>
        <v>0</v>
      </c>
      <c r="J578" s="28">
        <f t="shared" si="40"/>
        <v>0</v>
      </c>
      <c r="K578" s="29"/>
    </row>
    <row r="579" spans="1:11" ht="31.2">
      <c r="A579" s="26" t="s">
        <v>131</v>
      </c>
      <c r="B579" s="95" t="s">
        <v>568</v>
      </c>
      <c r="C579" s="108" t="s">
        <v>313</v>
      </c>
      <c r="D579" s="111">
        <v>2</v>
      </c>
      <c r="E579" s="27">
        <v>0</v>
      </c>
      <c r="F579" s="27">
        <v>0</v>
      </c>
      <c r="G579" s="27">
        <f t="shared" ref="G579:G630" si="41">E579+F579</f>
        <v>0</v>
      </c>
      <c r="H579" s="28">
        <f t="shared" ref="H579:H630" si="42">D579*E579</f>
        <v>0</v>
      </c>
      <c r="I579" s="28">
        <f t="shared" ref="I579:I630" si="43">D579*F579</f>
        <v>0</v>
      </c>
      <c r="J579" s="28">
        <f t="shared" ref="J579:J630" si="44">H579+I579</f>
        <v>0</v>
      </c>
      <c r="K579" s="29"/>
    </row>
    <row r="580" spans="1:11" ht="46.8">
      <c r="A580" s="26" t="s">
        <v>132</v>
      </c>
      <c r="B580" s="95" t="s">
        <v>569</v>
      </c>
      <c r="C580" s="108" t="s">
        <v>313</v>
      </c>
      <c r="D580" s="111">
        <v>6</v>
      </c>
      <c r="E580" s="27">
        <v>0</v>
      </c>
      <c r="F580" s="27">
        <v>0</v>
      </c>
      <c r="G580" s="27">
        <f t="shared" si="41"/>
        <v>0</v>
      </c>
      <c r="H580" s="28">
        <f t="shared" si="42"/>
        <v>0</v>
      </c>
      <c r="I580" s="28">
        <f t="shared" si="43"/>
        <v>0</v>
      </c>
      <c r="J580" s="28">
        <f t="shared" si="44"/>
        <v>0</v>
      </c>
      <c r="K580" s="29"/>
    </row>
    <row r="581" spans="1:11">
      <c r="A581" s="26" t="s">
        <v>133</v>
      </c>
      <c r="B581" s="95" t="s">
        <v>577</v>
      </c>
      <c r="C581" s="108" t="s">
        <v>313</v>
      </c>
      <c r="D581" s="111">
        <v>2</v>
      </c>
      <c r="E581" s="27">
        <v>0</v>
      </c>
      <c r="F581" s="27">
        <v>0</v>
      </c>
      <c r="G581" s="27">
        <f t="shared" si="41"/>
        <v>0</v>
      </c>
      <c r="H581" s="28">
        <f t="shared" si="42"/>
        <v>0</v>
      </c>
      <c r="I581" s="28">
        <f t="shared" si="43"/>
        <v>0</v>
      </c>
      <c r="J581" s="28">
        <f t="shared" si="44"/>
        <v>0</v>
      </c>
      <c r="K581" s="29"/>
    </row>
    <row r="582" spans="1:11">
      <c r="A582" s="26" t="s">
        <v>134</v>
      </c>
      <c r="B582" s="95" t="s">
        <v>578</v>
      </c>
      <c r="C582" s="108" t="s">
        <v>313</v>
      </c>
      <c r="D582" s="111">
        <v>2</v>
      </c>
      <c r="E582" s="27">
        <v>0</v>
      </c>
      <c r="F582" s="27">
        <v>0</v>
      </c>
      <c r="G582" s="27">
        <f t="shared" si="41"/>
        <v>0</v>
      </c>
      <c r="H582" s="28">
        <f t="shared" si="42"/>
        <v>0</v>
      </c>
      <c r="I582" s="28">
        <f t="shared" si="43"/>
        <v>0</v>
      </c>
      <c r="J582" s="28">
        <f t="shared" si="44"/>
        <v>0</v>
      </c>
      <c r="K582" s="29"/>
    </row>
    <row r="583" spans="1:11" ht="31.2">
      <c r="A583" s="26" t="s">
        <v>135</v>
      </c>
      <c r="B583" s="95" t="s">
        <v>572</v>
      </c>
      <c r="C583" s="108" t="s">
        <v>313</v>
      </c>
      <c r="D583" s="111">
        <v>2</v>
      </c>
      <c r="E583" s="27">
        <v>0</v>
      </c>
      <c r="F583" s="27">
        <v>0</v>
      </c>
      <c r="G583" s="27">
        <f t="shared" si="41"/>
        <v>0</v>
      </c>
      <c r="H583" s="28">
        <f t="shared" si="42"/>
        <v>0</v>
      </c>
      <c r="I583" s="28">
        <f t="shared" si="43"/>
        <v>0</v>
      </c>
      <c r="J583" s="28">
        <f t="shared" si="44"/>
        <v>0</v>
      </c>
      <c r="K583" s="29"/>
    </row>
    <row r="584" spans="1:11" ht="31.2">
      <c r="A584" s="26" t="s">
        <v>136</v>
      </c>
      <c r="B584" s="95" t="s">
        <v>573</v>
      </c>
      <c r="C584" s="108" t="s">
        <v>313</v>
      </c>
      <c r="D584" s="111">
        <v>4</v>
      </c>
      <c r="E584" s="27">
        <v>0</v>
      </c>
      <c r="F584" s="27">
        <v>0</v>
      </c>
      <c r="G584" s="27">
        <f t="shared" si="41"/>
        <v>0</v>
      </c>
      <c r="H584" s="28">
        <f t="shared" si="42"/>
        <v>0</v>
      </c>
      <c r="I584" s="28">
        <f t="shared" si="43"/>
        <v>0</v>
      </c>
      <c r="J584" s="28">
        <f t="shared" si="44"/>
        <v>0</v>
      </c>
      <c r="K584" s="29"/>
    </row>
    <row r="585" spans="1:11">
      <c r="A585" s="26" t="s">
        <v>137</v>
      </c>
      <c r="B585" s="95" t="s">
        <v>565</v>
      </c>
      <c r="C585" s="108" t="s">
        <v>313</v>
      </c>
      <c r="D585" s="111">
        <v>18</v>
      </c>
      <c r="E585" s="27">
        <v>0</v>
      </c>
      <c r="F585" s="27">
        <v>0</v>
      </c>
      <c r="G585" s="27">
        <f t="shared" si="41"/>
        <v>0</v>
      </c>
      <c r="H585" s="28">
        <f t="shared" si="42"/>
        <v>0</v>
      </c>
      <c r="I585" s="28">
        <f t="shared" si="43"/>
        <v>0</v>
      </c>
      <c r="J585" s="28">
        <f t="shared" si="44"/>
        <v>0</v>
      </c>
      <c r="K585" s="29"/>
    </row>
    <row r="586" spans="1:11">
      <c r="A586" s="26" t="s">
        <v>138</v>
      </c>
      <c r="B586" s="95" t="s">
        <v>554</v>
      </c>
      <c r="C586" s="108" t="s">
        <v>313</v>
      </c>
      <c r="D586" s="111">
        <v>9</v>
      </c>
      <c r="E586" s="27">
        <v>0</v>
      </c>
      <c r="F586" s="27">
        <v>0</v>
      </c>
      <c r="G586" s="27">
        <f t="shared" si="41"/>
        <v>0</v>
      </c>
      <c r="H586" s="28">
        <f t="shared" si="42"/>
        <v>0</v>
      </c>
      <c r="I586" s="28">
        <f t="shared" si="43"/>
        <v>0</v>
      </c>
      <c r="J586" s="28">
        <f t="shared" si="44"/>
        <v>0</v>
      </c>
      <c r="K586" s="29"/>
    </row>
    <row r="587" spans="1:11" ht="31.2">
      <c r="A587" s="26" t="s">
        <v>139</v>
      </c>
      <c r="B587" s="95" t="s">
        <v>574</v>
      </c>
      <c r="C587" s="108" t="s">
        <v>313</v>
      </c>
      <c r="D587" s="111">
        <v>27</v>
      </c>
      <c r="E587" s="27">
        <v>0</v>
      </c>
      <c r="F587" s="27">
        <v>0</v>
      </c>
      <c r="G587" s="27">
        <f t="shared" si="41"/>
        <v>0</v>
      </c>
      <c r="H587" s="28">
        <f t="shared" si="42"/>
        <v>0</v>
      </c>
      <c r="I587" s="28">
        <f t="shared" si="43"/>
        <v>0</v>
      </c>
      <c r="J587" s="28">
        <f t="shared" si="44"/>
        <v>0</v>
      </c>
      <c r="K587" s="29"/>
    </row>
    <row r="588" spans="1:11" ht="31.2">
      <c r="A588" s="26" t="s">
        <v>140</v>
      </c>
      <c r="B588" s="95" t="s">
        <v>566</v>
      </c>
      <c r="C588" s="108" t="s">
        <v>313</v>
      </c>
      <c r="D588" s="111">
        <v>9</v>
      </c>
      <c r="E588" s="27">
        <v>0</v>
      </c>
      <c r="F588" s="27">
        <v>0</v>
      </c>
      <c r="G588" s="27">
        <f t="shared" si="41"/>
        <v>0</v>
      </c>
      <c r="H588" s="28">
        <f t="shared" si="42"/>
        <v>0</v>
      </c>
      <c r="I588" s="28">
        <f t="shared" si="43"/>
        <v>0</v>
      </c>
      <c r="J588" s="28">
        <f t="shared" si="44"/>
        <v>0</v>
      </c>
      <c r="K588" s="29"/>
    </row>
    <row r="589" spans="1:11" ht="31.2">
      <c r="A589" s="26" t="s">
        <v>141</v>
      </c>
      <c r="B589" s="95" t="s">
        <v>575</v>
      </c>
      <c r="C589" s="108" t="s">
        <v>313</v>
      </c>
      <c r="D589" s="111">
        <v>27</v>
      </c>
      <c r="E589" s="27">
        <v>0</v>
      </c>
      <c r="F589" s="27">
        <v>0</v>
      </c>
      <c r="G589" s="27">
        <f t="shared" si="41"/>
        <v>0</v>
      </c>
      <c r="H589" s="28">
        <f t="shared" si="42"/>
        <v>0</v>
      </c>
      <c r="I589" s="28">
        <f t="shared" si="43"/>
        <v>0</v>
      </c>
      <c r="J589" s="28">
        <f t="shared" si="44"/>
        <v>0</v>
      </c>
      <c r="K589" s="29"/>
    </row>
    <row r="590" spans="1:11" ht="31.2">
      <c r="A590" s="26" t="s">
        <v>142</v>
      </c>
      <c r="B590" s="95" t="s">
        <v>567</v>
      </c>
      <c r="C590" s="108" t="s">
        <v>313</v>
      </c>
      <c r="D590" s="111">
        <v>9</v>
      </c>
      <c r="E590" s="27">
        <v>0</v>
      </c>
      <c r="F590" s="27">
        <v>0</v>
      </c>
      <c r="G590" s="27">
        <f t="shared" si="41"/>
        <v>0</v>
      </c>
      <c r="H590" s="28">
        <f t="shared" si="42"/>
        <v>0</v>
      </c>
      <c r="I590" s="28">
        <f t="shared" si="43"/>
        <v>0</v>
      </c>
      <c r="J590" s="28">
        <f t="shared" si="44"/>
        <v>0</v>
      </c>
      <c r="K590" s="29"/>
    </row>
    <row r="591" spans="1:11" ht="31.2">
      <c r="A591" s="26" t="s">
        <v>143</v>
      </c>
      <c r="B591" s="95" t="s">
        <v>576</v>
      </c>
      <c r="C591" s="108" t="s">
        <v>313</v>
      </c>
      <c r="D591" s="111">
        <v>27</v>
      </c>
      <c r="E591" s="27">
        <v>0</v>
      </c>
      <c r="F591" s="27">
        <v>0</v>
      </c>
      <c r="G591" s="27">
        <f t="shared" si="41"/>
        <v>0</v>
      </c>
      <c r="H591" s="28">
        <f t="shared" si="42"/>
        <v>0</v>
      </c>
      <c r="I591" s="28">
        <f t="shared" si="43"/>
        <v>0</v>
      </c>
      <c r="J591" s="28">
        <f t="shared" si="44"/>
        <v>0</v>
      </c>
      <c r="K591" s="29"/>
    </row>
    <row r="592" spans="1:11" ht="31.2">
      <c r="A592" s="26" t="s">
        <v>144</v>
      </c>
      <c r="B592" s="95" t="s">
        <v>568</v>
      </c>
      <c r="C592" s="108" t="s">
        <v>313</v>
      </c>
      <c r="D592" s="111">
        <v>9</v>
      </c>
      <c r="E592" s="27">
        <v>0</v>
      </c>
      <c r="F592" s="27">
        <v>0</v>
      </c>
      <c r="G592" s="27">
        <f t="shared" si="41"/>
        <v>0</v>
      </c>
      <c r="H592" s="28">
        <f t="shared" si="42"/>
        <v>0</v>
      </c>
      <c r="I592" s="28">
        <f t="shared" si="43"/>
        <v>0</v>
      </c>
      <c r="J592" s="28">
        <f t="shared" si="44"/>
        <v>0</v>
      </c>
      <c r="K592" s="29"/>
    </row>
    <row r="593" spans="1:11" ht="46.8">
      <c r="A593" s="26" t="s">
        <v>145</v>
      </c>
      <c r="B593" s="95" t="s">
        <v>809</v>
      </c>
      <c r="C593" s="108" t="s">
        <v>313</v>
      </c>
      <c r="D593" s="111">
        <v>36</v>
      </c>
      <c r="E593" s="27">
        <v>0</v>
      </c>
      <c r="F593" s="27">
        <v>0</v>
      </c>
      <c r="G593" s="27">
        <f t="shared" si="41"/>
        <v>0</v>
      </c>
      <c r="H593" s="28">
        <f t="shared" si="42"/>
        <v>0</v>
      </c>
      <c r="I593" s="28">
        <f t="shared" si="43"/>
        <v>0</v>
      </c>
      <c r="J593" s="28">
        <f t="shared" si="44"/>
        <v>0</v>
      </c>
      <c r="K593" s="29"/>
    </row>
    <row r="594" spans="1:11">
      <c r="A594" s="26" t="s">
        <v>146</v>
      </c>
      <c r="B594" s="95" t="s">
        <v>588</v>
      </c>
      <c r="C594" s="108" t="s">
        <v>313</v>
      </c>
      <c r="D594" s="111">
        <v>9</v>
      </c>
      <c r="E594" s="27">
        <v>0</v>
      </c>
      <c r="F594" s="27">
        <v>0</v>
      </c>
      <c r="G594" s="27">
        <f t="shared" si="41"/>
        <v>0</v>
      </c>
      <c r="H594" s="28">
        <f t="shared" si="42"/>
        <v>0</v>
      </c>
      <c r="I594" s="28">
        <f t="shared" si="43"/>
        <v>0</v>
      </c>
      <c r="J594" s="28">
        <f t="shared" si="44"/>
        <v>0</v>
      </c>
      <c r="K594" s="29"/>
    </row>
    <row r="595" spans="1:11">
      <c r="A595" s="26" t="s">
        <v>147</v>
      </c>
      <c r="B595" s="95" t="s">
        <v>589</v>
      </c>
      <c r="C595" s="108" t="s">
        <v>313</v>
      </c>
      <c r="D595" s="111">
        <v>9</v>
      </c>
      <c r="E595" s="27">
        <v>0</v>
      </c>
      <c r="F595" s="27">
        <v>0</v>
      </c>
      <c r="G595" s="27">
        <f t="shared" si="41"/>
        <v>0</v>
      </c>
      <c r="H595" s="28">
        <f t="shared" si="42"/>
        <v>0</v>
      </c>
      <c r="I595" s="28">
        <f t="shared" si="43"/>
        <v>0</v>
      </c>
      <c r="J595" s="28">
        <f t="shared" si="44"/>
        <v>0</v>
      </c>
      <c r="K595" s="29"/>
    </row>
    <row r="596" spans="1:11" ht="31.2">
      <c r="A596" s="26" t="s">
        <v>148</v>
      </c>
      <c r="B596" s="95" t="s">
        <v>572</v>
      </c>
      <c r="C596" s="108" t="s">
        <v>313</v>
      </c>
      <c r="D596" s="111">
        <v>9</v>
      </c>
      <c r="E596" s="27">
        <v>0</v>
      </c>
      <c r="F596" s="27">
        <v>0</v>
      </c>
      <c r="G596" s="27">
        <f t="shared" si="41"/>
        <v>0</v>
      </c>
      <c r="H596" s="28">
        <f t="shared" si="42"/>
        <v>0</v>
      </c>
      <c r="I596" s="28">
        <f t="shared" si="43"/>
        <v>0</v>
      </c>
      <c r="J596" s="28">
        <f t="shared" si="44"/>
        <v>0</v>
      </c>
      <c r="K596" s="29"/>
    </row>
    <row r="597" spans="1:11" ht="31.2">
      <c r="A597" s="26" t="s">
        <v>149</v>
      </c>
      <c r="B597" s="95" t="s">
        <v>573</v>
      </c>
      <c r="C597" s="108" t="s">
        <v>313</v>
      </c>
      <c r="D597" s="111">
        <v>18</v>
      </c>
      <c r="E597" s="27">
        <v>0</v>
      </c>
      <c r="F597" s="27">
        <v>0</v>
      </c>
      <c r="G597" s="27">
        <f t="shared" si="41"/>
        <v>0</v>
      </c>
      <c r="H597" s="28">
        <f t="shared" si="42"/>
        <v>0</v>
      </c>
      <c r="I597" s="28">
        <f t="shared" si="43"/>
        <v>0</v>
      </c>
      <c r="J597" s="28">
        <f t="shared" si="44"/>
        <v>0</v>
      </c>
      <c r="K597" s="29"/>
    </row>
    <row r="598" spans="1:11">
      <c r="A598" s="26" t="s">
        <v>150</v>
      </c>
      <c r="B598" s="95" t="s">
        <v>565</v>
      </c>
      <c r="C598" s="108" t="s">
        <v>313</v>
      </c>
      <c r="D598" s="111">
        <v>14</v>
      </c>
      <c r="E598" s="27">
        <v>0</v>
      </c>
      <c r="F598" s="27">
        <v>0</v>
      </c>
      <c r="G598" s="27">
        <f t="shared" si="41"/>
        <v>0</v>
      </c>
      <c r="H598" s="28">
        <f t="shared" si="42"/>
        <v>0</v>
      </c>
      <c r="I598" s="28">
        <f t="shared" si="43"/>
        <v>0</v>
      </c>
      <c r="J598" s="28">
        <f t="shared" si="44"/>
        <v>0</v>
      </c>
      <c r="K598" s="29"/>
    </row>
    <row r="599" spans="1:11">
      <c r="A599" s="26" t="s">
        <v>151</v>
      </c>
      <c r="B599" s="95" t="s">
        <v>554</v>
      </c>
      <c r="C599" s="108" t="s">
        <v>313</v>
      </c>
      <c r="D599" s="111">
        <v>7</v>
      </c>
      <c r="E599" s="27">
        <v>0</v>
      </c>
      <c r="F599" s="27">
        <v>0</v>
      </c>
      <c r="G599" s="27">
        <f t="shared" si="41"/>
        <v>0</v>
      </c>
      <c r="H599" s="28">
        <f t="shared" si="42"/>
        <v>0</v>
      </c>
      <c r="I599" s="28">
        <f t="shared" si="43"/>
        <v>0</v>
      </c>
      <c r="J599" s="28">
        <f t="shared" si="44"/>
        <v>0</v>
      </c>
      <c r="K599" s="29"/>
    </row>
    <row r="600" spans="1:11" ht="31.2">
      <c r="A600" s="26" t="s">
        <v>152</v>
      </c>
      <c r="B600" s="95" t="s">
        <v>810</v>
      </c>
      <c r="C600" s="108" t="s">
        <v>313</v>
      </c>
      <c r="D600" s="111">
        <v>21</v>
      </c>
      <c r="E600" s="27">
        <v>0</v>
      </c>
      <c r="F600" s="27">
        <v>0</v>
      </c>
      <c r="G600" s="27">
        <f t="shared" si="41"/>
        <v>0</v>
      </c>
      <c r="H600" s="28">
        <f t="shared" si="42"/>
        <v>0</v>
      </c>
      <c r="I600" s="28">
        <f t="shared" si="43"/>
        <v>0</v>
      </c>
      <c r="J600" s="28">
        <f t="shared" si="44"/>
        <v>0</v>
      </c>
      <c r="K600" s="29"/>
    </row>
    <row r="601" spans="1:11" ht="31.2">
      <c r="A601" s="26" t="s">
        <v>153</v>
      </c>
      <c r="B601" s="95" t="s">
        <v>811</v>
      </c>
      <c r="C601" s="108" t="s">
        <v>313</v>
      </c>
      <c r="D601" s="111">
        <v>7</v>
      </c>
      <c r="E601" s="27">
        <v>0</v>
      </c>
      <c r="F601" s="27">
        <v>0</v>
      </c>
      <c r="G601" s="27">
        <f t="shared" si="41"/>
        <v>0</v>
      </c>
      <c r="H601" s="28">
        <f t="shared" si="42"/>
        <v>0</v>
      </c>
      <c r="I601" s="28">
        <f t="shared" si="43"/>
        <v>0</v>
      </c>
      <c r="J601" s="28">
        <f t="shared" si="44"/>
        <v>0</v>
      </c>
      <c r="K601" s="29"/>
    </row>
    <row r="602" spans="1:11" ht="31.2">
      <c r="A602" s="26" t="s">
        <v>154</v>
      </c>
      <c r="B602" s="95" t="s">
        <v>575</v>
      </c>
      <c r="C602" s="108" t="s">
        <v>313</v>
      </c>
      <c r="D602" s="111">
        <v>21</v>
      </c>
      <c r="E602" s="27">
        <v>0</v>
      </c>
      <c r="F602" s="27">
        <v>0</v>
      </c>
      <c r="G602" s="27">
        <f t="shared" si="41"/>
        <v>0</v>
      </c>
      <c r="H602" s="28">
        <f t="shared" si="42"/>
        <v>0</v>
      </c>
      <c r="I602" s="28">
        <f t="shared" si="43"/>
        <v>0</v>
      </c>
      <c r="J602" s="28">
        <f t="shared" si="44"/>
        <v>0</v>
      </c>
      <c r="K602" s="29"/>
    </row>
    <row r="603" spans="1:11" ht="31.2">
      <c r="A603" s="26" t="s">
        <v>155</v>
      </c>
      <c r="B603" s="95" t="s">
        <v>567</v>
      </c>
      <c r="C603" s="108" t="s">
        <v>313</v>
      </c>
      <c r="D603" s="111">
        <v>7</v>
      </c>
      <c r="E603" s="27">
        <v>0</v>
      </c>
      <c r="F603" s="27">
        <v>0</v>
      </c>
      <c r="G603" s="27">
        <f t="shared" si="41"/>
        <v>0</v>
      </c>
      <c r="H603" s="28">
        <f t="shared" si="42"/>
        <v>0</v>
      </c>
      <c r="I603" s="28">
        <f t="shared" si="43"/>
        <v>0</v>
      </c>
      <c r="J603" s="28">
        <f t="shared" si="44"/>
        <v>0</v>
      </c>
      <c r="K603" s="29"/>
    </row>
    <row r="604" spans="1:11" ht="31.2">
      <c r="A604" s="26" t="s">
        <v>156</v>
      </c>
      <c r="B604" s="95" t="s">
        <v>576</v>
      </c>
      <c r="C604" s="108" t="s">
        <v>313</v>
      </c>
      <c r="D604" s="111">
        <v>21</v>
      </c>
      <c r="E604" s="27">
        <v>0</v>
      </c>
      <c r="F604" s="27">
        <v>0</v>
      </c>
      <c r="G604" s="27">
        <f t="shared" si="41"/>
        <v>0</v>
      </c>
      <c r="H604" s="28">
        <f t="shared" si="42"/>
        <v>0</v>
      </c>
      <c r="I604" s="28">
        <f t="shared" si="43"/>
        <v>0</v>
      </c>
      <c r="J604" s="28">
        <f t="shared" si="44"/>
        <v>0</v>
      </c>
      <c r="K604" s="29"/>
    </row>
    <row r="605" spans="1:11" ht="31.2">
      <c r="A605" s="26" t="s">
        <v>157</v>
      </c>
      <c r="B605" s="95" t="s">
        <v>568</v>
      </c>
      <c r="C605" s="108" t="s">
        <v>313</v>
      </c>
      <c r="D605" s="111">
        <v>7</v>
      </c>
      <c r="E605" s="27">
        <v>0</v>
      </c>
      <c r="F605" s="27">
        <v>0</v>
      </c>
      <c r="G605" s="27">
        <f t="shared" si="41"/>
        <v>0</v>
      </c>
      <c r="H605" s="28">
        <f t="shared" si="42"/>
        <v>0</v>
      </c>
      <c r="I605" s="28">
        <f t="shared" si="43"/>
        <v>0</v>
      </c>
      <c r="J605" s="28">
        <f t="shared" si="44"/>
        <v>0</v>
      </c>
      <c r="K605" s="29"/>
    </row>
    <row r="606" spans="1:11" ht="46.8">
      <c r="A606" s="26" t="s">
        <v>158</v>
      </c>
      <c r="B606" s="95" t="s">
        <v>569</v>
      </c>
      <c r="C606" s="108" t="s">
        <v>313</v>
      </c>
      <c r="D606" s="111">
        <v>28</v>
      </c>
      <c r="E606" s="27">
        <v>0</v>
      </c>
      <c r="F606" s="27">
        <v>0</v>
      </c>
      <c r="G606" s="27">
        <f t="shared" si="41"/>
        <v>0</v>
      </c>
      <c r="H606" s="28">
        <f t="shared" si="42"/>
        <v>0</v>
      </c>
      <c r="I606" s="28">
        <f t="shared" si="43"/>
        <v>0</v>
      </c>
      <c r="J606" s="28">
        <f t="shared" si="44"/>
        <v>0</v>
      </c>
      <c r="K606" s="29"/>
    </row>
    <row r="607" spans="1:11">
      <c r="A607" s="26" t="s">
        <v>159</v>
      </c>
      <c r="B607" s="95" t="s">
        <v>588</v>
      </c>
      <c r="C607" s="108" t="s">
        <v>313</v>
      </c>
      <c r="D607" s="111">
        <v>7</v>
      </c>
      <c r="E607" s="27">
        <v>0</v>
      </c>
      <c r="F607" s="27">
        <v>0</v>
      </c>
      <c r="G607" s="27">
        <f t="shared" si="41"/>
        <v>0</v>
      </c>
      <c r="H607" s="28">
        <f t="shared" si="42"/>
        <v>0</v>
      </c>
      <c r="I607" s="28">
        <f t="shared" si="43"/>
        <v>0</v>
      </c>
      <c r="J607" s="28">
        <f t="shared" si="44"/>
        <v>0</v>
      </c>
      <c r="K607" s="29"/>
    </row>
    <row r="608" spans="1:11">
      <c r="A608" s="26" t="s">
        <v>160</v>
      </c>
      <c r="B608" s="95" t="s">
        <v>589</v>
      </c>
      <c r="C608" s="108" t="s">
        <v>313</v>
      </c>
      <c r="D608" s="111">
        <v>7</v>
      </c>
      <c r="E608" s="27">
        <v>0</v>
      </c>
      <c r="F608" s="27">
        <v>0</v>
      </c>
      <c r="G608" s="27">
        <f t="shared" si="41"/>
        <v>0</v>
      </c>
      <c r="H608" s="28">
        <f t="shared" si="42"/>
        <v>0</v>
      </c>
      <c r="I608" s="28">
        <f t="shared" si="43"/>
        <v>0</v>
      </c>
      <c r="J608" s="28">
        <f t="shared" si="44"/>
        <v>0</v>
      </c>
      <c r="K608" s="29"/>
    </row>
    <row r="609" spans="1:11" ht="31.2">
      <c r="A609" s="26" t="s">
        <v>161</v>
      </c>
      <c r="B609" s="95" t="s">
        <v>572</v>
      </c>
      <c r="C609" s="108" t="s">
        <v>313</v>
      </c>
      <c r="D609" s="111">
        <v>7</v>
      </c>
      <c r="E609" s="27">
        <v>0</v>
      </c>
      <c r="F609" s="27">
        <v>0</v>
      </c>
      <c r="G609" s="27">
        <f t="shared" si="41"/>
        <v>0</v>
      </c>
      <c r="H609" s="28">
        <f t="shared" si="42"/>
        <v>0</v>
      </c>
      <c r="I609" s="28">
        <f t="shared" si="43"/>
        <v>0</v>
      </c>
      <c r="J609" s="28">
        <f t="shared" si="44"/>
        <v>0</v>
      </c>
      <c r="K609" s="29"/>
    </row>
    <row r="610" spans="1:11" ht="31.2">
      <c r="A610" s="26" t="s">
        <v>162</v>
      </c>
      <c r="B610" s="95" t="s">
        <v>573</v>
      </c>
      <c r="C610" s="108" t="s">
        <v>313</v>
      </c>
      <c r="D610" s="111">
        <v>14</v>
      </c>
      <c r="E610" s="27">
        <v>0</v>
      </c>
      <c r="F610" s="27">
        <v>0</v>
      </c>
      <c r="G610" s="27">
        <f t="shared" si="41"/>
        <v>0</v>
      </c>
      <c r="H610" s="28">
        <f t="shared" si="42"/>
        <v>0</v>
      </c>
      <c r="I610" s="28">
        <f t="shared" si="43"/>
        <v>0</v>
      </c>
      <c r="J610" s="28">
        <f t="shared" si="44"/>
        <v>0</v>
      </c>
      <c r="K610" s="29"/>
    </row>
    <row r="611" spans="1:11">
      <c r="A611" s="26" t="s">
        <v>163</v>
      </c>
      <c r="B611" s="95" t="s">
        <v>565</v>
      </c>
      <c r="C611" s="108" t="s">
        <v>313</v>
      </c>
      <c r="D611" s="111">
        <v>8</v>
      </c>
      <c r="E611" s="27">
        <v>0</v>
      </c>
      <c r="F611" s="27">
        <v>0</v>
      </c>
      <c r="G611" s="27">
        <f t="shared" si="41"/>
        <v>0</v>
      </c>
      <c r="H611" s="28">
        <f t="shared" si="42"/>
        <v>0</v>
      </c>
      <c r="I611" s="28">
        <f t="shared" si="43"/>
        <v>0</v>
      </c>
      <c r="J611" s="28">
        <f t="shared" si="44"/>
        <v>0</v>
      </c>
      <c r="K611" s="29"/>
    </row>
    <row r="612" spans="1:11" ht="31.2">
      <c r="A612" s="26" t="s">
        <v>164</v>
      </c>
      <c r="B612" s="95" t="s">
        <v>574</v>
      </c>
      <c r="C612" s="108" t="s">
        <v>313</v>
      </c>
      <c r="D612" s="111">
        <v>16</v>
      </c>
      <c r="E612" s="27">
        <v>0</v>
      </c>
      <c r="F612" s="27">
        <v>0</v>
      </c>
      <c r="G612" s="27">
        <f t="shared" si="41"/>
        <v>0</v>
      </c>
      <c r="H612" s="28">
        <f t="shared" si="42"/>
        <v>0</v>
      </c>
      <c r="I612" s="28">
        <f t="shared" si="43"/>
        <v>0</v>
      </c>
      <c r="J612" s="28">
        <f t="shared" si="44"/>
        <v>0</v>
      </c>
      <c r="K612" s="29"/>
    </row>
    <row r="613" spans="1:11" ht="31.2">
      <c r="A613" s="26" t="s">
        <v>176</v>
      </c>
      <c r="B613" s="95" t="s">
        <v>575</v>
      </c>
      <c r="C613" s="108" t="s">
        <v>313</v>
      </c>
      <c r="D613" s="111">
        <v>16</v>
      </c>
      <c r="E613" s="27">
        <v>0</v>
      </c>
      <c r="F613" s="27">
        <v>0</v>
      </c>
      <c r="G613" s="27">
        <f t="shared" si="41"/>
        <v>0</v>
      </c>
      <c r="H613" s="28">
        <f t="shared" si="42"/>
        <v>0</v>
      </c>
      <c r="I613" s="28">
        <f t="shared" si="43"/>
        <v>0</v>
      </c>
      <c r="J613" s="28">
        <f t="shared" si="44"/>
        <v>0</v>
      </c>
      <c r="K613" s="29"/>
    </row>
    <row r="614" spans="1:11" ht="31.2">
      <c r="A614" s="26" t="s">
        <v>177</v>
      </c>
      <c r="B614" s="95" t="s">
        <v>576</v>
      </c>
      <c r="C614" s="108" t="s">
        <v>313</v>
      </c>
      <c r="D614" s="111">
        <v>16</v>
      </c>
      <c r="E614" s="27">
        <v>0</v>
      </c>
      <c r="F614" s="27">
        <v>0</v>
      </c>
      <c r="G614" s="27">
        <f t="shared" si="41"/>
        <v>0</v>
      </c>
      <c r="H614" s="28">
        <f t="shared" si="42"/>
        <v>0</v>
      </c>
      <c r="I614" s="28">
        <f t="shared" si="43"/>
        <v>0</v>
      </c>
      <c r="J614" s="28">
        <f t="shared" si="44"/>
        <v>0</v>
      </c>
      <c r="K614" s="29"/>
    </row>
    <row r="615" spans="1:11" ht="46.8">
      <c r="A615" s="26" t="s">
        <v>178</v>
      </c>
      <c r="B615" s="95" t="s">
        <v>569</v>
      </c>
      <c r="C615" s="108" t="s">
        <v>313</v>
      </c>
      <c r="D615" s="111">
        <v>16</v>
      </c>
      <c r="E615" s="27">
        <v>0</v>
      </c>
      <c r="F615" s="27">
        <v>0</v>
      </c>
      <c r="G615" s="27">
        <f t="shared" si="41"/>
        <v>0</v>
      </c>
      <c r="H615" s="28">
        <f t="shared" si="42"/>
        <v>0</v>
      </c>
      <c r="I615" s="28">
        <f t="shared" si="43"/>
        <v>0</v>
      </c>
      <c r="J615" s="28">
        <f t="shared" si="44"/>
        <v>0</v>
      </c>
      <c r="K615" s="29"/>
    </row>
    <row r="616" spans="1:11">
      <c r="A616" s="26" t="s">
        <v>179</v>
      </c>
      <c r="B616" s="95" t="s">
        <v>588</v>
      </c>
      <c r="C616" s="108" t="s">
        <v>313</v>
      </c>
      <c r="D616" s="111">
        <v>4</v>
      </c>
      <c r="E616" s="27">
        <v>0</v>
      </c>
      <c r="F616" s="27">
        <v>0</v>
      </c>
      <c r="G616" s="27">
        <f t="shared" si="41"/>
        <v>0</v>
      </c>
      <c r="H616" s="28">
        <f t="shared" si="42"/>
        <v>0</v>
      </c>
      <c r="I616" s="28">
        <f t="shared" si="43"/>
        <v>0</v>
      </c>
      <c r="J616" s="28">
        <f t="shared" si="44"/>
        <v>0</v>
      </c>
      <c r="K616" s="29"/>
    </row>
    <row r="617" spans="1:11">
      <c r="A617" s="26" t="s">
        <v>180</v>
      </c>
      <c r="B617" s="95" t="s">
        <v>589</v>
      </c>
      <c r="C617" s="108" t="s">
        <v>313</v>
      </c>
      <c r="D617" s="111">
        <v>4</v>
      </c>
      <c r="E617" s="27">
        <v>0</v>
      </c>
      <c r="F617" s="27">
        <v>0</v>
      </c>
      <c r="G617" s="27">
        <f t="shared" si="41"/>
        <v>0</v>
      </c>
      <c r="H617" s="28">
        <f t="shared" si="42"/>
        <v>0</v>
      </c>
      <c r="I617" s="28">
        <f t="shared" si="43"/>
        <v>0</v>
      </c>
      <c r="J617" s="28">
        <f t="shared" si="44"/>
        <v>0</v>
      </c>
      <c r="K617" s="29"/>
    </row>
    <row r="618" spans="1:11" ht="31.2">
      <c r="A618" s="26" t="s">
        <v>181</v>
      </c>
      <c r="B618" s="95" t="s">
        <v>572</v>
      </c>
      <c r="C618" s="108" t="s">
        <v>313</v>
      </c>
      <c r="D618" s="111">
        <v>4</v>
      </c>
      <c r="E618" s="27">
        <v>0</v>
      </c>
      <c r="F618" s="27">
        <v>0</v>
      </c>
      <c r="G618" s="27">
        <f t="shared" si="41"/>
        <v>0</v>
      </c>
      <c r="H618" s="28">
        <f t="shared" si="42"/>
        <v>0</v>
      </c>
      <c r="I618" s="28">
        <f t="shared" si="43"/>
        <v>0</v>
      </c>
      <c r="J618" s="28">
        <f t="shared" si="44"/>
        <v>0</v>
      </c>
      <c r="K618" s="29"/>
    </row>
    <row r="619" spans="1:11" ht="31.2">
      <c r="A619" s="26" t="s">
        <v>182</v>
      </c>
      <c r="B619" s="95" t="s">
        <v>573</v>
      </c>
      <c r="C619" s="108" t="s">
        <v>313</v>
      </c>
      <c r="D619" s="111">
        <v>8</v>
      </c>
      <c r="E619" s="27">
        <v>0</v>
      </c>
      <c r="F619" s="27">
        <v>0</v>
      </c>
      <c r="G619" s="27">
        <f t="shared" si="41"/>
        <v>0</v>
      </c>
      <c r="H619" s="28">
        <f t="shared" si="42"/>
        <v>0</v>
      </c>
      <c r="I619" s="28">
        <f t="shared" si="43"/>
        <v>0</v>
      </c>
      <c r="J619" s="28">
        <f t="shared" si="44"/>
        <v>0</v>
      </c>
      <c r="K619" s="29"/>
    </row>
    <row r="620" spans="1:11">
      <c r="A620" s="26" t="s">
        <v>183</v>
      </c>
      <c r="B620" s="95" t="s">
        <v>565</v>
      </c>
      <c r="C620" s="108" t="s">
        <v>313</v>
      </c>
      <c r="D620" s="111">
        <v>14</v>
      </c>
      <c r="E620" s="27">
        <v>0</v>
      </c>
      <c r="F620" s="27">
        <v>0</v>
      </c>
      <c r="G620" s="27">
        <f t="shared" si="41"/>
        <v>0</v>
      </c>
      <c r="H620" s="28">
        <f t="shared" si="42"/>
        <v>0</v>
      </c>
      <c r="I620" s="28">
        <f t="shared" si="43"/>
        <v>0</v>
      </c>
      <c r="J620" s="28">
        <f t="shared" si="44"/>
        <v>0</v>
      </c>
      <c r="K620" s="73"/>
    </row>
    <row r="621" spans="1:11" ht="31.2">
      <c r="A621" s="26" t="s">
        <v>184</v>
      </c>
      <c r="B621" s="95" t="s">
        <v>574</v>
      </c>
      <c r="C621" s="108" t="s">
        <v>313</v>
      </c>
      <c r="D621" s="111">
        <v>21</v>
      </c>
      <c r="E621" s="27">
        <v>0</v>
      </c>
      <c r="F621" s="27">
        <v>0</v>
      </c>
      <c r="G621" s="27">
        <f t="shared" si="41"/>
        <v>0</v>
      </c>
      <c r="H621" s="28">
        <f t="shared" si="42"/>
        <v>0</v>
      </c>
      <c r="I621" s="28">
        <f t="shared" si="43"/>
        <v>0</v>
      </c>
      <c r="J621" s="28">
        <f t="shared" si="44"/>
        <v>0</v>
      </c>
      <c r="K621" s="73"/>
    </row>
    <row r="622" spans="1:11" ht="31.2">
      <c r="A622" s="26" t="s">
        <v>185</v>
      </c>
      <c r="B622" s="95" t="s">
        <v>566</v>
      </c>
      <c r="C622" s="108" t="s">
        <v>313</v>
      </c>
      <c r="D622" s="111">
        <v>7</v>
      </c>
      <c r="E622" s="27">
        <v>0</v>
      </c>
      <c r="F622" s="27">
        <v>0</v>
      </c>
      <c r="G622" s="27">
        <f t="shared" si="41"/>
        <v>0</v>
      </c>
      <c r="H622" s="28">
        <f t="shared" si="42"/>
        <v>0</v>
      </c>
      <c r="I622" s="28">
        <f t="shared" si="43"/>
        <v>0</v>
      </c>
      <c r="J622" s="28">
        <f t="shared" si="44"/>
        <v>0</v>
      </c>
      <c r="K622" s="73"/>
    </row>
    <row r="623" spans="1:11" ht="31.2">
      <c r="A623" s="26" t="s">
        <v>186</v>
      </c>
      <c r="B623" s="95" t="s">
        <v>575</v>
      </c>
      <c r="C623" s="108" t="s">
        <v>313</v>
      </c>
      <c r="D623" s="111">
        <v>21</v>
      </c>
      <c r="E623" s="27">
        <v>0</v>
      </c>
      <c r="F623" s="27">
        <v>0</v>
      </c>
      <c r="G623" s="27">
        <f t="shared" si="41"/>
        <v>0</v>
      </c>
      <c r="H623" s="28">
        <f t="shared" si="42"/>
        <v>0</v>
      </c>
      <c r="I623" s="28">
        <f t="shared" si="43"/>
        <v>0</v>
      </c>
      <c r="J623" s="28">
        <f t="shared" si="44"/>
        <v>0</v>
      </c>
      <c r="K623" s="73"/>
    </row>
    <row r="624" spans="1:11" ht="31.2">
      <c r="A624" s="26" t="s">
        <v>187</v>
      </c>
      <c r="B624" s="95" t="s">
        <v>812</v>
      </c>
      <c r="C624" s="108" t="s">
        <v>313</v>
      </c>
      <c r="D624" s="111">
        <v>7</v>
      </c>
      <c r="E624" s="27">
        <v>0</v>
      </c>
      <c r="F624" s="27">
        <v>0</v>
      </c>
      <c r="G624" s="27">
        <f t="shared" si="41"/>
        <v>0</v>
      </c>
      <c r="H624" s="28">
        <f t="shared" si="42"/>
        <v>0</v>
      </c>
      <c r="I624" s="28">
        <f t="shared" si="43"/>
        <v>0</v>
      </c>
      <c r="J624" s="28">
        <f t="shared" si="44"/>
        <v>0</v>
      </c>
      <c r="K624" s="73"/>
    </row>
    <row r="625" spans="1:11" ht="31.2">
      <c r="A625" s="26" t="s">
        <v>188</v>
      </c>
      <c r="B625" s="95" t="s">
        <v>813</v>
      </c>
      <c r="C625" s="108" t="s">
        <v>313</v>
      </c>
      <c r="D625" s="111">
        <v>21</v>
      </c>
      <c r="E625" s="27">
        <v>0</v>
      </c>
      <c r="F625" s="27">
        <v>0</v>
      </c>
      <c r="G625" s="27">
        <f t="shared" si="41"/>
        <v>0</v>
      </c>
      <c r="H625" s="28">
        <f t="shared" si="42"/>
        <v>0</v>
      </c>
      <c r="I625" s="28">
        <f t="shared" si="43"/>
        <v>0</v>
      </c>
      <c r="J625" s="28">
        <f t="shared" si="44"/>
        <v>0</v>
      </c>
      <c r="K625" s="73"/>
    </row>
    <row r="626" spans="1:11" ht="31.2">
      <c r="A626" s="26" t="s">
        <v>189</v>
      </c>
      <c r="B626" s="95" t="s">
        <v>568</v>
      </c>
      <c r="C626" s="108" t="s">
        <v>313</v>
      </c>
      <c r="D626" s="111">
        <v>7</v>
      </c>
      <c r="E626" s="27">
        <v>0</v>
      </c>
      <c r="F626" s="27">
        <v>0</v>
      </c>
      <c r="G626" s="27">
        <f t="shared" si="41"/>
        <v>0</v>
      </c>
      <c r="H626" s="28">
        <f t="shared" si="42"/>
        <v>0</v>
      </c>
      <c r="I626" s="28">
        <f t="shared" si="43"/>
        <v>0</v>
      </c>
      <c r="J626" s="28">
        <f t="shared" si="44"/>
        <v>0</v>
      </c>
      <c r="K626" s="29"/>
    </row>
    <row r="627" spans="1:11" ht="46.8">
      <c r="A627" s="26" t="s">
        <v>190</v>
      </c>
      <c r="B627" s="95" t="s">
        <v>569</v>
      </c>
      <c r="C627" s="108" t="s">
        <v>313</v>
      </c>
      <c r="D627" s="111">
        <v>28</v>
      </c>
      <c r="E627" s="27">
        <v>0</v>
      </c>
      <c r="F627" s="27">
        <v>0</v>
      </c>
      <c r="G627" s="27">
        <f t="shared" si="41"/>
        <v>0</v>
      </c>
      <c r="H627" s="28">
        <f t="shared" si="42"/>
        <v>0</v>
      </c>
      <c r="I627" s="28">
        <f t="shared" si="43"/>
        <v>0</v>
      </c>
      <c r="J627" s="28">
        <f t="shared" si="44"/>
        <v>0</v>
      </c>
      <c r="K627" s="29"/>
    </row>
    <row r="628" spans="1:11">
      <c r="A628" s="26" t="s">
        <v>191</v>
      </c>
      <c r="B628" s="95" t="s">
        <v>588</v>
      </c>
      <c r="C628" s="108" t="s">
        <v>313</v>
      </c>
      <c r="D628" s="111">
        <v>7</v>
      </c>
      <c r="E628" s="27">
        <v>0</v>
      </c>
      <c r="F628" s="27">
        <v>0</v>
      </c>
      <c r="G628" s="27">
        <f t="shared" si="41"/>
        <v>0</v>
      </c>
      <c r="H628" s="28">
        <f t="shared" si="42"/>
        <v>0</v>
      </c>
      <c r="I628" s="28">
        <f t="shared" si="43"/>
        <v>0</v>
      </c>
      <c r="J628" s="28">
        <f t="shared" si="44"/>
        <v>0</v>
      </c>
      <c r="K628" s="29"/>
    </row>
    <row r="629" spans="1:11">
      <c r="A629" s="26" t="s">
        <v>192</v>
      </c>
      <c r="B629" s="95" t="s">
        <v>589</v>
      </c>
      <c r="C629" s="108" t="s">
        <v>313</v>
      </c>
      <c r="D629" s="111">
        <v>7</v>
      </c>
      <c r="E629" s="27">
        <v>0</v>
      </c>
      <c r="F629" s="27">
        <v>0</v>
      </c>
      <c r="G629" s="27">
        <f t="shared" si="41"/>
        <v>0</v>
      </c>
      <c r="H629" s="28">
        <f t="shared" si="42"/>
        <v>0</v>
      </c>
      <c r="I629" s="28">
        <f t="shared" si="43"/>
        <v>0</v>
      </c>
      <c r="J629" s="28">
        <f t="shared" si="44"/>
        <v>0</v>
      </c>
      <c r="K629" s="29"/>
    </row>
    <row r="630" spans="1:11" ht="31.2">
      <c r="A630" s="26" t="s">
        <v>193</v>
      </c>
      <c r="B630" s="95" t="s">
        <v>572</v>
      </c>
      <c r="C630" s="108" t="s">
        <v>313</v>
      </c>
      <c r="D630" s="111">
        <v>7</v>
      </c>
      <c r="E630" s="27">
        <v>0</v>
      </c>
      <c r="F630" s="27">
        <v>0</v>
      </c>
      <c r="G630" s="27">
        <f t="shared" si="41"/>
        <v>0</v>
      </c>
      <c r="H630" s="28">
        <f t="shared" si="42"/>
        <v>0</v>
      </c>
      <c r="I630" s="28">
        <f t="shared" si="43"/>
        <v>0</v>
      </c>
      <c r="J630" s="28">
        <f t="shared" si="44"/>
        <v>0</v>
      </c>
      <c r="K630" s="29"/>
    </row>
    <row r="631" spans="1:11" ht="31.2">
      <c r="A631" s="26" t="s">
        <v>194</v>
      </c>
      <c r="B631" s="95" t="s">
        <v>573</v>
      </c>
      <c r="C631" s="108" t="s">
        <v>313</v>
      </c>
      <c r="D631" s="111">
        <v>14</v>
      </c>
      <c r="E631" s="27">
        <v>0</v>
      </c>
      <c r="F631" s="27">
        <v>0</v>
      </c>
      <c r="G631" s="27">
        <f t="shared" ref="G631:G686" si="45">E631+F631</f>
        <v>0</v>
      </c>
      <c r="H631" s="28">
        <f t="shared" ref="H631:H686" si="46">D631*E631</f>
        <v>0</v>
      </c>
      <c r="I631" s="28">
        <f t="shared" ref="I631:I686" si="47">D631*F631</f>
        <v>0</v>
      </c>
      <c r="J631" s="28">
        <f t="shared" ref="J631:J686" si="48">H631+I631</f>
        <v>0</v>
      </c>
      <c r="K631" s="29"/>
    </row>
    <row r="632" spans="1:11">
      <c r="A632" s="26" t="s">
        <v>195</v>
      </c>
      <c r="B632" s="95" t="s">
        <v>565</v>
      </c>
      <c r="C632" s="108" t="s">
        <v>313</v>
      </c>
      <c r="D632" s="111">
        <v>24</v>
      </c>
      <c r="E632" s="27">
        <v>0</v>
      </c>
      <c r="F632" s="27">
        <v>0</v>
      </c>
      <c r="G632" s="27">
        <f t="shared" si="45"/>
        <v>0</v>
      </c>
      <c r="H632" s="28">
        <f t="shared" si="46"/>
        <v>0</v>
      </c>
      <c r="I632" s="28">
        <f t="shared" si="47"/>
        <v>0</v>
      </c>
      <c r="J632" s="28">
        <f t="shared" si="48"/>
        <v>0</v>
      </c>
      <c r="K632" s="29"/>
    </row>
    <row r="633" spans="1:11" ht="31.2">
      <c r="A633" s="26" t="s">
        <v>196</v>
      </c>
      <c r="B633" s="95" t="s">
        <v>574</v>
      </c>
      <c r="C633" s="108" t="s">
        <v>313</v>
      </c>
      <c r="D633" s="111">
        <v>36</v>
      </c>
      <c r="E633" s="27">
        <v>0</v>
      </c>
      <c r="F633" s="27">
        <v>0</v>
      </c>
      <c r="G633" s="27">
        <f t="shared" si="45"/>
        <v>0</v>
      </c>
      <c r="H633" s="28">
        <f t="shared" si="46"/>
        <v>0</v>
      </c>
      <c r="I633" s="28">
        <f t="shared" si="47"/>
        <v>0</v>
      </c>
      <c r="J633" s="28">
        <f t="shared" si="48"/>
        <v>0</v>
      </c>
      <c r="K633" s="29"/>
    </row>
    <row r="634" spans="1:11" ht="31.2">
      <c r="A634" s="26" t="s">
        <v>197</v>
      </c>
      <c r="B634" s="95" t="s">
        <v>566</v>
      </c>
      <c r="C634" s="108" t="s">
        <v>313</v>
      </c>
      <c r="D634" s="111">
        <v>12</v>
      </c>
      <c r="E634" s="27">
        <v>0</v>
      </c>
      <c r="F634" s="27">
        <v>0</v>
      </c>
      <c r="G634" s="27">
        <f t="shared" si="45"/>
        <v>0</v>
      </c>
      <c r="H634" s="28">
        <f t="shared" si="46"/>
        <v>0</v>
      </c>
      <c r="I634" s="28">
        <f t="shared" si="47"/>
        <v>0</v>
      </c>
      <c r="J634" s="28">
        <f t="shared" si="48"/>
        <v>0</v>
      </c>
      <c r="K634" s="29"/>
    </row>
    <row r="635" spans="1:11" ht="31.2">
      <c r="A635" s="26" t="s">
        <v>198</v>
      </c>
      <c r="B635" s="95" t="s">
        <v>575</v>
      </c>
      <c r="C635" s="108" t="s">
        <v>313</v>
      </c>
      <c r="D635" s="111">
        <v>36</v>
      </c>
      <c r="E635" s="27">
        <v>0</v>
      </c>
      <c r="F635" s="27">
        <v>0</v>
      </c>
      <c r="G635" s="27">
        <f t="shared" si="45"/>
        <v>0</v>
      </c>
      <c r="H635" s="28">
        <f t="shared" si="46"/>
        <v>0</v>
      </c>
      <c r="I635" s="28">
        <f t="shared" si="47"/>
        <v>0</v>
      </c>
      <c r="J635" s="28">
        <f t="shared" si="48"/>
        <v>0</v>
      </c>
      <c r="K635" s="29"/>
    </row>
    <row r="636" spans="1:11" ht="31.2">
      <c r="A636" s="26" t="s">
        <v>199</v>
      </c>
      <c r="B636" s="95" t="s">
        <v>567</v>
      </c>
      <c r="C636" s="108" t="s">
        <v>313</v>
      </c>
      <c r="D636" s="111">
        <v>12</v>
      </c>
      <c r="E636" s="27">
        <v>0</v>
      </c>
      <c r="F636" s="27">
        <v>0</v>
      </c>
      <c r="G636" s="27">
        <f t="shared" si="45"/>
        <v>0</v>
      </c>
      <c r="H636" s="28">
        <f t="shared" si="46"/>
        <v>0</v>
      </c>
      <c r="I636" s="28">
        <f t="shared" si="47"/>
        <v>0</v>
      </c>
      <c r="J636" s="28">
        <f t="shared" si="48"/>
        <v>0</v>
      </c>
      <c r="K636" s="29"/>
    </row>
    <row r="637" spans="1:11" ht="31.2">
      <c r="A637" s="26" t="s">
        <v>200</v>
      </c>
      <c r="B637" s="95" t="s">
        <v>576</v>
      </c>
      <c r="C637" s="108" t="s">
        <v>313</v>
      </c>
      <c r="D637" s="111">
        <v>36</v>
      </c>
      <c r="E637" s="27">
        <v>0</v>
      </c>
      <c r="F637" s="27">
        <v>0</v>
      </c>
      <c r="G637" s="27">
        <f t="shared" si="45"/>
        <v>0</v>
      </c>
      <c r="H637" s="28">
        <f t="shared" si="46"/>
        <v>0</v>
      </c>
      <c r="I637" s="28">
        <f t="shared" si="47"/>
        <v>0</v>
      </c>
      <c r="J637" s="28">
        <f t="shared" si="48"/>
        <v>0</v>
      </c>
      <c r="K637" s="29"/>
    </row>
    <row r="638" spans="1:11" ht="31.2">
      <c r="A638" s="26" t="s">
        <v>201</v>
      </c>
      <c r="B638" s="95" t="s">
        <v>568</v>
      </c>
      <c r="C638" s="108" t="s">
        <v>313</v>
      </c>
      <c r="D638" s="111">
        <v>12</v>
      </c>
      <c r="E638" s="27">
        <v>0</v>
      </c>
      <c r="F638" s="27">
        <v>0</v>
      </c>
      <c r="G638" s="27">
        <f t="shared" si="45"/>
        <v>0</v>
      </c>
      <c r="H638" s="28">
        <f t="shared" si="46"/>
        <v>0</v>
      </c>
      <c r="I638" s="28">
        <f t="shared" si="47"/>
        <v>0</v>
      </c>
      <c r="J638" s="28">
        <f t="shared" si="48"/>
        <v>0</v>
      </c>
      <c r="K638" s="29"/>
    </row>
    <row r="639" spans="1:11" ht="46.8">
      <c r="A639" s="26" t="s">
        <v>202</v>
      </c>
      <c r="B639" s="95" t="s">
        <v>569</v>
      </c>
      <c r="C639" s="108" t="s">
        <v>313</v>
      </c>
      <c r="D639" s="111">
        <v>48</v>
      </c>
      <c r="E639" s="27">
        <v>0</v>
      </c>
      <c r="F639" s="27">
        <v>0</v>
      </c>
      <c r="G639" s="27">
        <f t="shared" si="45"/>
        <v>0</v>
      </c>
      <c r="H639" s="28">
        <f t="shared" si="46"/>
        <v>0</v>
      </c>
      <c r="I639" s="28">
        <f t="shared" si="47"/>
        <v>0</v>
      </c>
      <c r="J639" s="28">
        <f t="shared" si="48"/>
        <v>0</v>
      </c>
      <c r="K639" s="29"/>
    </row>
    <row r="640" spans="1:11">
      <c r="A640" s="26" t="s">
        <v>203</v>
      </c>
      <c r="B640" s="95" t="s">
        <v>588</v>
      </c>
      <c r="C640" s="108" t="s">
        <v>313</v>
      </c>
      <c r="D640" s="111">
        <v>12</v>
      </c>
      <c r="E640" s="27">
        <v>0</v>
      </c>
      <c r="F640" s="27">
        <v>0</v>
      </c>
      <c r="G640" s="27">
        <f t="shared" si="45"/>
        <v>0</v>
      </c>
      <c r="H640" s="28">
        <f t="shared" si="46"/>
        <v>0</v>
      </c>
      <c r="I640" s="28">
        <f t="shared" si="47"/>
        <v>0</v>
      </c>
      <c r="J640" s="28">
        <f t="shared" si="48"/>
        <v>0</v>
      </c>
      <c r="K640" s="29"/>
    </row>
    <row r="641" spans="1:11">
      <c r="A641" s="26" t="s">
        <v>204</v>
      </c>
      <c r="B641" s="95" t="s">
        <v>589</v>
      </c>
      <c r="C641" s="108" t="s">
        <v>313</v>
      </c>
      <c r="D641" s="111">
        <v>12</v>
      </c>
      <c r="E641" s="27">
        <v>0</v>
      </c>
      <c r="F641" s="27">
        <v>0</v>
      </c>
      <c r="G641" s="27">
        <f t="shared" si="45"/>
        <v>0</v>
      </c>
      <c r="H641" s="28">
        <f t="shared" si="46"/>
        <v>0</v>
      </c>
      <c r="I641" s="28">
        <f t="shared" si="47"/>
        <v>0</v>
      </c>
      <c r="J641" s="28">
        <f t="shared" si="48"/>
        <v>0</v>
      </c>
      <c r="K641" s="29"/>
    </row>
    <row r="642" spans="1:11" ht="31.2">
      <c r="A642" s="26" t="s">
        <v>205</v>
      </c>
      <c r="B642" s="95" t="s">
        <v>572</v>
      </c>
      <c r="C642" s="108" t="s">
        <v>313</v>
      </c>
      <c r="D642" s="111">
        <v>12</v>
      </c>
      <c r="E642" s="27">
        <v>0</v>
      </c>
      <c r="F642" s="27">
        <v>0</v>
      </c>
      <c r="G642" s="27">
        <f t="shared" si="45"/>
        <v>0</v>
      </c>
      <c r="H642" s="28">
        <f t="shared" si="46"/>
        <v>0</v>
      </c>
      <c r="I642" s="28">
        <f t="shared" si="47"/>
        <v>0</v>
      </c>
      <c r="J642" s="28">
        <f t="shared" si="48"/>
        <v>0</v>
      </c>
      <c r="K642" s="29"/>
    </row>
    <row r="643" spans="1:11" ht="31.2">
      <c r="A643" s="26" t="s">
        <v>909</v>
      </c>
      <c r="B643" s="95" t="s">
        <v>573</v>
      </c>
      <c r="C643" s="108" t="s">
        <v>313</v>
      </c>
      <c r="D643" s="111">
        <v>24</v>
      </c>
      <c r="E643" s="27">
        <v>0</v>
      </c>
      <c r="F643" s="27">
        <v>0</v>
      </c>
      <c r="G643" s="27">
        <f t="shared" si="45"/>
        <v>0</v>
      </c>
      <c r="H643" s="28">
        <f t="shared" si="46"/>
        <v>0</v>
      </c>
      <c r="I643" s="28">
        <f t="shared" si="47"/>
        <v>0</v>
      </c>
      <c r="J643" s="28">
        <f t="shared" si="48"/>
        <v>0</v>
      </c>
      <c r="K643" s="29"/>
    </row>
    <row r="644" spans="1:11">
      <c r="A644" s="26" t="s">
        <v>910</v>
      </c>
      <c r="B644" s="95" t="s">
        <v>582</v>
      </c>
      <c r="C644" s="108" t="s">
        <v>313</v>
      </c>
      <c r="D644" s="111">
        <v>2</v>
      </c>
      <c r="E644" s="27">
        <v>0</v>
      </c>
      <c r="F644" s="27">
        <v>0</v>
      </c>
      <c r="G644" s="27">
        <f t="shared" si="45"/>
        <v>0</v>
      </c>
      <c r="H644" s="28">
        <f t="shared" si="46"/>
        <v>0</v>
      </c>
      <c r="I644" s="28">
        <f t="shared" si="47"/>
        <v>0</v>
      </c>
      <c r="J644" s="28">
        <f t="shared" si="48"/>
        <v>0</v>
      </c>
      <c r="K644" s="29"/>
    </row>
    <row r="645" spans="1:11">
      <c r="A645" s="26" t="s">
        <v>206</v>
      </c>
      <c r="B645" s="95" t="s">
        <v>583</v>
      </c>
      <c r="C645" s="108" t="s">
        <v>313</v>
      </c>
      <c r="D645" s="111">
        <v>1</v>
      </c>
      <c r="E645" s="27">
        <v>0</v>
      </c>
      <c r="F645" s="27">
        <v>0</v>
      </c>
      <c r="G645" s="27">
        <f t="shared" si="45"/>
        <v>0</v>
      </c>
      <c r="H645" s="28">
        <f t="shared" si="46"/>
        <v>0</v>
      </c>
      <c r="I645" s="28">
        <f t="shared" si="47"/>
        <v>0</v>
      </c>
      <c r="J645" s="28">
        <f t="shared" si="48"/>
        <v>0</v>
      </c>
      <c r="K645" s="29"/>
    </row>
    <row r="646" spans="1:11" ht="31.2">
      <c r="A646" s="26" t="s">
        <v>207</v>
      </c>
      <c r="B646" s="95" t="s">
        <v>574</v>
      </c>
      <c r="C646" s="108" t="s">
        <v>313</v>
      </c>
      <c r="D646" s="111">
        <v>2</v>
      </c>
      <c r="E646" s="27">
        <v>0</v>
      </c>
      <c r="F646" s="27">
        <v>0</v>
      </c>
      <c r="G646" s="27">
        <f t="shared" si="45"/>
        <v>0</v>
      </c>
      <c r="H646" s="28">
        <f t="shared" si="46"/>
        <v>0</v>
      </c>
      <c r="I646" s="28">
        <f t="shared" si="47"/>
        <v>0</v>
      </c>
      <c r="J646" s="28">
        <f t="shared" si="48"/>
        <v>0</v>
      </c>
      <c r="K646" s="29"/>
    </row>
    <row r="647" spans="1:11" ht="31.2">
      <c r="A647" s="26" t="s">
        <v>208</v>
      </c>
      <c r="B647" s="95" t="s">
        <v>566</v>
      </c>
      <c r="C647" s="108" t="s">
        <v>313</v>
      </c>
      <c r="D647" s="111">
        <v>2</v>
      </c>
      <c r="E647" s="27">
        <v>0</v>
      </c>
      <c r="F647" s="27">
        <v>0</v>
      </c>
      <c r="G647" s="27">
        <f t="shared" si="45"/>
        <v>0</v>
      </c>
      <c r="H647" s="28">
        <f t="shared" si="46"/>
        <v>0</v>
      </c>
      <c r="I647" s="28">
        <f t="shared" si="47"/>
        <v>0</v>
      </c>
      <c r="J647" s="28">
        <f t="shared" si="48"/>
        <v>0</v>
      </c>
      <c r="K647" s="29"/>
    </row>
    <row r="648" spans="1:11" ht="31.2">
      <c r="A648" s="26" t="s">
        <v>310</v>
      </c>
      <c r="B648" s="95" t="s">
        <v>584</v>
      </c>
      <c r="C648" s="108" t="s">
        <v>313</v>
      </c>
      <c r="D648" s="111">
        <v>1</v>
      </c>
      <c r="E648" s="27">
        <v>0</v>
      </c>
      <c r="F648" s="27">
        <v>0</v>
      </c>
      <c r="G648" s="27">
        <f t="shared" si="45"/>
        <v>0</v>
      </c>
      <c r="H648" s="28">
        <f t="shared" si="46"/>
        <v>0</v>
      </c>
      <c r="I648" s="28">
        <f t="shared" si="47"/>
        <v>0</v>
      </c>
      <c r="J648" s="28">
        <f t="shared" si="48"/>
        <v>0</v>
      </c>
      <c r="K648" s="29"/>
    </row>
    <row r="649" spans="1:11" ht="31.2">
      <c r="A649" s="26" t="s">
        <v>209</v>
      </c>
      <c r="B649" s="95" t="s">
        <v>575</v>
      </c>
      <c r="C649" s="108" t="s">
        <v>313</v>
      </c>
      <c r="D649" s="111">
        <v>2</v>
      </c>
      <c r="E649" s="27">
        <v>0</v>
      </c>
      <c r="F649" s="27">
        <v>0</v>
      </c>
      <c r="G649" s="27">
        <f t="shared" si="45"/>
        <v>0</v>
      </c>
      <c r="H649" s="28">
        <f t="shared" si="46"/>
        <v>0</v>
      </c>
      <c r="I649" s="28">
        <f t="shared" si="47"/>
        <v>0</v>
      </c>
      <c r="J649" s="28">
        <f t="shared" si="48"/>
        <v>0</v>
      </c>
      <c r="K649" s="29"/>
    </row>
    <row r="650" spans="1:11" ht="31.2">
      <c r="A650" s="26" t="s">
        <v>210</v>
      </c>
      <c r="B650" s="95" t="s">
        <v>567</v>
      </c>
      <c r="C650" s="108" t="s">
        <v>313</v>
      </c>
      <c r="D650" s="111">
        <v>2</v>
      </c>
      <c r="E650" s="27">
        <v>0</v>
      </c>
      <c r="F650" s="27">
        <v>0</v>
      </c>
      <c r="G650" s="27">
        <f t="shared" si="45"/>
        <v>0</v>
      </c>
      <c r="H650" s="28">
        <f t="shared" si="46"/>
        <v>0</v>
      </c>
      <c r="I650" s="28">
        <f t="shared" si="47"/>
        <v>0</v>
      </c>
      <c r="J650" s="28">
        <f t="shared" si="48"/>
        <v>0</v>
      </c>
      <c r="K650" s="29"/>
    </row>
    <row r="651" spans="1:11" ht="31.2">
      <c r="A651" s="26" t="s">
        <v>211</v>
      </c>
      <c r="B651" s="95" t="s">
        <v>576</v>
      </c>
      <c r="C651" s="108" t="s">
        <v>313</v>
      </c>
      <c r="D651" s="111">
        <v>2</v>
      </c>
      <c r="E651" s="27">
        <v>0</v>
      </c>
      <c r="F651" s="27">
        <v>0</v>
      </c>
      <c r="G651" s="27">
        <f t="shared" si="45"/>
        <v>0</v>
      </c>
      <c r="H651" s="28">
        <f t="shared" si="46"/>
        <v>0</v>
      </c>
      <c r="I651" s="28">
        <f t="shared" si="47"/>
        <v>0</v>
      </c>
      <c r="J651" s="28">
        <f t="shared" si="48"/>
        <v>0</v>
      </c>
      <c r="K651" s="29"/>
    </row>
    <row r="652" spans="1:11" ht="31.2">
      <c r="A652" s="26" t="s">
        <v>212</v>
      </c>
      <c r="B652" s="95" t="s">
        <v>568</v>
      </c>
      <c r="C652" s="108" t="s">
        <v>313</v>
      </c>
      <c r="D652" s="111">
        <v>2</v>
      </c>
      <c r="E652" s="27">
        <v>0</v>
      </c>
      <c r="F652" s="27">
        <v>0</v>
      </c>
      <c r="G652" s="27">
        <f t="shared" si="45"/>
        <v>0</v>
      </c>
      <c r="H652" s="28">
        <f t="shared" si="46"/>
        <v>0</v>
      </c>
      <c r="I652" s="28">
        <f t="shared" si="47"/>
        <v>0</v>
      </c>
      <c r="J652" s="28">
        <f t="shared" si="48"/>
        <v>0</v>
      </c>
      <c r="K652" s="29"/>
    </row>
    <row r="653" spans="1:11" ht="31.2">
      <c r="A653" s="26" t="s">
        <v>213</v>
      </c>
      <c r="B653" s="95" t="s">
        <v>590</v>
      </c>
      <c r="C653" s="108" t="s">
        <v>313</v>
      </c>
      <c r="D653" s="111">
        <v>2</v>
      </c>
      <c r="E653" s="27">
        <v>0</v>
      </c>
      <c r="F653" s="27">
        <v>0</v>
      </c>
      <c r="G653" s="27">
        <f t="shared" si="45"/>
        <v>0</v>
      </c>
      <c r="H653" s="28">
        <f t="shared" si="46"/>
        <v>0</v>
      </c>
      <c r="I653" s="28">
        <f t="shared" si="47"/>
        <v>0</v>
      </c>
      <c r="J653" s="28">
        <f t="shared" si="48"/>
        <v>0</v>
      </c>
      <c r="K653" s="29"/>
    </row>
    <row r="654" spans="1:11" ht="46.8">
      <c r="A654" s="26" t="s">
        <v>214</v>
      </c>
      <c r="B654" s="95" t="s">
        <v>569</v>
      </c>
      <c r="C654" s="108" t="s">
        <v>313</v>
      </c>
      <c r="D654" s="111">
        <v>4</v>
      </c>
      <c r="E654" s="27">
        <v>0</v>
      </c>
      <c r="F654" s="27">
        <v>0</v>
      </c>
      <c r="G654" s="27">
        <f t="shared" si="45"/>
        <v>0</v>
      </c>
      <c r="H654" s="28">
        <f t="shared" si="46"/>
        <v>0</v>
      </c>
      <c r="I654" s="28">
        <f t="shared" si="47"/>
        <v>0</v>
      </c>
      <c r="J654" s="28">
        <f t="shared" si="48"/>
        <v>0</v>
      </c>
      <c r="K654" s="29"/>
    </row>
    <row r="655" spans="1:11">
      <c r="A655" s="26" t="s">
        <v>215</v>
      </c>
      <c r="B655" s="95" t="s">
        <v>591</v>
      </c>
      <c r="C655" s="108" t="s">
        <v>313</v>
      </c>
      <c r="D655" s="111">
        <v>1</v>
      </c>
      <c r="E655" s="27">
        <v>0</v>
      </c>
      <c r="F655" s="27">
        <v>0</v>
      </c>
      <c r="G655" s="27">
        <f t="shared" si="45"/>
        <v>0</v>
      </c>
      <c r="H655" s="28">
        <f t="shared" si="46"/>
        <v>0</v>
      </c>
      <c r="I655" s="28">
        <f t="shared" si="47"/>
        <v>0</v>
      </c>
      <c r="J655" s="28">
        <f t="shared" si="48"/>
        <v>0</v>
      </c>
      <c r="K655" s="29"/>
    </row>
    <row r="656" spans="1:11">
      <c r="A656" s="26" t="s">
        <v>216</v>
      </c>
      <c r="B656" s="95" t="s">
        <v>592</v>
      </c>
      <c r="C656" s="108" t="s">
        <v>313</v>
      </c>
      <c r="D656" s="111">
        <v>1</v>
      </c>
      <c r="E656" s="27">
        <v>0</v>
      </c>
      <c r="F656" s="27">
        <v>0</v>
      </c>
      <c r="G656" s="27">
        <f t="shared" si="45"/>
        <v>0</v>
      </c>
      <c r="H656" s="28">
        <f t="shared" si="46"/>
        <v>0</v>
      </c>
      <c r="I656" s="28">
        <f t="shared" si="47"/>
        <v>0</v>
      </c>
      <c r="J656" s="28">
        <f t="shared" si="48"/>
        <v>0</v>
      </c>
      <c r="K656" s="29"/>
    </row>
    <row r="657" spans="1:11" ht="31.2">
      <c r="A657" s="26" t="s">
        <v>217</v>
      </c>
      <c r="B657" s="95" t="s">
        <v>587</v>
      </c>
      <c r="C657" s="108" t="s">
        <v>313</v>
      </c>
      <c r="D657" s="111">
        <v>1</v>
      </c>
      <c r="E657" s="27">
        <v>0</v>
      </c>
      <c r="F657" s="27">
        <v>0</v>
      </c>
      <c r="G657" s="27">
        <f t="shared" si="45"/>
        <v>0</v>
      </c>
      <c r="H657" s="28">
        <f t="shared" si="46"/>
        <v>0</v>
      </c>
      <c r="I657" s="28">
        <f t="shared" si="47"/>
        <v>0</v>
      </c>
      <c r="J657" s="28">
        <f t="shared" si="48"/>
        <v>0</v>
      </c>
      <c r="K657" s="29"/>
    </row>
    <row r="658" spans="1:11" ht="31.2">
      <c r="A658" s="26" t="s">
        <v>218</v>
      </c>
      <c r="B658" s="95" t="s">
        <v>579</v>
      </c>
      <c r="C658" s="108" t="s">
        <v>313</v>
      </c>
      <c r="D658" s="111">
        <v>2</v>
      </c>
      <c r="E658" s="27">
        <v>0</v>
      </c>
      <c r="F658" s="27">
        <v>0</v>
      </c>
      <c r="G658" s="27">
        <f t="shared" si="45"/>
        <v>0</v>
      </c>
      <c r="H658" s="28">
        <f t="shared" si="46"/>
        <v>0</v>
      </c>
      <c r="I658" s="28">
        <f t="shared" si="47"/>
        <v>0</v>
      </c>
      <c r="J658" s="28">
        <f t="shared" si="48"/>
        <v>0</v>
      </c>
      <c r="K658" s="29"/>
    </row>
    <row r="659" spans="1:11" ht="31.2">
      <c r="A659" s="26" t="s">
        <v>911</v>
      </c>
      <c r="B659" s="95" t="s">
        <v>814</v>
      </c>
      <c r="C659" s="108" t="s">
        <v>313</v>
      </c>
      <c r="D659" s="111">
        <v>8</v>
      </c>
      <c r="E659" s="27">
        <v>0</v>
      </c>
      <c r="F659" s="27">
        <v>0</v>
      </c>
      <c r="G659" s="27">
        <f t="shared" si="45"/>
        <v>0</v>
      </c>
      <c r="H659" s="28">
        <f t="shared" si="46"/>
        <v>0</v>
      </c>
      <c r="I659" s="28">
        <f t="shared" si="47"/>
        <v>0</v>
      </c>
      <c r="J659" s="28">
        <f t="shared" si="48"/>
        <v>0</v>
      </c>
      <c r="K659" s="29"/>
    </row>
    <row r="660" spans="1:11" ht="31.2">
      <c r="A660" s="26" t="s">
        <v>219</v>
      </c>
      <c r="B660" s="95" t="s">
        <v>815</v>
      </c>
      <c r="C660" s="108" t="s">
        <v>313</v>
      </c>
      <c r="D660" s="111">
        <v>4</v>
      </c>
      <c r="E660" s="27">
        <v>0</v>
      </c>
      <c r="F660" s="27">
        <v>0</v>
      </c>
      <c r="G660" s="27">
        <f t="shared" si="45"/>
        <v>0</v>
      </c>
      <c r="H660" s="28">
        <f t="shared" si="46"/>
        <v>0</v>
      </c>
      <c r="I660" s="28">
        <f t="shared" si="47"/>
        <v>0</v>
      </c>
      <c r="J660" s="28">
        <f t="shared" si="48"/>
        <v>0</v>
      </c>
      <c r="K660" s="29" t="s">
        <v>321</v>
      </c>
    </row>
    <row r="661" spans="1:11" ht="31.2">
      <c r="A661" s="26" t="s">
        <v>220</v>
      </c>
      <c r="B661" s="95" t="s">
        <v>545</v>
      </c>
      <c r="C661" s="108" t="s">
        <v>313</v>
      </c>
      <c r="D661" s="111">
        <v>4</v>
      </c>
      <c r="E661" s="27">
        <v>0</v>
      </c>
      <c r="F661" s="27">
        <v>0</v>
      </c>
      <c r="G661" s="27">
        <f t="shared" si="45"/>
        <v>0</v>
      </c>
      <c r="H661" s="28">
        <f t="shared" si="46"/>
        <v>0</v>
      </c>
      <c r="I661" s="28">
        <f t="shared" si="47"/>
        <v>0</v>
      </c>
      <c r="J661" s="28">
        <f t="shared" si="48"/>
        <v>0</v>
      </c>
      <c r="K661" s="29" t="s">
        <v>321</v>
      </c>
    </row>
    <row r="662" spans="1:11" ht="31.2">
      <c r="A662" s="26" t="s">
        <v>221</v>
      </c>
      <c r="B662" s="95" t="s">
        <v>546</v>
      </c>
      <c r="C662" s="108" t="s">
        <v>313</v>
      </c>
      <c r="D662" s="111">
        <v>10</v>
      </c>
      <c r="E662" s="27">
        <v>0</v>
      </c>
      <c r="F662" s="27">
        <v>0</v>
      </c>
      <c r="G662" s="27">
        <f t="shared" si="45"/>
        <v>0</v>
      </c>
      <c r="H662" s="28">
        <f t="shared" si="46"/>
        <v>0</v>
      </c>
      <c r="I662" s="28">
        <f t="shared" si="47"/>
        <v>0</v>
      </c>
      <c r="J662" s="28">
        <f t="shared" si="48"/>
        <v>0</v>
      </c>
      <c r="K662" s="29" t="s">
        <v>321</v>
      </c>
    </row>
    <row r="663" spans="1:11" ht="31.2">
      <c r="A663" s="26" t="s">
        <v>222</v>
      </c>
      <c r="B663" s="95" t="s">
        <v>548</v>
      </c>
      <c r="C663" s="108" t="s">
        <v>313</v>
      </c>
      <c r="D663" s="111">
        <v>20</v>
      </c>
      <c r="E663" s="27">
        <v>0</v>
      </c>
      <c r="F663" s="27">
        <v>0</v>
      </c>
      <c r="G663" s="27">
        <f t="shared" si="45"/>
        <v>0</v>
      </c>
      <c r="H663" s="28">
        <f t="shared" si="46"/>
        <v>0</v>
      </c>
      <c r="I663" s="28">
        <f t="shared" si="47"/>
        <v>0</v>
      </c>
      <c r="J663" s="28">
        <f t="shared" si="48"/>
        <v>0</v>
      </c>
      <c r="K663" s="29" t="s">
        <v>321</v>
      </c>
    </row>
    <row r="664" spans="1:11" ht="31.2">
      <c r="A664" s="26" t="s">
        <v>223</v>
      </c>
      <c r="B664" s="95" t="s">
        <v>549</v>
      </c>
      <c r="C664" s="108" t="s">
        <v>313</v>
      </c>
      <c r="D664" s="111">
        <v>18</v>
      </c>
      <c r="E664" s="27">
        <v>0</v>
      </c>
      <c r="F664" s="27">
        <v>0</v>
      </c>
      <c r="G664" s="27">
        <f t="shared" si="45"/>
        <v>0</v>
      </c>
      <c r="H664" s="28">
        <f t="shared" si="46"/>
        <v>0</v>
      </c>
      <c r="I664" s="28">
        <f t="shared" si="47"/>
        <v>0</v>
      </c>
      <c r="J664" s="28">
        <f t="shared" si="48"/>
        <v>0</v>
      </c>
      <c r="K664" s="29" t="s">
        <v>321</v>
      </c>
    </row>
    <row r="665" spans="1:11" ht="31.2">
      <c r="A665" s="26" t="s">
        <v>224</v>
      </c>
      <c r="B665" s="95" t="s">
        <v>550</v>
      </c>
      <c r="C665" s="108" t="s">
        <v>313</v>
      </c>
      <c r="D665" s="111">
        <v>38</v>
      </c>
      <c r="E665" s="27">
        <v>0</v>
      </c>
      <c r="F665" s="27">
        <v>0</v>
      </c>
      <c r="G665" s="27">
        <f t="shared" si="45"/>
        <v>0</v>
      </c>
      <c r="H665" s="28">
        <f t="shared" si="46"/>
        <v>0</v>
      </c>
      <c r="I665" s="28">
        <f t="shared" si="47"/>
        <v>0</v>
      </c>
      <c r="J665" s="28">
        <f t="shared" si="48"/>
        <v>0</v>
      </c>
      <c r="K665" s="29" t="s">
        <v>321</v>
      </c>
    </row>
    <row r="666" spans="1:11" ht="31.2">
      <c r="A666" s="26" t="s">
        <v>225</v>
      </c>
      <c r="B666" s="95" t="s">
        <v>551</v>
      </c>
      <c r="C666" s="108" t="s">
        <v>313</v>
      </c>
      <c r="D666" s="111">
        <v>92</v>
      </c>
      <c r="E666" s="27">
        <v>0</v>
      </c>
      <c r="F666" s="27">
        <v>0</v>
      </c>
      <c r="G666" s="27">
        <f t="shared" si="45"/>
        <v>0</v>
      </c>
      <c r="H666" s="28">
        <f t="shared" si="46"/>
        <v>0</v>
      </c>
      <c r="I666" s="28">
        <f t="shared" si="47"/>
        <v>0</v>
      </c>
      <c r="J666" s="28">
        <f t="shared" si="48"/>
        <v>0</v>
      </c>
      <c r="K666" s="29" t="s">
        <v>321</v>
      </c>
    </row>
    <row r="667" spans="1:11">
      <c r="A667" s="26" t="s">
        <v>226</v>
      </c>
      <c r="B667" s="95" t="s">
        <v>593</v>
      </c>
      <c r="C667" s="108" t="s">
        <v>312</v>
      </c>
      <c r="D667" s="111">
        <v>12152.4</v>
      </c>
      <c r="E667" s="27">
        <v>0</v>
      </c>
      <c r="F667" s="27">
        <v>0</v>
      </c>
      <c r="G667" s="27">
        <f t="shared" si="45"/>
        <v>0</v>
      </c>
      <c r="H667" s="28">
        <f t="shared" si="46"/>
        <v>0</v>
      </c>
      <c r="I667" s="28">
        <f t="shared" si="47"/>
        <v>0</v>
      </c>
      <c r="J667" s="28">
        <f t="shared" si="48"/>
        <v>0</v>
      </c>
      <c r="K667" s="29"/>
    </row>
    <row r="668" spans="1:11">
      <c r="A668" s="26" t="s">
        <v>227</v>
      </c>
      <c r="B668" s="95" t="s">
        <v>593</v>
      </c>
      <c r="C668" s="108" t="s">
        <v>312</v>
      </c>
      <c r="D668" s="111">
        <v>638.95000000000005</v>
      </c>
      <c r="E668" s="27">
        <v>0</v>
      </c>
      <c r="F668" s="27">
        <v>0</v>
      </c>
      <c r="G668" s="27">
        <f t="shared" si="45"/>
        <v>0</v>
      </c>
      <c r="H668" s="28">
        <f t="shared" si="46"/>
        <v>0</v>
      </c>
      <c r="I668" s="28">
        <f t="shared" si="47"/>
        <v>0</v>
      </c>
      <c r="J668" s="28">
        <f t="shared" si="48"/>
        <v>0</v>
      </c>
      <c r="K668" s="29"/>
    </row>
    <row r="669" spans="1:11">
      <c r="A669" s="26" t="s">
        <v>228</v>
      </c>
      <c r="B669" s="95" t="s">
        <v>594</v>
      </c>
      <c r="C669" s="108" t="s">
        <v>312</v>
      </c>
      <c r="D669" s="111" t="s">
        <v>345</v>
      </c>
      <c r="E669" s="27">
        <v>0</v>
      </c>
      <c r="F669" s="27">
        <v>0</v>
      </c>
      <c r="G669" s="27">
        <f t="shared" si="45"/>
        <v>0</v>
      </c>
      <c r="H669" s="28">
        <f t="shared" si="46"/>
        <v>0</v>
      </c>
      <c r="I669" s="28">
        <f t="shared" si="47"/>
        <v>0</v>
      </c>
      <c r="J669" s="28">
        <f t="shared" si="48"/>
        <v>0</v>
      </c>
      <c r="K669" s="29"/>
    </row>
    <row r="670" spans="1:11">
      <c r="A670" s="26" t="s">
        <v>229</v>
      </c>
      <c r="B670" s="95" t="s">
        <v>594</v>
      </c>
      <c r="C670" s="108" t="s">
        <v>312</v>
      </c>
      <c r="D670" s="111">
        <v>33.770000000000003</v>
      </c>
      <c r="E670" s="27">
        <v>0</v>
      </c>
      <c r="F670" s="27">
        <v>0</v>
      </c>
      <c r="G670" s="27">
        <f t="shared" si="45"/>
        <v>0</v>
      </c>
      <c r="H670" s="28">
        <f t="shared" si="46"/>
        <v>0</v>
      </c>
      <c r="I670" s="28">
        <f t="shared" si="47"/>
        <v>0</v>
      </c>
      <c r="J670" s="28">
        <f t="shared" si="48"/>
        <v>0</v>
      </c>
      <c r="K670" s="73"/>
    </row>
    <row r="671" spans="1:11">
      <c r="A671" s="26" t="s">
        <v>230</v>
      </c>
      <c r="B671" s="95" t="s">
        <v>595</v>
      </c>
      <c r="C671" s="108" t="s">
        <v>312</v>
      </c>
      <c r="D671" s="111">
        <v>77.37</v>
      </c>
      <c r="E671" s="27">
        <v>0</v>
      </c>
      <c r="F671" s="27">
        <v>0</v>
      </c>
      <c r="G671" s="27">
        <f t="shared" si="45"/>
        <v>0</v>
      </c>
      <c r="H671" s="28">
        <f t="shared" si="46"/>
        <v>0</v>
      </c>
      <c r="I671" s="28">
        <f t="shared" si="47"/>
        <v>0</v>
      </c>
      <c r="J671" s="28">
        <f t="shared" si="48"/>
        <v>0</v>
      </c>
      <c r="K671" s="73"/>
    </row>
    <row r="672" spans="1:11">
      <c r="A672" s="26" t="s">
        <v>231</v>
      </c>
      <c r="B672" s="95" t="s">
        <v>596</v>
      </c>
      <c r="C672" s="108" t="s">
        <v>312</v>
      </c>
      <c r="D672" s="111">
        <v>220.34</v>
      </c>
      <c r="E672" s="27">
        <v>0</v>
      </c>
      <c r="F672" s="27">
        <v>0</v>
      </c>
      <c r="G672" s="27">
        <f t="shared" si="45"/>
        <v>0</v>
      </c>
      <c r="H672" s="28">
        <f t="shared" si="46"/>
        <v>0</v>
      </c>
      <c r="I672" s="28">
        <f t="shared" si="47"/>
        <v>0</v>
      </c>
      <c r="J672" s="28">
        <f t="shared" si="48"/>
        <v>0</v>
      </c>
      <c r="K672" s="73"/>
    </row>
    <row r="673" spans="1:11">
      <c r="A673" s="26" t="s">
        <v>232</v>
      </c>
      <c r="B673" s="95" t="s">
        <v>597</v>
      </c>
      <c r="C673" s="108" t="s">
        <v>312</v>
      </c>
      <c r="D673" s="111">
        <v>65.62</v>
      </c>
      <c r="E673" s="27">
        <v>0</v>
      </c>
      <c r="F673" s="27">
        <v>0</v>
      </c>
      <c r="G673" s="27">
        <f t="shared" si="45"/>
        <v>0</v>
      </c>
      <c r="H673" s="28">
        <f t="shared" si="46"/>
        <v>0</v>
      </c>
      <c r="I673" s="28">
        <f t="shared" si="47"/>
        <v>0</v>
      </c>
      <c r="J673" s="28">
        <f t="shared" si="48"/>
        <v>0</v>
      </c>
      <c r="K673" s="73"/>
    </row>
    <row r="674" spans="1:11">
      <c r="A674" s="26" t="s">
        <v>233</v>
      </c>
      <c r="B674" s="95" t="s">
        <v>598</v>
      </c>
      <c r="C674" s="108" t="s">
        <v>312</v>
      </c>
      <c r="D674" s="111">
        <v>32.340000000000003</v>
      </c>
      <c r="E674" s="27">
        <v>0</v>
      </c>
      <c r="F674" s="27">
        <v>0</v>
      </c>
      <c r="G674" s="27">
        <f t="shared" si="45"/>
        <v>0</v>
      </c>
      <c r="H674" s="28">
        <f t="shared" si="46"/>
        <v>0</v>
      </c>
      <c r="I674" s="28">
        <f t="shared" si="47"/>
        <v>0</v>
      </c>
      <c r="J674" s="28">
        <f t="shared" si="48"/>
        <v>0</v>
      </c>
      <c r="K674" s="73"/>
    </row>
    <row r="675" spans="1:11">
      <c r="A675" s="26" t="s">
        <v>234</v>
      </c>
      <c r="B675" s="95" t="s">
        <v>599</v>
      </c>
      <c r="C675" s="108" t="s">
        <v>312</v>
      </c>
      <c r="D675" s="111">
        <v>69.19</v>
      </c>
      <c r="E675" s="27">
        <v>0</v>
      </c>
      <c r="F675" s="27">
        <v>0</v>
      </c>
      <c r="G675" s="27">
        <f t="shared" si="45"/>
        <v>0</v>
      </c>
      <c r="H675" s="28">
        <f t="shared" si="46"/>
        <v>0</v>
      </c>
      <c r="I675" s="28">
        <f t="shared" si="47"/>
        <v>0</v>
      </c>
      <c r="J675" s="28">
        <f t="shared" si="48"/>
        <v>0</v>
      </c>
      <c r="K675" s="29"/>
    </row>
    <row r="676" spans="1:11">
      <c r="A676" s="26" t="s">
        <v>235</v>
      </c>
      <c r="B676" s="95" t="s">
        <v>600</v>
      </c>
      <c r="C676" s="108" t="s">
        <v>312</v>
      </c>
      <c r="D676" s="111">
        <v>62.69</v>
      </c>
      <c r="E676" s="27">
        <v>0</v>
      </c>
      <c r="F676" s="27">
        <v>0</v>
      </c>
      <c r="G676" s="27">
        <f t="shared" si="45"/>
        <v>0</v>
      </c>
      <c r="H676" s="28">
        <f t="shared" si="46"/>
        <v>0</v>
      </c>
      <c r="I676" s="28">
        <f t="shared" si="47"/>
        <v>0</v>
      </c>
      <c r="J676" s="28">
        <f t="shared" si="48"/>
        <v>0</v>
      </c>
      <c r="K676" s="29"/>
    </row>
    <row r="677" spans="1:11" ht="31.2">
      <c r="A677" s="26" t="s">
        <v>236</v>
      </c>
      <c r="B677" s="95" t="s">
        <v>601</v>
      </c>
      <c r="C677" s="108" t="s">
        <v>312</v>
      </c>
      <c r="D677" s="111">
        <v>132.76</v>
      </c>
      <c r="E677" s="27">
        <v>0</v>
      </c>
      <c r="F677" s="27">
        <v>0</v>
      </c>
      <c r="G677" s="27">
        <f t="shared" si="45"/>
        <v>0</v>
      </c>
      <c r="H677" s="28">
        <f t="shared" si="46"/>
        <v>0</v>
      </c>
      <c r="I677" s="28">
        <f t="shared" si="47"/>
        <v>0</v>
      </c>
      <c r="J677" s="28">
        <f t="shared" si="48"/>
        <v>0</v>
      </c>
      <c r="K677" s="29"/>
    </row>
    <row r="678" spans="1:11" ht="31.2">
      <c r="A678" s="26" t="s">
        <v>237</v>
      </c>
      <c r="B678" s="95" t="s">
        <v>602</v>
      </c>
      <c r="C678" s="108" t="s">
        <v>312</v>
      </c>
      <c r="D678" s="111">
        <v>892.86</v>
      </c>
      <c r="E678" s="27">
        <v>0</v>
      </c>
      <c r="F678" s="27">
        <v>0</v>
      </c>
      <c r="G678" s="27">
        <f t="shared" si="45"/>
        <v>0</v>
      </c>
      <c r="H678" s="28">
        <f t="shared" si="46"/>
        <v>0</v>
      </c>
      <c r="I678" s="28">
        <f t="shared" si="47"/>
        <v>0</v>
      </c>
      <c r="J678" s="28">
        <f t="shared" si="48"/>
        <v>0</v>
      </c>
      <c r="K678" s="29"/>
    </row>
    <row r="679" spans="1:11" ht="31.2">
      <c r="A679" s="26" t="s">
        <v>238</v>
      </c>
      <c r="B679" s="95" t="s">
        <v>603</v>
      </c>
      <c r="C679" s="108" t="s">
        <v>312</v>
      </c>
      <c r="D679" s="111">
        <v>101.98</v>
      </c>
      <c r="E679" s="27">
        <v>0</v>
      </c>
      <c r="F679" s="27">
        <v>0</v>
      </c>
      <c r="G679" s="27">
        <f t="shared" si="45"/>
        <v>0</v>
      </c>
      <c r="H679" s="28">
        <f t="shared" si="46"/>
        <v>0</v>
      </c>
      <c r="I679" s="28">
        <f t="shared" si="47"/>
        <v>0</v>
      </c>
      <c r="J679" s="28">
        <f t="shared" si="48"/>
        <v>0</v>
      </c>
      <c r="K679" s="29"/>
    </row>
    <row r="680" spans="1:11" ht="31.2">
      <c r="A680" s="26" t="s">
        <v>239</v>
      </c>
      <c r="B680" s="95" t="s">
        <v>604</v>
      </c>
      <c r="C680" s="108" t="s">
        <v>312</v>
      </c>
      <c r="D680" s="111">
        <v>41.5</v>
      </c>
      <c r="E680" s="27">
        <v>0</v>
      </c>
      <c r="F680" s="27">
        <v>0</v>
      </c>
      <c r="G680" s="27">
        <f t="shared" si="45"/>
        <v>0</v>
      </c>
      <c r="H680" s="28">
        <f t="shared" si="46"/>
        <v>0</v>
      </c>
      <c r="I680" s="28">
        <f t="shared" si="47"/>
        <v>0</v>
      </c>
      <c r="J680" s="28">
        <f t="shared" si="48"/>
        <v>0</v>
      </c>
      <c r="K680" s="29"/>
    </row>
    <row r="681" spans="1:11" ht="31.2">
      <c r="A681" s="26" t="s">
        <v>240</v>
      </c>
      <c r="B681" s="95" t="s">
        <v>605</v>
      </c>
      <c r="C681" s="108" t="s">
        <v>312</v>
      </c>
      <c r="D681" s="111">
        <v>8.48</v>
      </c>
      <c r="E681" s="27">
        <v>0</v>
      </c>
      <c r="F681" s="27">
        <v>0</v>
      </c>
      <c r="G681" s="27">
        <f t="shared" si="45"/>
        <v>0</v>
      </c>
      <c r="H681" s="28">
        <f t="shared" si="46"/>
        <v>0</v>
      </c>
      <c r="I681" s="28">
        <f t="shared" si="47"/>
        <v>0</v>
      </c>
      <c r="J681" s="28">
        <f t="shared" si="48"/>
        <v>0</v>
      </c>
      <c r="K681" s="29"/>
    </row>
    <row r="682" spans="1:11" ht="31.2">
      <c r="A682" s="26" t="s">
        <v>241</v>
      </c>
      <c r="B682" s="95" t="s">
        <v>607</v>
      </c>
      <c r="C682" s="108" t="s">
        <v>312</v>
      </c>
      <c r="D682" s="111">
        <v>387.71</v>
      </c>
      <c r="E682" s="27">
        <v>0</v>
      </c>
      <c r="F682" s="27">
        <v>0</v>
      </c>
      <c r="G682" s="27">
        <f t="shared" si="45"/>
        <v>0</v>
      </c>
      <c r="H682" s="28">
        <f t="shared" si="46"/>
        <v>0</v>
      </c>
      <c r="I682" s="28">
        <f t="shared" si="47"/>
        <v>0</v>
      </c>
      <c r="J682" s="28">
        <f t="shared" si="48"/>
        <v>0</v>
      </c>
      <c r="K682" s="29"/>
    </row>
    <row r="683" spans="1:11" ht="31.2">
      <c r="A683" s="26" t="s">
        <v>242</v>
      </c>
      <c r="B683" s="95" t="s">
        <v>816</v>
      </c>
      <c r="C683" s="108" t="s">
        <v>312</v>
      </c>
      <c r="D683" s="111">
        <v>275.14</v>
      </c>
      <c r="E683" s="27">
        <v>0</v>
      </c>
      <c r="F683" s="27">
        <v>0</v>
      </c>
      <c r="G683" s="27">
        <f t="shared" si="45"/>
        <v>0</v>
      </c>
      <c r="H683" s="28">
        <f t="shared" si="46"/>
        <v>0</v>
      </c>
      <c r="I683" s="28">
        <f t="shared" si="47"/>
        <v>0</v>
      </c>
      <c r="J683" s="28">
        <f t="shared" si="48"/>
        <v>0</v>
      </c>
      <c r="K683" s="29"/>
    </row>
    <row r="684" spans="1:11" ht="31.2">
      <c r="A684" s="26" t="s">
        <v>243</v>
      </c>
      <c r="B684" s="95" t="s">
        <v>609</v>
      </c>
      <c r="C684" s="108" t="s">
        <v>312</v>
      </c>
      <c r="D684" s="111">
        <v>5772.33</v>
      </c>
      <c r="E684" s="27">
        <v>0</v>
      </c>
      <c r="F684" s="27">
        <v>0</v>
      </c>
      <c r="G684" s="27">
        <f t="shared" si="45"/>
        <v>0</v>
      </c>
      <c r="H684" s="28">
        <f t="shared" si="46"/>
        <v>0</v>
      </c>
      <c r="I684" s="28">
        <f t="shared" si="47"/>
        <v>0</v>
      </c>
      <c r="J684" s="28">
        <f t="shared" si="48"/>
        <v>0</v>
      </c>
      <c r="K684" s="29"/>
    </row>
    <row r="685" spans="1:11" ht="31.2">
      <c r="A685" s="26" t="s">
        <v>244</v>
      </c>
      <c r="B685" s="95" t="s">
        <v>610</v>
      </c>
      <c r="C685" s="108" t="s">
        <v>312</v>
      </c>
      <c r="D685" s="111">
        <v>1000.73</v>
      </c>
      <c r="E685" s="27">
        <v>0</v>
      </c>
      <c r="F685" s="27">
        <v>0</v>
      </c>
      <c r="G685" s="27">
        <f t="shared" si="45"/>
        <v>0</v>
      </c>
      <c r="H685" s="28">
        <f t="shared" si="46"/>
        <v>0</v>
      </c>
      <c r="I685" s="28">
        <f t="shared" si="47"/>
        <v>0</v>
      </c>
      <c r="J685" s="28">
        <f t="shared" si="48"/>
        <v>0</v>
      </c>
      <c r="K685" s="29"/>
    </row>
    <row r="686" spans="1:11" ht="31.2">
      <c r="A686" s="26" t="s">
        <v>245</v>
      </c>
      <c r="B686" s="95" t="s">
        <v>611</v>
      </c>
      <c r="C686" s="108" t="s">
        <v>312</v>
      </c>
      <c r="D686" s="111">
        <v>31.39</v>
      </c>
      <c r="E686" s="27">
        <v>0</v>
      </c>
      <c r="F686" s="27">
        <v>0</v>
      </c>
      <c r="G686" s="27">
        <f t="shared" si="45"/>
        <v>0</v>
      </c>
      <c r="H686" s="28">
        <f t="shared" si="46"/>
        <v>0</v>
      </c>
      <c r="I686" s="28">
        <f t="shared" si="47"/>
        <v>0</v>
      </c>
      <c r="J686" s="28">
        <f t="shared" si="48"/>
        <v>0</v>
      </c>
      <c r="K686" s="29"/>
    </row>
    <row r="687" spans="1:11" ht="31.2">
      <c r="A687" s="26" t="s">
        <v>246</v>
      </c>
      <c r="B687" s="95" t="s">
        <v>817</v>
      </c>
      <c r="C687" s="108" t="s">
        <v>312</v>
      </c>
      <c r="D687" s="111">
        <v>5632.37</v>
      </c>
      <c r="E687" s="27">
        <v>0</v>
      </c>
      <c r="F687" s="27">
        <v>0</v>
      </c>
      <c r="G687" s="27">
        <f t="shared" ref="G687:G750" si="49">E687+F687</f>
        <v>0</v>
      </c>
      <c r="H687" s="28">
        <f t="shared" ref="H687:H750" si="50">D687*E687</f>
        <v>0</v>
      </c>
      <c r="I687" s="28">
        <f t="shared" ref="I687:I750" si="51">D687*F687</f>
        <v>0</v>
      </c>
      <c r="J687" s="28">
        <f t="shared" ref="J687:J750" si="52">H687+I687</f>
        <v>0</v>
      </c>
      <c r="K687" s="29"/>
    </row>
    <row r="688" spans="1:11" ht="31.2">
      <c r="A688" s="26" t="s">
        <v>247</v>
      </c>
      <c r="B688" s="95" t="s">
        <v>613</v>
      </c>
      <c r="C688" s="108" t="s">
        <v>312</v>
      </c>
      <c r="D688" s="111">
        <v>879.12</v>
      </c>
      <c r="E688" s="27">
        <v>0</v>
      </c>
      <c r="F688" s="27">
        <v>0</v>
      </c>
      <c r="G688" s="27">
        <f t="shared" si="49"/>
        <v>0</v>
      </c>
      <c r="H688" s="28">
        <f t="shared" si="50"/>
        <v>0</v>
      </c>
      <c r="I688" s="28">
        <f t="shared" si="51"/>
        <v>0</v>
      </c>
      <c r="J688" s="28">
        <f t="shared" si="52"/>
        <v>0</v>
      </c>
      <c r="K688" s="29"/>
    </row>
    <row r="689" spans="1:11" ht="31.2">
      <c r="A689" s="26" t="s">
        <v>248</v>
      </c>
      <c r="B689" s="95" t="s">
        <v>614</v>
      </c>
      <c r="C689" s="108" t="s">
        <v>312</v>
      </c>
      <c r="D689" s="111">
        <v>22.72</v>
      </c>
      <c r="E689" s="27">
        <v>0</v>
      </c>
      <c r="F689" s="27">
        <v>0</v>
      </c>
      <c r="G689" s="27">
        <f t="shared" si="49"/>
        <v>0</v>
      </c>
      <c r="H689" s="28">
        <f t="shared" si="50"/>
        <v>0</v>
      </c>
      <c r="I689" s="28">
        <f t="shared" si="51"/>
        <v>0</v>
      </c>
      <c r="J689" s="28">
        <f t="shared" si="52"/>
        <v>0</v>
      </c>
      <c r="K689" s="29"/>
    </row>
    <row r="690" spans="1:11">
      <c r="A690" s="26" t="s">
        <v>249</v>
      </c>
      <c r="B690" s="95" t="s">
        <v>818</v>
      </c>
      <c r="C690" s="108" t="s">
        <v>314</v>
      </c>
      <c r="D690" s="111">
        <v>571.41999999999996</v>
      </c>
      <c r="E690" s="27">
        <v>0</v>
      </c>
      <c r="F690" s="27">
        <v>0</v>
      </c>
      <c r="G690" s="27">
        <f t="shared" si="49"/>
        <v>0</v>
      </c>
      <c r="H690" s="28">
        <f t="shared" si="50"/>
        <v>0</v>
      </c>
      <c r="I690" s="28">
        <f t="shared" si="51"/>
        <v>0</v>
      </c>
      <c r="J690" s="28">
        <f t="shared" si="52"/>
        <v>0</v>
      </c>
      <c r="K690" s="29"/>
    </row>
    <row r="691" spans="1:11" ht="46.8">
      <c r="A691" s="26" t="s">
        <v>250</v>
      </c>
      <c r="B691" s="95" t="s">
        <v>819</v>
      </c>
      <c r="C691" s="108" t="s">
        <v>312</v>
      </c>
      <c r="D691" s="111">
        <v>1056.49</v>
      </c>
      <c r="E691" s="27">
        <v>0</v>
      </c>
      <c r="F691" s="27">
        <v>0</v>
      </c>
      <c r="G691" s="27">
        <f t="shared" si="49"/>
        <v>0</v>
      </c>
      <c r="H691" s="28">
        <f t="shared" si="50"/>
        <v>0</v>
      </c>
      <c r="I691" s="28">
        <f t="shared" si="51"/>
        <v>0</v>
      </c>
      <c r="J691" s="28">
        <f t="shared" si="52"/>
        <v>0</v>
      </c>
      <c r="K691" s="29"/>
    </row>
    <row r="692" spans="1:11" ht="46.8">
      <c r="A692" s="26" t="s">
        <v>251</v>
      </c>
      <c r="B692" s="95" t="s">
        <v>616</v>
      </c>
      <c r="C692" s="108" t="s">
        <v>312</v>
      </c>
      <c r="D692" s="111">
        <v>308.29000000000002</v>
      </c>
      <c r="E692" s="27">
        <v>0</v>
      </c>
      <c r="F692" s="27">
        <v>0</v>
      </c>
      <c r="G692" s="27">
        <f t="shared" si="49"/>
        <v>0</v>
      </c>
      <c r="H692" s="28">
        <f t="shared" si="50"/>
        <v>0</v>
      </c>
      <c r="I692" s="28">
        <f t="shared" si="51"/>
        <v>0</v>
      </c>
      <c r="J692" s="28">
        <f t="shared" si="52"/>
        <v>0</v>
      </c>
      <c r="K692" s="73"/>
    </row>
    <row r="693" spans="1:11" ht="46.8">
      <c r="A693" s="26" t="s">
        <v>252</v>
      </c>
      <c r="B693" s="95" t="s">
        <v>617</v>
      </c>
      <c r="C693" s="108" t="s">
        <v>312</v>
      </c>
      <c r="D693" s="111">
        <v>15.09</v>
      </c>
      <c r="E693" s="27">
        <v>0</v>
      </c>
      <c r="F693" s="27">
        <v>0</v>
      </c>
      <c r="G693" s="27">
        <f t="shared" si="49"/>
        <v>0</v>
      </c>
      <c r="H693" s="28">
        <f t="shared" si="50"/>
        <v>0</v>
      </c>
      <c r="I693" s="28">
        <f t="shared" si="51"/>
        <v>0</v>
      </c>
      <c r="J693" s="28">
        <f t="shared" si="52"/>
        <v>0</v>
      </c>
      <c r="K693" s="73"/>
    </row>
    <row r="694" spans="1:11" ht="46.8">
      <c r="A694" s="26" t="s">
        <v>253</v>
      </c>
      <c r="B694" s="95" t="s">
        <v>820</v>
      </c>
      <c r="C694" s="108" t="s">
        <v>312</v>
      </c>
      <c r="D694" s="111">
        <v>1119.07</v>
      </c>
      <c r="E694" s="27">
        <v>0</v>
      </c>
      <c r="F694" s="27">
        <v>0</v>
      </c>
      <c r="G694" s="27">
        <f t="shared" si="49"/>
        <v>0</v>
      </c>
      <c r="H694" s="28">
        <f t="shared" si="50"/>
        <v>0</v>
      </c>
      <c r="I694" s="28">
        <f t="shared" si="51"/>
        <v>0</v>
      </c>
      <c r="J694" s="28">
        <f t="shared" si="52"/>
        <v>0</v>
      </c>
      <c r="K694" s="73"/>
    </row>
    <row r="695" spans="1:11" ht="46.8">
      <c r="A695" s="26" t="s">
        <v>254</v>
      </c>
      <c r="B695" s="95" t="s">
        <v>619</v>
      </c>
      <c r="C695" s="108" t="s">
        <v>312</v>
      </c>
      <c r="D695" s="111">
        <v>327.31</v>
      </c>
      <c r="E695" s="27">
        <v>0</v>
      </c>
      <c r="F695" s="27">
        <v>0</v>
      </c>
      <c r="G695" s="27">
        <f t="shared" si="49"/>
        <v>0</v>
      </c>
      <c r="H695" s="28">
        <f t="shared" si="50"/>
        <v>0</v>
      </c>
      <c r="I695" s="28">
        <f t="shared" si="51"/>
        <v>0</v>
      </c>
      <c r="J695" s="28">
        <f t="shared" si="52"/>
        <v>0</v>
      </c>
      <c r="K695" s="73"/>
    </row>
    <row r="696" spans="1:11" ht="46.8">
      <c r="A696" s="26" t="s">
        <v>255</v>
      </c>
      <c r="B696" s="95" t="s">
        <v>620</v>
      </c>
      <c r="C696" s="108" t="s">
        <v>312</v>
      </c>
      <c r="D696" s="111">
        <v>15.92</v>
      </c>
      <c r="E696" s="27">
        <v>0</v>
      </c>
      <c r="F696" s="27">
        <v>0</v>
      </c>
      <c r="G696" s="27">
        <f t="shared" si="49"/>
        <v>0</v>
      </c>
      <c r="H696" s="28">
        <f t="shared" si="50"/>
        <v>0</v>
      </c>
      <c r="I696" s="28">
        <f t="shared" si="51"/>
        <v>0</v>
      </c>
      <c r="J696" s="28">
        <f t="shared" si="52"/>
        <v>0</v>
      </c>
      <c r="K696" s="73"/>
    </row>
    <row r="697" spans="1:11" ht="31.2">
      <c r="A697" s="26" t="s">
        <v>256</v>
      </c>
      <c r="B697" s="95" t="s">
        <v>821</v>
      </c>
      <c r="C697" s="108" t="s">
        <v>312</v>
      </c>
      <c r="D697" s="111">
        <v>0.11</v>
      </c>
      <c r="E697" s="27">
        <v>0</v>
      </c>
      <c r="F697" s="27">
        <v>0</v>
      </c>
      <c r="G697" s="27">
        <f t="shared" si="49"/>
        <v>0</v>
      </c>
      <c r="H697" s="28">
        <f t="shared" si="50"/>
        <v>0</v>
      </c>
      <c r="I697" s="28">
        <f t="shared" si="51"/>
        <v>0</v>
      </c>
      <c r="J697" s="28">
        <f t="shared" si="52"/>
        <v>0</v>
      </c>
      <c r="K697" s="73"/>
    </row>
    <row r="698" spans="1:11" ht="31.2">
      <c r="A698" s="26" t="s">
        <v>257</v>
      </c>
      <c r="B698" s="95" t="s">
        <v>621</v>
      </c>
      <c r="C698" s="108" t="s">
        <v>312</v>
      </c>
      <c r="D698" s="111">
        <v>30.55</v>
      </c>
      <c r="E698" s="27">
        <v>0</v>
      </c>
      <c r="F698" s="27">
        <v>0</v>
      </c>
      <c r="G698" s="27">
        <f t="shared" si="49"/>
        <v>0</v>
      </c>
      <c r="H698" s="28">
        <f t="shared" si="50"/>
        <v>0</v>
      </c>
      <c r="I698" s="28">
        <f t="shared" si="51"/>
        <v>0</v>
      </c>
      <c r="J698" s="28">
        <f t="shared" si="52"/>
        <v>0</v>
      </c>
      <c r="K698" s="73"/>
    </row>
    <row r="699" spans="1:11" ht="31.2">
      <c r="A699" s="26" t="s">
        <v>258</v>
      </c>
      <c r="B699" s="95" t="s">
        <v>622</v>
      </c>
      <c r="C699" s="108" t="s">
        <v>312</v>
      </c>
      <c r="D699" s="111">
        <v>27.1</v>
      </c>
      <c r="E699" s="27">
        <v>0</v>
      </c>
      <c r="F699" s="27">
        <v>0</v>
      </c>
      <c r="G699" s="27">
        <f t="shared" si="49"/>
        <v>0</v>
      </c>
      <c r="H699" s="28">
        <f t="shared" si="50"/>
        <v>0</v>
      </c>
      <c r="I699" s="28">
        <f t="shared" si="51"/>
        <v>0</v>
      </c>
      <c r="J699" s="28">
        <f t="shared" si="52"/>
        <v>0</v>
      </c>
      <c r="K699" s="73"/>
    </row>
    <row r="700" spans="1:11" ht="31.2">
      <c r="A700" s="26" t="s">
        <v>259</v>
      </c>
      <c r="B700" s="95" t="s">
        <v>623</v>
      </c>
      <c r="C700" s="108" t="s">
        <v>312</v>
      </c>
      <c r="D700" s="111">
        <v>76.11</v>
      </c>
      <c r="E700" s="27">
        <v>0</v>
      </c>
      <c r="F700" s="27">
        <v>0</v>
      </c>
      <c r="G700" s="27">
        <f t="shared" si="49"/>
        <v>0</v>
      </c>
      <c r="H700" s="28">
        <f t="shared" si="50"/>
        <v>0</v>
      </c>
      <c r="I700" s="28">
        <f t="shared" si="51"/>
        <v>0</v>
      </c>
      <c r="J700" s="28">
        <f t="shared" si="52"/>
        <v>0</v>
      </c>
      <c r="K700" s="73"/>
    </row>
    <row r="701" spans="1:11" ht="31.2">
      <c r="A701" s="26" t="s">
        <v>260</v>
      </c>
      <c r="B701" s="95" t="s">
        <v>624</v>
      </c>
      <c r="C701" s="108" t="s">
        <v>312</v>
      </c>
      <c r="D701" s="111">
        <v>68.959999999999994</v>
      </c>
      <c r="E701" s="27">
        <v>0</v>
      </c>
      <c r="F701" s="27">
        <v>0</v>
      </c>
      <c r="G701" s="27">
        <f t="shared" si="49"/>
        <v>0</v>
      </c>
      <c r="H701" s="28">
        <f t="shared" si="50"/>
        <v>0</v>
      </c>
      <c r="I701" s="28">
        <f t="shared" si="51"/>
        <v>0</v>
      </c>
      <c r="J701" s="28">
        <f t="shared" si="52"/>
        <v>0</v>
      </c>
      <c r="K701" s="73"/>
    </row>
    <row r="702" spans="1:11" ht="31.2">
      <c r="A702" s="26" t="s">
        <v>261</v>
      </c>
      <c r="B702" s="95" t="s">
        <v>625</v>
      </c>
      <c r="C702" s="108" t="s">
        <v>312</v>
      </c>
      <c r="D702" s="111">
        <v>146.03</v>
      </c>
      <c r="E702" s="27">
        <v>0</v>
      </c>
      <c r="F702" s="27">
        <v>0</v>
      </c>
      <c r="G702" s="27">
        <f t="shared" si="49"/>
        <v>0</v>
      </c>
      <c r="H702" s="28">
        <f t="shared" si="50"/>
        <v>0</v>
      </c>
      <c r="I702" s="28">
        <f t="shared" si="51"/>
        <v>0</v>
      </c>
      <c r="J702" s="28">
        <f t="shared" si="52"/>
        <v>0</v>
      </c>
      <c r="K702" s="29"/>
    </row>
    <row r="703" spans="1:11" ht="31.2">
      <c r="A703" s="26" t="s">
        <v>262</v>
      </c>
      <c r="B703" s="95" t="s">
        <v>626</v>
      </c>
      <c r="C703" s="108" t="s">
        <v>312</v>
      </c>
      <c r="D703" s="111">
        <v>309.43</v>
      </c>
      <c r="E703" s="27">
        <v>0</v>
      </c>
      <c r="F703" s="27">
        <v>0</v>
      </c>
      <c r="G703" s="27">
        <f t="shared" si="49"/>
        <v>0</v>
      </c>
      <c r="H703" s="28">
        <f t="shared" si="50"/>
        <v>0</v>
      </c>
      <c r="I703" s="28">
        <f t="shared" si="51"/>
        <v>0</v>
      </c>
      <c r="J703" s="28">
        <f t="shared" si="52"/>
        <v>0</v>
      </c>
      <c r="K703" s="29"/>
    </row>
    <row r="704" spans="1:11" ht="62.4">
      <c r="A704" s="26" t="s">
        <v>263</v>
      </c>
      <c r="B704" s="95" t="s">
        <v>822</v>
      </c>
      <c r="C704" s="108" t="s">
        <v>313</v>
      </c>
      <c r="D704" s="111">
        <v>8</v>
      </c>
      <c r="E704" s="27">
        <v>0</v>
      </c>
      <c r="F704" s="27">
        <v>0</v>
      </c>
      <c r="G704" s="27">
        <f t="shared" si="49"/>
        <v>0</v>
      </c>
      <c r="H704" s="28">
        <f t="shared" si="50"/>
        <v>0</v>
      </c>
      <c r="I704" s="28">
        <f t="shared" si="51"/>
        <v>0</v>
      </c>
      <c r="J704" s="28">
        <f t="shared" si="52"/>
        <v>0</v>
      </c>
      <c r="K704" s="29"/>
    </row>
    <row r="705" spans="1:11" ht="62.4">
      <c r="A705" s="26" t="s">
        <v>264</v>
      </c>
      <c r="B705" s="95" t="s">
        <v>630</v>
      </c>
      <c r="C705" s="108" t="s">
        <v>313</v>
      </c>
      <c r="D705" s="111">
        <v>5</v>
      </c>
      <c r="E705" s="27">
        <v>0</v>
      </c>
      <c r="F705" s="27">
        <v>0</v>
      </c>
      <c r="G705" s="27">
        <f t="shared" si="49"/>
        <v>0</v>
      </c>
      <c r="H705" s="28">
        <f t="shared" si="50"/>
        <v>0</v>
      </c>
      <c r="I705" s="28">
        <f t="shared" si="51"/>
        <v>0</v>
      </c>
      <c r="J705" s="28">
        <f t="shared" si="52"/>
        <v>0</v>
      </c>
      <c r="K705" s="29"/>
    </row>
    <row r="706" spans="1:11" ht="62.4">
      <c r="A706" s="26" t="s">
        <v>265</v>
      </c>
      <c r="B706" s="95" t="s">
        <v>823</v>
      </c>
      <c r="C706" s="108" t="s">
        <v>313</v>
      </c>
      <c r="D706" s="111">
        <v>2</v>
      </c>
      <c r="E706" s="27">
        <v>0</v>
      </c>
      <c r="F706" s="27">
        <v>0</v>
      </c>
      <c r="G706" s="27">
        <f t="shared" si="49"/>
        <v>0</v>
      </c>
      <c r="H706" s="28">
        <f t="shared" si="50"/>
        <v>0</v>
      </c>
      <c r="I706" s="28">
        <f t="shared" si="51"/>
        <v>0</v>
      </c>
      <c r="J706" s="28">
        <f t="shared" si="52"/>
        <v>0</v>
      </c>
      <c r="K706" s="29"/>
    </row>
    <row r="707" spans="1:11" ht="62.4">
      <c r="A707" s="26" t="s">
        <v>266</v>
      </c>
      <c r="B707" s="95" t="s">
        <v>631</v>
      </c>
      <c r="C707" s="108" t="s">
        <v>313</v>
      </c>
      <c r="D707" s="111">
        <v>2</v>
      </c>
      <c r="E707" s="27">
        <v>0</v>
      </c>
      <c r="F707" s="27">
        <v>0</v>
      </c>
      <c r="G707" s="27">
        <f t="shared" si="49"/>
        <v>0</v>
      </c>
      <c r="H707" s="28">
        <f t="shared" si="50"/>
        <v>0</v>
      </c>
      <c r="I707" s="28">
        <f t="shared" si="51"/>
        <v>0</v>
      </c>
      <c r="J707" s="28">
        <f t="shared" si="52"/>
        <v>0</v>
      </c>
      <c r="K707" s="29"/>
    </row>
    <row r="708" spans="1:11" ht="62.4">
      <c r="A708" s="26" t="s">
        <v>267</v>
      </c>
      <c r="B708" s="95" t="s">
        <v>824</v>
      </c>
      <c r="C708" s="108" t="s">
        <v>313</v>
      </c>
      <c r="D708" s="111">
        <v>1</v>
      </c>
      <c r="E708" s="27">
        <v>0</v>
      </c>
      <c r="F708" s="27">
        <v>0</v>
      </c>
      <c r="G708" s="27">
        <f t="shared" si="49"/>
        <v>0</v>
      </c>
      <c r="H708" s="28">
        <f t="shared" si="50"/>
        <v>0</v>
      </c>
      <c r="I708" s="28">
        <f t="shared" si="51"/>
        <v>0</v>
      </c>
      <c r="J708" s="28">
        <f t="shared" si="52"/>
        <v>0</v>
      </c>
      <c r="K708" s="29"/>
    </row>
    <row r="709" spans="1:11" ht="62.4">
      <c r="A709" s="26" t="s">
        <v>268</v>
      </c>
      <c r="B709" s="95" t="s">
        <v>825</v>
      </c>
      <c r="C709" s="108" t="s">
        <v>313</v>
      </c>
      <c r="D709" s="111">
        <v>3</v>
      </c>
      <c r="E709" s="27">
        <v>0</v>
      </c>
      <c r="F709" s="27">
        <v>0</v>
      </c>
      <c r="G709" s="27">
        <f t="shared" si="49"/>
        <v>0</v>
      </c>
      <c r="H709" s="28">
        <f t="shared" si="50"/>
        <v>0</v>
      </c>
      <c r="I709" s="28">
        <f t="shared" si="51"/>
        <v>0</v>
      </c>
      <c r="J709" s="28">
        <f t="shared" si="52"/>
        <v>0</v>
      </c>
      <c r="K709" s="29"/>
    </row>
    <row r="710" spans="1:11" ht="31.2">
      <c r="A710" s="26" t="s">
        <v>269</v>
      </c>
      <c r="B710" s="95" t="s">
        <v>826</v>
      </c>
      <c r="C710" s="108" t="s">
        <v>313</v>
      </c>
      <c r="D710" s="111">
        <v>1</v>
      </c>
      <c r="E710" s="27">
        <v>0</v>
      </c>
      <c r="F710" s="27">
        <v>0</v>
      </c>
      <c r="G710" s="27">
        <f t="shared" si="49"/>
        <v>0</v>
      </c>
      <c r="H710" s="28">
        <f t="shared" si="50"/>
        <v>0</v>
      </c>
      <c r="I710" s="28">
        <f t="shared" si="51"/>
        <v>0</v>
      </c>
      <c r="J710" s="28">
        <f t="shared" si="52"/>
        <v>0</v>
      </c>
      <c r="K710" s="29"/>
    </row>
    <row r="711" spans="1:11" ht="31.2">
      <c r="A711" s="26" t="s">
        <v>270</v>
      </c>
      <c r="B711" s="95" t="s">
        <v>827</v>
      </c>
      <c r="C711" s="108" t="s">
        <v>313</v>
      </c>
      <c r="D711" s="111">
        <v>2</v>
      </c>
      <c r="E711" s="27">
        <v>0</v>
      </c>
      <c r="F711" s="27">
        <v>0</v>
      </c>
      <c r="G711" s="27">
        <f t="shared" si="49"/>
        <v>0</v>
      </c>
      <c r="H711" s="28">
        <f t="shared" si="50"/>
        <v>0</v>
      </c>
      <c r="I711" s="28">
        <f t="shared" si="51"/>
        <v>0</v>
      </c>
      <c r="J711" s="28">
        <f t="shared" si="52"/>
        <v>0</v>
      </c>
      <c r="K711" s="29"/>
    </row>
    <row r="712" spans="1:11" ht="31.2">
      <c r="A712" s="26" t="s">
        <v>271</v>
      </c>
      <c r="B712" s="95" t="s">
        <v>828</v>
      </c>
      <c r="C712" s="108" t="s">
        <v>313</v>
      </c>
      <c r="D712" s="111">
        <v>1</v>
      </c>
      <c r="E712" s="27">
        <v>0</v>
      </c>
      <c r="F712" s="27">
        <v>0</v>
      </c>
      <c r="G712" s="27">
        <f t="shared" si="49"/>
        <v>0</v>
      </c>
      <c r="H712" s="28">
        <f t="shared" si="50"/>
        <v>0</v>
      </c>
      <c r="I712" s="28">
        <f t="shared" si="51"/>
        <v>0</v>
      </c>
      <c r="J712" s="28">
        <f t="shared" si="52"/>
        <v>0</v>
      </c>
      <c r="K712" s="29"/>
    </row>
    <row r="713" spans="1:11" ht="31.2">
      <c r="A713" s="26" t="s">
        <v>272</v>
      </c>
      <c r="B713" s="95" t="s">
        <v>829</v>
      </c>
      <c r="C713" s="108" t="s">
        <v>313</v>
      </c>
      <c r="D713" s="111">
        <v>1</v>
      </c>
      <c r="E713" s="27">
        <v>0</v>
      </c>
      <c r="F713" s="27">
        <v>0</v>
      </c>
      <c r="G713" s="27">
        <f t="shared" si="49"/>
        <v>0</v>
      </c>
      <c r="H713" s="28">
        <f t="shared" si="50"/>
        <v>0</v>
      </c>
      <c r="I713" s="28">
        <f t="shared" si="51"/>
        <v>0</v>
      </c>
      <c r="J713" s="28">
        <f t="shared" si="52"/>
        <v>0</v>
      </c>
      <c r="K713" s="29"/>
    </row>
    <row r="714" spans="1:11" ht="31.2">
      <c r="A714" s="26" t="s">
        <v>273</v>
      </c>
      <c r="B714" s="95" t="s">
        <v>830</v>
      </c>
      <c r="C714" s="108" t="s">
        <v>313</v>
      </c>
      <c r="D714" s="111">
        <v>2</v>
      </c>
      <c r="E714" s="27">
        <v>0</v>
      </c>
      <c r="F714" s="27">
        <v>0</v>
      </c>
      <c r="G714" s="27">
        <f t="shared" si="49"/>
        <v>0</v>
      </c>
      <c r="H714" s="28">
        <f t="shared" si="50"/>
        <v>0</v>
      </c>
      <c r="I714" s="28">
        <f t="shared" si="51"/>
        <v>0</v>
      </c>
      <c r="J714" s="28">
        <f t="shared" si="52"/>
        <v>0</v>
      </c>
      <c r="K714" s="29"/>
    </row>
    <row r="715" spans="1:11" ht="46.8">
      <c r="A715" s="26" t="s">
        <v>274</v>
      </c>
      <c r="B715" s="95" t="s">
        <v>831</v>
      </c>
      <c r="C715" s="108" t="s">
        <v>313</v>
      </c>
      <c r="D715" s="111">
        <v>1</v>
      </c>
      <c r="E715" s="27">
        <v>0</v>
      </c>
      <c r="F715" s="27">
        <v>0</v>
      </c>
      <c r="G715" s="27">
        <f t="shared" si="49"/>
        <v>0</v>
      </c>
      <c r="H715" s="28">
        <f t="shared" si="50"/>
        <v>0</v>
      </c>
      <c r="I715" s="28">
        <f t="shared" si="51"/>
        <v>0</v>
      </c>
      <c r="J715" s="28">
        <f t="shared" si="52"/>
        <v>0</v>
      </c>
      <c r="K715" s="29"/>
    </row>
    <row r="716" spans="1:11" ht="46.8">
      <c r="A716" s="26" t="s">
        <v>275</v>
      </c>
      <c r="B716" s="95" t="s">
        <v>637</v>
      </c>
      <c r="C716" s="108" t="s">
        <v>313</v>
      </c>
      <c r="D716" s="111">
        <v>12</v>
      </c>
      <c r="E716" s="27">
        <v>0</v>
      </c>
      <c r="F716" s="27">
        <v>0</v>
      </c>
      <c r="G716" s="27">
        <f t="shared" si="49"/>
        <v>0</v>
      </c>
      <c r="H716" s="28">
        <f t="shared" si="50"/>
        <v>0</v>
      </c>
      <c r="I716" s="28">
        <f t="shared" si="51"/>
        <v>0</v>
      </c>
      <c r="J716" s="28">
        <f t="shared" si="52"/>
        <v>0</v>
      </c>
      <c r="K716" s="29"/>
    </row>
    <row r="717" spans="1:11" ht="46.8">
      <c r="A717" s="26" t="s">
        <v>276</v>
      </c>
      <c r="B717" s="95" t="s">
        <v>638</v>
      </c>
      <c r="C717" s="108" t="s">
        <v>313</v>
      </c>
      <c r="D717" s="111">
        <v>3</v>
      </c>
      <c r="E717" s="27">
        <v>0</v>
      </c>
      <c r="F717" s="27">
        <v>0</v>
      </c>
      <c r="G717" s="27">
        <f t="shared" si="49"/>
        <v>0</v>
      </c>
      <c r="H717" s="28">
        <f t="shared" si="50"/>
        <v>0</v>
      </c>
      <c r="I717" s="28">
        <f t="shared" si="51"/>
        <v>0</v>
      </c>
      <c r="J717" s="28">
        <f t="shared" si="52"/>
        <v>0</v>
      </c>
      <c r="K717" s="29"/>
    </row>
    <row r="718" spans="1:11" ht="46.8">
      <c r="A718" s="26" t="s">
        <v>277</v>
      </c>
      <c r="B718" s="95" t="s">
        <v>832</v>
      </c>
      <c r="C718" s="108" t="s">
        <v>313</v>
      </c>
      <c r="D718" s="111">
        <v>16</v>
      </c>
      <c r="E718" s="27">
        <v>0</v>
      </c>
      <c r="F718" s="27">
        <v>0</v>
      </c>
      <c r="G718" s="27">
        <f t="shared" si="49"/>
        <v>0</v>
      </c>
      <c r="H718" s="28">
        <f t="shared" si="50"/>
        <v>0</v>
      </c>
      <c r="I718" s="28">
        <f t="shared" si="51"/>
        <v>0</v>
      </c>
      <c r="J718" s="28">
        <f t="shared" si="52"/>
        <v>0</v>
      </c>
      <c r="K718" s="29"/>
    </row>
    <row r="719" spans="1:11" ht="46.8">
      <c r="A719" s="26" t="s">
        <v>278</v>
      </c>
      <c r="B719" s="95" t="s">
        <v>833</v>
      </c>
      <c r="C719" s="108" t="s">
        <v>313</v>
      </c>
      <c r="D719" s="111">
        <v>2</v>
      </c>
      <c r="E719" s="27">
        <v>0</v>
      </c>
      <c r="F719" s="27">
        <v>0</v>
      </c>
      <c r="G719" s="27">
        <f t="shared" si="49"/>
        <v>0</v>
      </c>
      <c r="H719" s="28">
        <f t="shared" si="50"/>
        <v>0</v>
      </c>
      <c r="I719" s="28">
        <f t="shared" si="51"/>
        <v>0</v>
      </c>
      <c r="J719" s="28">
        <f t="shared" si="52"/>
        <v>0</v>
      </c>
      <c r="K719" s="29"/>
    </row>
    <row r="720" spans="1:11" ht="46.8">
      <c r="A720" s="26" t="s">
        <v>279</v>
      </c>
      <c r="B720" s="95" t="s">
        <v>639</v>
      </c>
      <c r="C720" s="108" t="s">
        <v>313</v>
      </c>
      <c r="D720" s="111">
        <v>14</v>
      </c>
      <c r="E720" s="27">
        <v>0</v>
      </c>
      <c r="F720" s="27">
        <v>0</v>
      </c>
      <c r="G720" s="27">
        <f t="shared" si="49"/>
        <v>0</v>
      </c>
      <c r="H720" s="28">
        <f t="shared" si="50"/>
        <v>0</v>
      </c>
      <c r="I720" s="28">
        <f t="shared" si="51"/>
        <v>0</v>
      </c>
      <c r="J720" s="28">
        <f t="shared" si="52"/>
        <v>0</v>
      </c>
      <c r="K720" s="29"/>
    </row>
    <row r="721" spans="1:11" ht="46.8">
      <c r="A721" s="26" t="s">
        <v>280</v>
      </c>
      <c r="B721" s="95" t="s">
        <v>640</v>
      </c>
      <c r="C721" s="108" t="s">
        <v>313</v>
      </c>
      <c r="D721" s="111">
        <v>9</v>
      </c>
      <c r="E721" s="27">
        <v>0</v>
      </c>
      <c r="F721" s="27">
        <v>0</v>
      </c>
      <c r="G721" s="27">
        <f t="shared" si="49"/>
        <v>0</v>
      </c>
      <c r="H721" s="28">
        <f t="shared" si="50"/>
        <v>0</v>
      </c>
      <c r="I721" s="28">
        <f t="shared" si="51"/>
        <v>0</v>
      </c>
      <c r="J721" s="28">
        <f t="shared" si="52"/>
        <v>0</v>
      </c>
      <c r="K721" s="29"/>
    </row>
    <row r="722" spans="1:11" ht="46.8">
      <c r="A722" s="26" t="s">
        <v>281</v>
      </c>
      <c r="B722" s="95" t="s">
        <v>642</v>
      </c>
      <c r="C722" s="108" t="s">
        <v>313</v>
      </c>
      <c r="D722" s="111">
        <v>5</v>
      </c>
      <c r="E722" s="27">
        <v>0</v>
      </c>
      <c r="F722" s="27">
        <v>0</v>
      </c>
      <c r="G722" s="27">
        <f t="shared" si="49"/>
        <v>0</v>
      </c>
      <c r="H722" s="28">
        <f t="shared" si="50"/>
        <v>0</v>
      </c>
      <c r="I722" s="28">
        <f t="shared" si="51"/>
        <v>0</v>
      </c>
      <c r="J722" s="28">
        <f t="shared" si="52"/>
        <v>0</v>
      </c>
      <c r="K722" s="29"/>
    </row>
    <row r="723" spans="1:11" ht="46.8">
      <c r="A723" s="26" t="s">
        <v>282</v>
      </c>
      <c r="B723" s="95" t="s">
        <v>643</v>
      </c>
      <c r="C723" s="108" t="s">
        <v>313</v>
      </c>
      <c r="D723" s="111">
        <v>2</v>
      </c>
      <c r="E723" s="27">
        <v>0</v>
      </c>
      <c r="F723" s="27">
        <v>0</v>
      </c>
      <c r="G723" s="27">
        <f t="shared" si="49"/>
        <v>0</v>
      </c>
      <c r="H723" s="28">
        <f t="shared" si="50"/>
        <v>0</v>
      </c>
      <c r="I723" s="28">
        <f t="shared" si="51"/>
        <v>0</v>
      </c>
      <c r="J723" s="28">
        <f t="shared" si="52"/>
        <v>0</v>
      </c>
      <c r="K723" s="29"/>
    </row>
    <row r="724" spans="1:11" ht="46.8">
      <c r="A724" s="26" t="s">
        <v>283</v>
      </c>
      <c r="B724" s="95" t="s">
        <v>834</v>
      </c>
      <c r="C724" s="108" t="s">
        <v>313</v>
      </c>
      <c r="D724" s="111">
        <v>6</v>
      </c>
      <c r="E724" s="27">
        <v>0</v>
      </c>
      <c r="F724" s="27">
        <v>0</v>
      </c>
      <c r="G724" s="27">
        <f t="shared" si="49"/>
        <v>0</v>
      </c>
      <c r="H724" s="28">
        <f t="shared" si="50"/>
        <v>0</v>
      </c>
      <c r="I724" s="28">
        <f t="shared" si="51"/>
        <v>0</v>
      </c>
      <c r="J724" s="28">
        <f t="shared" si="52"/>
        <v>0</v>
      </c>
      <c r="K724" s="29"/>
    </row>
    <row r="725" spans="1:11" ht="46.8">
      <c r="A725" s="26" t="s">
        <v>284</v>
      </c>
      <c r="B725" s="95" t="s">
        <v>835</v>
      </c>
      <c r="C725" s="108" t="s">
        <v>313</v>
      </c>
      <c r="D725" s="111">
        <v>1</v>
      </c>
      <c r="E725" s="27">
        <v>0</v>
      </c>
      <c r="F725" s="27">
        <v>0</v>
      </c>
      <c r="G725" s="27">
        <f t="shared" si="49"/>
        <v>0</v>
      </c>
      <c r="H725" s="28">
        <f t="shared" si="50"/>
        <v>0</v>
      </c>
      <c r="I725" s="28">
        <f t="shared" si="51"/>
        <v>0</v>
      </c>
      <c r="J725" s="28">
        <f t="shared" si="52"/>
        <v>0</v>
      </c>
      <c r="K725" s="29"/>
    </row>
    <row r="726" spans="1:11" ht="46.8">
      <c r="A726" s="26" t="s">
        <v>285</v>
      </c>
      <c r="B726" s="95" t="s">
        <v>646</v>
      </c>
      <c r="C726" s="108" t="s">
        <v>313</v>
      </c>
      <c r="D726" s="111">
        <v>1</v>
      </c>
      <c r="E726" s="27">
        <v>0</v>
      </c>
      <c r="F726" s="27">
        <v>0</v>
      </c>
      <c r="G726" s="27">
        <f t="shared" si="49"/>
        <v>0</v>
      </c>
      <c r="H726" s="28">
        <f t="shared" si="50"/>
        <v>0</v>
      </c>
      <c r="I726" s="28">
        <f t="shared" si="51"/>
        <v>0</v>
      </c>
      <c r="J726" s="28">
        <f t="shared" si="52"/>
        <v>0</v>
      </c>
      <c r="K726" s="29"/>
    </row>
    <row r="727" spans="1:11" ht="46.8">
      <c r="A727" s="26" t="s">
        <v>286</v>
      </c>
      <c r="B727" s="95" t="s">
        <v>647</v>
      </c>
      <c r="C727" s="108" t="s">
        <v>313</v>
      </c>
      <c r="D727" s="111">
        <v>2</v>
      </c>
      <c r="E727" s="27">
        <v>0</v>
      </c>
      <c r="F727" s="27">
        <v>0</v>
      </c>
      <c r="G727" s="27">
        <f t="shared" si="49"/>
        <v>0</v>
      </c>
      <c r="H727" s="28">
        <f t="shared" si="50"/>
        <v>0</v>
      </c>
      <c r="I727" s="28">
        <f t="shared" si="51"/>
        <v>0</v>
      </c>
      <c r="J727" s="28">
        <f t="shared" si="52"/>
        <v>0</v>
      </c>
      <c r="K727" s="29"/>
    </row>
    <row r="728" spans="1:11" ht="46.8">
      <c r="A728" s="26" t="s">
        <v>287</v>
      </c>
      <c r="B728" s="95" t="s">
        <v>648</v>
      </c>
      <c r="C728" s="108" t="s">
        <v>313</v>
      </c>
      <c r="D728" s="111">
        <v>5</v>
      </c>
      <c r="E728" s="27">
        <v>0</v>
      </c>
      <c r="F728" s="27">
        <v>0</v>
      </c>
      <c r="G728" s="27">
        <f t="shared" si="49"/>
        <v>0</v>
      </c>
      <c r="H728" s="28">
        <f t="shared" si="50"/>
        <v>0</v>
      </c>
      <c r="I728" s="28">
        <f t="shared" si="51"/>
        <v>0</v>
      </c>
      <c r="J728" s="28">
        <f t="shared" si="52"/>
        <v>0</v>
      </c>
      <c r="K728" s="29"/>
    </row>
    <row r="729" spans="1:11" ht="46.8">
      <c r="A729" s="26" t="s">
        <v>288</v>
      </c>
      <c r="B729" s="95" t="s">
        <v>836</v>
      </c>
      <c r="C729" s="108" t="s">
        <v>313</v>
      </c>
      <c r="D729" s="111">
        <v>4</v>
      </c>
      <c r="E729" s="27">
        <v>0</v>
      </c>
      <c r="F729" s="27">
        <v>0</v>
      </c>
      <c r="G729" s="27">
        <f t="shared" si="49"/>
        <v>0</v>
      </c>
      <c r="H729" s="28">
        <f t="shared" si="50"/>
        <v>0</v>
      </c>
      <c r="I729" s="28">
        <f t="shared" si="51"/>
        <v>0</v>
      </c>
      <c r="J729" s="28">
        <f t="shared" si="52"/>
        <v>0</v>
      </c>
      <c r="K729" s="29"/>
    </row>
    <row r="730" spans="1:11" ht="46.8">
      <c r="A730" s="26" t="s">
        <v>289</v>
      </c>
      <c r="B730" s="95" t="s">
        <v>837</v>
      </c>
      <c r="C730" s="108" t="s">
        <v>313</v>
      </c>
      <c r="D730" s="111">
        <v>2</v>
      </c>
      <c r="E730" s="27">
        <v>0</v>
      </c>
      <c r="F730" s="27">
        <v>0</v>
      </c>
      <c r="G730" s="27">
        <f t="shared" si="49"/>
        <v>0</v>
      </c>
      <c r="H730" s="28">
        <f t="shared" si="50"/>
        <v>0</v>
      </c>
      <c r="I730" s="28">
        <f t="shared" si="51"/>
        <v>0</v>
      </c>
      <c r="J730" s="28">
        <f t="shared" si="52"/>
        <v>0</v>
      </c>
      <c r="K730" s="29"/>
    </row>
    <row r="731" spans="1:11" ht="46.8">
      <c r="A731" s="26" t="s">
        <v>290</v>
      </c>
      <c r="B731" s="95" t="s">
        <v>838</v>
      </c>
      <c r="C731" s="108" t="s">
        <v>313</v>
      </c>
      <c r="D731" s="111">
        <v>5</v>
      </c>
      <c r="E731" s="27">
        <v>0</v>
      </c>
      <c r="F731" s="27">
        <v>0</v>
      </c>
      <c r="G731" s="27">
        <f t="shared" si="49"/>
        <v>0</v>
      </c>
      <c r="H731" s="28">
        <f t="shared" si="50"/>
        <v>0</v>
      </c>
      <c r="I731" s="28">
        <f t="shared" si="51"/>
        <v>0</v>
      </c>
      <c r="J731" s="28">
        <f t="shared" si="52"/>
        <v>0</v>
      </c>
      <c r="K731" s="29"/>
    </row>
    <row r="732" spans="1:11" ht="46.8">
      <c r="A732" s="26" t="s">
        <v>291</v>
      </c>
      <c r="B732" s="95" t="s">
        <v>839</v>
      </c>
      <c r="C732" s="108" t="s">
        <v>313</v>
      </c>
      <c r="D732" s="111">
        <v>3</v>
      </c>
      <c r="E732" s="27">
        <v>0</v>
      </c>
      <c r="F732" s="27">
        <v>0</v>
      </c>
      <c r="G732" s="27">
        <f t="shared" si="49"/>
        <v>0</v>
      </c>
      <c r="H732" s="28">
        <f t="shared" si="50"/>
        <v>0</v>
      </c>
      <c r="I732" s="28">
        <f t="shared" si="51"/>
        <v>0</v>
      </c>
      <c r="J732" s="28">
        <f t="shared" si="52"/>
        <v>0</v>
      </c>
      <c r="K732" s="29"/>
    </row>
    <row r="733" spans="1:11" ht="31.2">
      <c r="A733" s="26" t="s">
        <v>292</v>
      </c>
      <c r="B733" s="95" t="s">
        <v>840</v>
      </c>
      <c r="C733" s="108" t="s">
        <v>313</v>
      </c>
      <c r="D733" s="111">
        <v>1</v>
      </c>
      <c r="E733" s="27">
        <v>0</v>
      </c>
      <c r="F733" s="27">
        <v>0</v>
      </c>
      <c r="G733" s="27">
        <f t="shared" si="49"/>
        <v>0</v>
      </c>
      <c r="H733" s="28">
        <f t="shared" si="50"/>
        <v>0</v>
      </c>
      <c r="I733" s="28">
        <f t="shared" si="51"/>
        <v>0</v>
      </c>
      <c r="J733" s="28">
        <f t="shared" si="52"/>
        <v>0</v>
      </c>
      <c r="K733" s="29"/>
    </row>
    <row r="734" spans="1:11" ht="31.2">
      <c r="A734" s="26" t="s">
        <v>293</v>
      </c>
      <c r="B734" s="95" t="s">
        <v>694</v>
      </c>
      <c r="C734" s="108" t="s">
        <v>313</v>
      </c>
      <c r="D734" s="111">
        <v>23</v>
      </c>
      <c r="E734" s="27">
        <v>0</v>
      </c>
      <c r="F734" s="27">
        <v>0</v>
      </c>
      <c r="G734" s="27">
        <f t="shared" si="49"/>
        <v>0</v>
      </c>
      <c r="H734" s="28">
        <f t="shared" si="50"/>
        <v>0</v>
      </c>
      <c r="I734" s="28">
        <f t="shared" si="51"/>
        <v>0</v>
      </c>
      <c r="J734" s="28">
        <f t="shared" si="52"/>
        <v>0</v>
      </c>
      <c r="K734" s="29"/>
    </row>
    <row r="735" spans="1:11" ht="31.2">
      <c r="A735" s="26" t="s">
        <v>294</v>
      </c>
      <c r="B735" s="95" t="s">
        <v>695</v>
      </c>
      <c r="C735" s="108" t="s">
        <v>313</v>
      </c>
      <c r="D735" s="111">
        <v>7</v>
      </c>
      <c r="E735" s="27">
        <v>0</v>
      </c>
      <c r="F735" s="27">
        <v>0</v>
      </c>
      <c r="G735" s="27">
        <f t="shared" si="49"/>
        <v>0</v>
      </c>
      <c r="H735" s="28">
        <f t="shared" si="50"/>
        <v>0</v>
      </c>
      <c r="I735" s="28">
        <f t="shared" si="51"/>
        <v>0</v>
      </c>
      <c r="J735" s="28">
        <f t="shared" si="52"/>
        <v>0</v>
      </c>
      <c r="K735" s="29"/>
    </row>
    <row r="736" spans="1:11" ht="31.2">
      <c r="A736" s="26" t="s">
        <v>295</v>
      </c>
      <c r="B736" s="95" t="s">
        <v>841</v>
      </c>
      <c r="C736" s="108" t="s">
        <v>313</v>
      </c>
      <c r="D736" s="111">
        <v>1</v>
      </c>
      <c r="E736" s="27">
        <v>0</v>
      </c>
      <c r="F736" s="27">
        <v>0</v>
      </c>
      <c r="G736" s="27">
        <f t="shared" si="49"/>
        <v>0</v>
      </c>
      <c r="H736" s="28">
        <f t="shared" si="50"/>
        <v>0</v>
      </c>
      <c r="I736" s="28">
        <f t="shared" si="51"/>
        <v>0</v>
      </c>
      <c r="J736" s="28">
        <f t="shared" si="52"/>
        <v>0</v>
      </c>
      <c r="K736" s="29"/>
    </row>
    <row r="737" spans="1:11">
      <c r="A737" s="26" t="s">
        <v>296</v>
      </c>
      <c r="B737" s="95" t="s">
        <v>653</v>
      </c>
      <c r="C737" s="108" t="s">
        <v>313</v>
      </c>
      <c r="D737" s="111">
        <v>40</v>
      </c>
      <c r="E737" s="27">
        <v>0</v>
      </c>
      <c r="F737" s="27">
        <v>0</v>
      </c>
      <c r="G737" s="27">
        <f t="shared" si="49"/>
        <v>0</v>
      </c>
      <c r="H737" s="28">
        <f t="shared" si="50"/>
        <v>0</v>
      </c>
      <c r="I737" s="28">
        <f t="shared" si="51"/>
        <v>0</v>
      </c>
      <c r="J737" s="28">
        <f t="shared" si="52"/>
        <v>0</v>
      </c>
      <c r="K737" s="29"/>
    </row>
    <row r="738" spans="1:11" ht="46.8">
      <c r="A738" s="26" t="s">
        <v>297</v>
      </c>
      <c r="B738" s="95" t="s">
        <v>654</v>
      </c>
      <c r="C738" s="108" t="s">
        <v>313</v>
      </c>
      <c r="D738" s="111">
        <v>13</v>
      </c>
      <c r="E738" s="27">
        <v>0</v>
      </c>
      <c r="F738" s="27">
        <v>0</v>
      </c>
      <c r="G738" s="27">
        <f t="shared" si="49"/>
        <v>0</v>
      </c>
      <c r="H738" s="28">
        <f t="shared" si="50"/>
        <v>0</v>
      </c>
      <c r="I738" s="28">
        <f t="shared" si="51"/>
        <v>0</v>
      </c>
      <c r="J738" s="28">
        <f t="shared" si="52"/>
        <v>0</v>
      </c>
      <c r="K738" s="29"/>
    </row>
    <row r="739" spans="1:11" ht="46.8">
      <c r="A739" s="26" t="s">
        <v>298</v>
      </c>
      <c r="B739" s="95" t="s">
        <v>655</v>
      </c>
      <c r="C739" s="108" t="s">
        <v>313</v>
      </c>
      <c r="D739" s="111">
        <v>1</v>
      </c>
      <c r="E739" s="27">
        <v>0</v>
      </c>
      <c r="F739" s="27">
        <v>0</v>
      </c>
      <c r="G739" s="27">
        <f t="shared" si="49"/>
        <v>0</v>
      </c>
      <c r="H739" s="28">
        <f t="shared" si="50"/>
        <v>0</v>
      </c>
      <c r="I739" s="28">
        <f t="shared" si="51"/>
        <v>0</v>
      </c>
      <c r="J739" s="28">
        <f t="shared" si="52"/>
        <v>0</v>
      </c>
      <c r="K739" s="29"/>
    </row>
    <row r="740" spans="1:11" ht="31.2">
      <c r="A740" s="26" t="s">
        <v>299</v>
      </c>
      <c r="B740" s="95" t="s">
        <v>656</v>
      </c>
      <c r="C740" s="108" t="s">
        <v>313</v>
      </c>
      <c r="D740" s="111">
        <v>93</v>
      </c>
      <c r="E740" s="27">
        <v>0</v>
      </c>
      <c r="F740" s="27">
        <v>0</v>
      </c>
      <c r="G740" s="27">
        <f t="shared" si="49"/>
        <v>0</v>
      </c>
      <c r="H740" s="28">
        <f t="shared" si="50"/>
        <v>0</v>
      </c>
      <c r="I740" s="28">
        <f t="shared" si="51"/>
        <v>0</v>
      </c>
      <c r="J740" s="28">
        <f t="shared" si="52"/>
        <v>0</v>
      </c>
      <c r="K740" s="29"/>
    </row>
    <row r="741" spans="1:11" ht="31.2">
      <c r="A741" s="26" t="s">
        <v>300</v>
      </c>
      <c r="B741" s="95" t="s">
        <v>657</v>
      </c>
      <c r="C741" s="108" t="s">
        <v>313</v>
      </c>
      <c r="D741" s="111">
        <v>7</v>
      </c>
      <c r="E741" s="27">
        <v>0</v>
      </c>
      <c r="F741" s="27">
        <v>0</v>
      </c>
      <c r="G741" s="27">
        <f t="shared" si="49"/>
        <v>0</v>
      </c>
      <c r="H741" s="28">
        <f t="shared" si="50"/>
        <v>0</v>
      </c>
      <c r="I741" s="28">
        <f t="shared" si="51"/>
        <v>0</v>
      </c>
      <c r="J741" s="28">
        <f t="shared" si="52"/>
        <v>0</v>
      </c>
      <c r="K741" s="29"/>
    </row>
    <row r="742" spans="1:11" ht="31.2">
      <c r="A742" s="26" t="s">
        <v>301</v>
      </c>
      <c r="B742" s="95" t="s">
        <v>659</v>
      </c>
      <c r="C742" s="108" t="s">
        <v>313</v>
      </c>
      <c r="D742" s="111">
        <v>100</v>
      </c>
      <c r="E742" s="27">
        <v>0</v>
      </c>
      <c r="F742" s="27">
        <v>0</v>
      </c>
      <c r="G742" s="27">
        <f t="shared" si="49"/>
        <v>0</v>
      </c>
      <c r="H742" s="28">
        <f t="shared" si="50"/>
        <v>0</v>
      </c>
      <c r="I742" s="28">
        <f t="shared" si="51"/>
        <v>0</v>
      </c>
      <c r="J742" s="28">
        <f t="shared" si="52"/>
        <v>0</v>
      </c>
      <c r="K742" s="29"/>
    </row>
    <row r="743" spans="1:11" ht="31.2">
      <c r="A743" s="26" t="s">
        <v>302</v>
      </c>
      <c r="B743" s="95" t="s">
        <v>660</v>
      </c>
      <c r="C743" s="108" t="s">
        <v>313</v>
      </c>
      <c r="D743" s="111">
        <v>34</v>
      </c>
      <c r="E743" s="27">
        <v>0</v>
      </c>
      <c r="F743" s="27">
        <v>0</v>
      </c>
      <c r="G743" s="27">
        <f t="shared" si="49"/>
        <v>0</v>
      </c>
      <c r="H743" s="28">
        <f t="shared" si="50"/>
        <v>0</v>
      </c>
      <c r="I743" s="28">
        <f t="shared" si="51"/>
        <v>0</v>
      </c>
      <c r="J743" s="28">
        <f t="shared" si="52"/>
        <v>0</v>
      </c>
      <c r="K743" s="29"/>
    </row>
    <row r="744" spans="1:11" ht="31.2">
      <c r="A744" s="26" t="s">
        <v>303</v>
      </c>
      <c r="B744" s="95" t="s">
        <v>842</v>
      </c>
      <c r="C744" s="108" t="s">
        <v>313</v>
      </c>
      <c r="D744" s="111">
        <v>2</v>
      </c>
      <c r="E744" s="27">
        <v>0</v>
      </c>
      <c r="F744" s="27">
        <v>0</v>
      </c>
      <c r="G744" s="27">
        <f t="shared" si="49"/>
        <v>0</v>
      </c>
      <c r="H744" s="28">
        <f t="shared" si="50"/>
        <v>0</v>
      </c>
      <c r="I744" s="28">
        <f t="shared" si="51"/>
        <v>0</v>
      </c>
      <c r="J744" s="28">
        <f t="shared" si="52"/>
        <v>0</v>
      </c>
      <c r="K744" s="29"/>
    </row>
    <row r="745" spans="1:11" ht="31.2">
      <c r="A745" s="26" t="s">
        <v>304</v>
      </c>
      <c r="B745" s="95" t="s">
        <v>843</v>
      </c>
      <c r="C745" s="108" t="s">
        <v>313</v>
      </c>
      <c r="D745" s="111">
        <v>2</v>
      </c>
      <c r="E745" s="27">
        <v>0</v>
      </c>
      <c r="F745" s="27">
        <v>0</v>
      </c>
      <c r="G745" s="27">
        <f t="shared" si="49"/>
        <v>0</v>
      </c>
      <c r="H745" s="28">
        <f t="shared" si="50"/>
        <v>0</v>
      </c>
      <c r="I745" s="28">
        <f t="shared" si="51"/>
        <v>0</v>
      </c>
      <c r="J745" s="28">
        <f t="shared" si="52"/>
        <v>0</v>
      </c>
      <c r="K745" s="29"/>
    </row>
    <row r="746" spans="1:11" ht="31.2">
      <c r="A746" s="26" t="s">
        <v>305</v>
      </c>
      <c r="B746" s="95" t="s">
        <v>662</v>
      </c>
      <c r="C746" s="108" t="s">
        <v>313</v>
      </c>
      <c r="D746" s="111">
        <v>7</v>
      </c>
      <c r="E746" s="27">
        <v>0</v>
      </c>
      <c r="F746" s="27">
        <v>0</v>
      </c>
      <c r="G746" s="27">
        <f t="shared" si="49"/>
        <v>0</v>
      </c>
      <c r="H746" s="28">
        <f t="shared" si="50"/>
        <v>0</v>
      </c>
      <c r="I746" s="28">
        <f t="shared" si="51"/>
        <v>0</v>
      </c>
      <c r="J746" s="28">
        <f t="shared" si="52"/>
        <v>0</v>
      </c>
      <c r="K746" s="29"/>
    </row>
    <row r="747" spans="1:11" ht="46.8">
      <c r="A747" s="26" t="s">
        <v>306</v>
      </c>
      <c r="B747" s="95" t="s">
        <v>844</v>
      </c>
      <c r="C747" s="108" t="s">
        <v>313</v>
      </c>
      <c r="D747" s="111">
        <v>14</v>
      </c>
      <c r="E747" s="27">
        <v>0</v>
      </c>
      <c r="F747" s="27">
        <v>0</v>
      </c>
      <c r="G747" s="27">
        <f t="shared" si="49"/>
        <v>0</v>
      </c>
      <c r="H747" s="28">
        <f t="shared" si="50"/>
        <v>0</v>
      </c>
      <c r="I747" s="28">
        <f t="shared" si="51"/>
        <v>0</v>
      </c>
      <c r="J747" s="28">
        <f t="shared" si="52"/>
        <v>0</v>
      </c>
      <c r="K747" s="29"/>
    </row>
    <row r="748" spans="1:11">
      <c r="A748" s="26" t="s">
        <v>307</v>
      </c>
      <c r="B748" s="95" t="s">
        <v>664</v>
      </c>
      <c r="C748" s="108" t="s">
        <v>313</v>
      </c>
      <c r="D748" s="111">
        <v>100</v>
      </c>
      <c r="E748" s="27">
        <v>0</v>
      </c>
      <c r="F748" s="27">
        <v>0</v>
      </c>
      <c r="G748" s="27">
        <f t="shared" si="49"/>
        <v>0</v>
      </c>
      <c r="H748" s="28">
        <f t="shared" si="50"/>
        <v>0</v>
      </c>
      <c r="I748" s="28">
        <f t="shared" si="51"/>
        <v>0</v>
      </c>
      <c r="J748" s="28">
        <f t="shared" si="52"/>
        <v>0</v>
      </c>
      <c r="K748" s="29"/>
    </row>
    <row r="749" spans="1:11" ht="46.8">
      <c r="A749" s="26" t="s">
        <v>308</v>
      </c>
      <c r="B749" s="95" t="s">
        <v>672</v>
      </c>
      <c r="C749" s="108" t="s">
        <v>313</v>
      </c>
      <c r="D749" s="111">
        <v>93</v>
      </c>
      <c r="E749" s="27">
        <v>0</v>
      </c>
      <c r="F749" s="27">
        <v>0</v>
      </c>
      <c r="G749" s="27">
        <f t="shared" si="49"/>
        <v>0</v>
      </c>
      <c r="H749" s="28">
        <f t="shared" si="50"/>
        <v>0</v>
      </c>
      <c r="I749" s="28">
        <f t="shared" si="51"/>
        <v>0</v>
      </c>
      <c r="J749" s="28">
        <f t="shared" si="52"/>
        <v>0</v>
      </c>
      <c r="K749" s="29"/>
    </row>
    <row r="750" spans="1:11" ht="31.2">
      <c r="A750" s="26" t="s">
        <v>309</v>
      </c>
      <c r="B750" s="95" t="s">
        <v>845</v>
      </c>
      <c r="C750" s="108" t="s">
        <v>313</v>
      </c>
      <c r="D750" s="111">
        <v>8</v>
      </c>
      <c r="E750" s="27">
        <v>0</v>
      </c>
      <c r="F750" s="27">
        <v>0</v>
      </c>
      <c r="G750" s="27">
        <f t="shared" si="49"/>
        <v>0</v>
      </c>
      <c r="H750" s="28">
        <f t="shared" si="50"/>
        <v>0</v>
      </c>
      <c r="I750" s="28">
        <f t="shared" si="51"/>
        <v>0</v>
      </c>
      <c r="J750" s="28">
        <f t="shared" si="52"/>
        <v>0</v>
      </c>
      <c r="K750" s="29"/>
    </row>
    <row r="751" spans="1:11" ht="31.2">
      <c r="A751" s="26" t="s">
        <v>322</v>
      </c>
      <c r="B751" s="95" t="s">
        <v>846</v>
      </c>
      <c r="C751" s="108" t="s">
        <v>313</v>
      </c>
      <c r="D751" s="111">
        <v>5</v>
      </c>
      <c r="E751" s="27">
        <v>0</v>
      </c>
      <c r="F751" s="27">
        <v>0</v>
      </c>
      <c r="G751" s="27">
        <f t="shared" ref="G751:G802" si="53">E751+F751</f>
        <v>0</v>
      </c>
      <c r="H751" s="28">
        <f t="shared" ref="H751:H802" si="54">D751*E751</f>
        <v>0</v>
      </c>
      <c r="I751" s="28">
        <f t="shared" ref="I751:I802" si="55">D751*F751</f>
        <v>0</v>
      </c>
      <c r="J751" s="28">
        <f t="shared" ref="J751:J802" si="56">H751+I751</f>
        <v>0</v>
      </c>
      <c r="K751" s="29"/>
    </row>
    <row r="752" spans="1:11" ht="31.2">
      <c r="A752" s="26" t="s">
        <v>323</v>
      </c>
      <c r="B752" s="95" t="s">
        <v>675</v>
      </c>
      <c r="C752" s="108" t="s">
        <v>313</v>
      </c>
      <c r="D752" s="111">
        <v>8</v>
      </c>
      <c r="E752" s="27">
        <v>0</v>
      </c>
      <c r="F752" s="27">
        <v>0</v>
      </c>
      <c r="G752" s="27">
        <f t="shared" si="53"/>
        <v>0</v>
      </c>
      <c r="H752" s="28">
        <f t="shared" si="54"/>
        <v>0</v>
      </c>
      <c r="I752" s="28">
        <f t="shared" si="55"/>
        <v>0</v>
      </c>
      <c r="J752" s="28">
        <f t="shared" si="56"/>
        <v>0</v>
      </c>
      <c r="K752" s="29"/>
    </row>
    <row r="753" spans="1:11" ht="31.2">
      <c r="A753" s="26" t="s">
        <v>324</v>
      </c>
      <c r="B753" s="95" t="s">
        <v>676</v>
      </c>
      <c r="C753" s="108" t="s">
        <v>313</v>
      </c>
      <c r="D753" s="111">
        <v>6</v>
      </c>
      <c r="E753" s="27">
        <v>0</v>
      </c>
      <c r="F753" s="27">
        <v>0</v>
      </c>
      <c r="G753" s="27">
        <f t="shared" si="53"/>
        <v>0</v>
      </c>
      <c r="H753" s="28">
        <f t="shared" si="54"/>
        <v>0</v>
      </c>
      <c r="I753" s="28">
        <f t="shared" si="55"/>
        <v>0</v>
      </c>
      <c r="J753" s="28">
        <f t="shared" si="56"/>
        <v>0</v>
      </c>
      <c r="K753" s="29"/>
    </row>
    <row r="754" spans="1:11">
      <c r="A754" s="26" t="s">
        <v>325</v>
      </c>
      <c r="B754" s="95" t="s">
        <v>691</v>
      </c>
      <c r="C754" s="108" t="s">
        <v>313</v>
      </c>
      <c r="D754" s="111">
        <v>2</v>
      </c>
      <c r="E754" s="27">
        <v>0</v>
      </c>
      <c r="F754" s="27">
        <v>0</v>
      </c>
      <c r="G754" s="27">
        <f t="shared" si="53"/>
        <v>0</v>
      </c>
      <c r="H754" s="28">
        <f t="shared" si="54"/>
        <v>0</v>
      </c>
      <c r="I754" s="28">
        <f t="shared" si="55"/>
        <v>0</v>
      </c>
      <c r="J754" s="28">
        <f t="shared" si="56"/>
        <v>0</v>
      </c>
      <c r="K754" s="29"/>
    </row>
    <row r="755" spans="1:11">
      <c r="A755" s="26" t="s">
        <v>326</v>
      </c>
      <c r="B755" s="95" t="s">
        <v>680</v>
      </c>
      <c r="C755" s="108" t="s">
        <v>313</v>
      </c>
      <c r="D755" s="111">
        <v>1</v>
      </c>
      <c r="E755" s="27">
        <v>0</v>
      </c>
      <c r="F755" s="27">
        <v>0</v>
      </c>
      <c r="G755" s="27">
        <f t="shared" si="53"/>
        <v>0</v>
      </c>
      <c r="H755" s="28">
        <f t="shared" si="54"/>
        <v>0</v>
      </c>
      <c r="I755" s="28">
        <f t="shared" si="55"/>
        <v>0</v>
      </c>
      <c r="J755" s="28">
        <f t="shared" si="56"/>
        <v>0</v>
      </c>
      <c r="K755" s="29"/>
    </row>
    <row r="756" spans="1:11" ht="31.2">
      <c r="A756" s="26" t="s">
        <v>327</v>
      </c>
      <c r="B756" s="95" t="s">
        <v>692</v>
      </c>
      <c r="C756" s="108" t="s">
        <v>313</v>
      </c>
      <c r="D756" s="111">
        <v>6</v>
      </c>
      <c r="E756" s="27">
        <v>0</v>
      </c>
      <c r="F756" s="27">
        <v>0</v>
      </c>
      <c r="G756" s="27">
        <f t="shared" si="53"/>
        <v>0</v>
      </c>
      <c r="H756" s="28">
        <f t="shared" si="54"/>
        <v>0</v>
      </c>
      <c r="I756" s="28">
        <f t="shared" si="55"/>
        <v>0</v>
      </c>
      <c r="J756" s="28">
        <f t="shared" si="56"/>
        <v>0</v>
      </c>
      <c r="K756" s="29"/>
    </row>
    <row r="757" spans="1:11" ht="31.2">
      <c r="A757" s="26" t="s">
        <v>328</v>
      </c>
      <c r="B757" s="95" t="s">
        <v>694</v>
      </c>
      <c r="C757" s="108" t="s">
        <v>313</v>
      </c>
      <c r="D757" s="111">
        <v>6</v>
      </c>
      <c r="E757" s="27">
        <v>0</v>
      </c>
      <c r="F757" s="27">
        <v>0</v>
      </c>
      <c r="G757" s="27">
        <f t="shared" si="53"/>
        <v>0</v>
      </c>
      <c r="H757" s="28">
        <f t="shared" si="54"/>
        <v>0</v>
      </c>
      <c r="I757" s="28">
        <f t="shared" si="55"/>
        <v>0</v>
      </c>
      <c r="J757" s="28">
        <f t="shared" si="56"/>
        <v>0</v>
      </c>
      <c r="K757" s="29"/>
    </row>
    <row r="758" spans="1:11" ht="31.2">
      <c r="A758" s="26" t="s">
        <v>329</v>
      </c>
      <c r="B758" s="95" t="s">
        <v>702</v>
      </c>
      <c r="C758" s="108" t="s">
        <v>313</v>
      </c>
      <c r="D758" s="111">
        <v>6</v>
      </c>
      <c r="E758" s="27">
        <v>0</v>
      </c>
      <c r="F758" s="27">
        <v>0</v>
      </c>
      <c r="G758" s="27">
        <f t="shared" si="53"/>
        <v>0</v>
      </c>
      <c r="H758" s="28">
        <f t="shared" si="54"/>
        <v>0</v>
      </c>
      <c r="I758" s="28">
        <f t="shared" si="55"/>
        <v>0</v>
      </c>
      <c r="J758" s="28">
        <f t="shared" si="56"/>
        <v>0</v>
      </c>
      <c r="K758" s="29"/>
    </row>
    <row r="759" spans="1:11" ht="46.8">
      <c r="A759" s="26" t="s">
        <v>330</v>
      </c>
      <c r="B759" s="95" t="s">
        <v>663</v>
      </c>
      <c r="C759" s="108" t="s">
        <v>313</v>
      </c>
      <c r="D759" s="111">
        <v>6</v>
      </c>
      <c r="E759" s="27">
        <v>0</v>
      </c>
      <c r="F759" s="27">
        <v>0</v>
      </c>
      <c r="G759" s="27">
        <f t="shared" si="53"/>
        <v>0</v>
      </c>
      <c r="H759" s="28">
        <f t="shared" si="54"/>
        <v>0</v>
      </c>
      <c r="I759" s="28">
        <f t="shared" si="55"/>
        <v>0</v>
      </c>
      <c r="J759" s="28">
        <f t="shared" si="56"/>
        <v>0</v>
      </c>
      <c r="K759" s="29"/>
    </row>
    <row r="760" spans="1:11">
      <c r="A760" s="26" t="s">
        <v>331</v>
      </c>
      <c r="B760" s="95" t="s">
        <v>847</v>
      </c>
      <c r="C760" s="108" t="s">
        <v>313</v>
      </c>
      <c r="D760" s="111">
        <v>1</v>
      </c>
      <c r="E760" s="27">
        <v>0</v>
      </c>
      <c r="F760" s="27">
        <v>0</v>
      </c>
      <c r="G760" s="27">
        <f t="shared" si="53"/>
        <v>0</v>
      </c>
      <c r="H760" s="28">
        <f t="shared" si="54"/>
        <v>0</v>
      </c>
      <c r="I760" s="28">
        <f t="shared" si="55"/>
        <v>0</v>
      </c>
      <c r="J760" s="28">
        <f t="shared" si="56"/>
        <v>0</v>
      </c>
      <c r="K760" s="29"/>
    </row>
    <row r="761" spans="1:11">
      <c r="A761" s="26" t="s">
        <v>332</v>
      </c>
      <c r="B761" s="95" t="s">
        <v>848</v>
      </c>
      <c r="C761" s="108" t="s">
        <v>313</v>
      </c>
      <c r="D761" s="111">
        <v>1</v>
      </c>
      <c r="E761" s="27">
        <v>0</v>
      </c>
      <c r="F761" s="27">
        <v>0</v>
      </c>
      <c r="G761" s="27">
        <f t="shared" si="53"/>
        <v>0</v>
      </c>
      <c r="H761" s="28">
        <f t="shared" si="54"/>
        <v>0</v>
      </c>
      <c r="I761" s="28">
        <f t="shared" si="55"/>
        <v>0</v>
      </c>
      <c r="J761" s="28">
        <f t="shared" si="56"/>
        <v>0</v>
      </c>
      <c r="K761" s="29"/>
    </row>
    <row r="762" spans="1:11" ht="31.2">
      <c r="A762" s="26" t="s">
        <v>333</v>
      </c>
      <c r="B762" s="95" t="s">
        <v>700</v>
      </c>
      <c r="C762" s="108" t="s">
        <v>313</v>
      </c>
      <c r="D762" s="111">
        <v>1</v>
      </c>
      <c r="E762" s="27">
        <v>0</v>
      </c>
      <c r="F762" s="27">
        <v>0</v>
      </c>
      <c r="G762" s="27">
        <f t="shared" si="53"/>
        <v>0</v>
      </c>
      <c r="H762" s="28">
        <f t="shared" si="54"/>
        <v>0</v>
      </c>
      <c r="I762" s="28">
        <f t="shared" si="55"/>
        <v>0</v>
      </c>
      <c r="J762" s="28">
        <f t="shared" si="56"/>
        <v>0</v>
      </c>
      <c r="K762" s="29"/>
    </row>
    <row r="763" spans="1:11" ht="31.2">
      <c r="A763" s="26" t="s">
        <v>334</v>
      </c>
      <c r="B763" s="95" t="s">
        <v>701</v>
      </c>
      <c r="C763" s="108" t="s">
        <v>313</v>
      </c>
      <c r="D763" s="111">
        <v>2</v>
      </c>
      <c r="E763" s="27">
        <v>0</v>
      </c>
      <c r="F763" s="27">
        <v>0</v>
      </c>
      <c r="G763" s="27">
        <f t="shared" si="53"/>
        <v>0</v>
      </c>
      <c r="H763" s="28">
        <f t="shared" si="54"/>
        <v>0</v>
      </c>
      <c r="I763" s="28">
        <f t="shared" si="55"/>
        <v>0</v>
      </c>
      <c r="J763" s="28">
        <f t="shared" si="56"/>
        <v>0</v>
      </c>
      <c r="K763" s="29"/>
    </row>
    <row r="764" spans="1:11">
      <c r="A764" s="26" t="s">
        <v>335</v>
      </c>
      <c r="B764" s="95" t="s">
        <v>691</v>
      </c>
      <c r="C764" s="108" t="s">
        <v>313</v>
      </c>
      <c r="D764" s="111">
        <v>2</v>
      </c>
      <c r="E764" s="27">
        <v>0</v>
      </c>
      <c r="F764" s="27">
        <v>0</v>
      </c>
      <c r="G764" s="27">
        <f t="shared" si="53"/>
        <v>0</v>
      </c>
      <c r="H764" s="28">
        <f t="shared" si="54"/>
        <v>0</v>
      </c>
      <c r="I764" s="28">
        <f t="shared" si="55"/>
        <v>0</v>
      </c>
      <c r="J764" s="28">
        <f t="shared" si="56"/>
        <v>0</v>
      </c>
      <c r="K764" s="29"/>
    </row>
    <row r="765" spans="1:11">
      <c r="A765" s="26" t="s">
        <v>336</v>
      </c>
      <c r="B765" s="95" t="s">
        <v>680</v>
      </c>
      <c r="C765" s="108" t="s">
        <v>313</v>
      </c>
      <c r="D765" s="111">
        <v>1</v>
      </c>
      <c r="E765" s="27">
        <v>0</v>
      </c>
      <c r="F765" s="27">
        <v>0</v>
      </c>
      <c r="G765" s="27">
        <f t="shared" si="53"/>
        <v>0</v>
      </c>
      <c r="H765" s="28">
        <f t="shared" si="54"/>
        <v>0</v>
      </c>
      <c r="I765" s="28">
        <f t="shared" si="55"/>
        <v>0</v>
      </c>
      <c r="J765" s="28">
        <f t="shared" si="56"/>
        <v>0</v>
      </c>
      <c r="K765" s="29"/>
    </row>
    <row r="766" spans="1:11" ht="31.2">
      <c r="A766" s="26" t="s">
        <v>337</v>
      </c>
      <c r="B766" s="95" t="s">
        <v>692</v>
      </c>
      <c r="C766" s="108" t="s">
        <v>313</v>
      </c>
      <c r="D766" s="111">
        <v>5</v>
      </c>
      <c r="E766" s="27">
        <v>0</v>
      </c>
      <c r="F766" s="27">
        <v>0</v>
      </c>
      <c r="G766" s="27">
        <f t="shared" si="53"/>
        <v>0</v>
      </c>
      <c r="H766" s="28">
        <f t="shared" si="54"/>
        <v>0</v>
      </c>
      <c r="I766" s="28">
        <f t="shared" si="55"/>
        <v>0</v>
      </c>
      <c r="J766" s="28">
        <f t="shared" si="56"/>
        <v>0</v>
      </c>
      <c r="K766" s="29"/>
    </row>
    <row r="767" spans="1:11" ht="31.2">
      <c r="A767" s="26" t="s">
        <v>350</v>
      </c>
      <c r="B767" s="95" t="s">
        <v>849</v>
      </c>
      <c r="C767" s="108" t="s">
        <v>313</v>
      </c>
      <c r="D767" s="111">
        <v>1</v>
      </c>
      <c r="E767" s="27">
        <v>0</v>
      </c>
      <c r="F767" s="27">
        <v>0</v>
      </c>
      <c r="G767" s="27">
        <f t="shared" si="53"/>
        <v>0</v>
      </c>
      <c r="H767" s="28">
        <f t="shared" si="54"/>
        <v>0</v>
      </c>
      <c r="I767" s="28">
        <f t="shared" si="55"/>
        <v>0</v>
      </c>
      <c r="J767" s="28">
        <f t="shared" si="56"/>
        <v>0</v>
      </c>
      <c r="K767" s="29"/>
    </row>
    <row r="768" spans="1:11" ht="31.2">
      <c r="A768" s="26" t="s">
        <v>351</v>
      </c>
      <c r="B768" s="95" t="s">
        <v>694</v>
      </c>
      <c r="C768" s="108" t="s">
        <v>313</v>
      </c>
      <c r="D768" s="111">
        <v>5</v>
      </c>
      <c r="E768" s="27">
        <v>0</v>
      </c>
      <c r="F768" s="27">
        <v>0</v>
      </c>
      <c r="G768" s="27">
        <f t="shared" si="53"/>
        <v>0</v>
      </c>
      <c r="H768" s="28">
        <f t="shared" si="54"/>
        <v>0</v>
      </c>
      <c r="I768" s="28">
        <f t="shared" si="55"/>
        <v>0</v>
      </c>
      <c r="J768" s="28">
        <f t="shared" si="56"/>
        <v>0</v>
      </c>
      <c r="K768" s="29"/>
    </row>
    <row r="769" spans="1:11" ht="31.2">
      <c r="A769" s="26" t="s">
        <v>352</v>
      </c>
      <c r="B769" s="95" t="s">
        <v>841</v>
      </c>
      <c r="C769" s="108" t="s">
        <v>313</v>
      </c>
      <c r="D769" s="111">
        <v>1</v>
      </c>
      <c r="E769" s="27">
        <v>0</v>
      </c>
      <c r="F769" s="27">
        <v>0</v>
      </c>
      <c r="G769" s="27">
        <f t="shared" si="53"/>
        <v>0</v>
      </c>
      <c r="H769" s="28">
        <f t="shared" si="54"/>
        <v>0</v>
      </c>
      <c r="I769" s="28">
        <f t="shared" si="55"/>
        <v>0</v>
      </c>
      <c r="J769" s="28">
        <f t="shared" si="56"/>
        <v>0</v>
      </c>
      <c r="K769" s="29"/>
    </row>
    <row r="770" spans="1:11" ht="31.2">
      <c r="A770" s="26" t="s">
        <v>353</v>
      </c>
      <c r="B770" s="95" t="s">
        <v>702</v>
      </c>
      <c r="C770" s="108" t="s">
        <v>313</v>
      </c>
      <c r="D770" s="111">
        <v>5</v>
      </c>
      <c r="E770" s="27">
        <v>0</v>
      </c>
      <c r="F770" s="27">
        <v>0</v>
      </c>
      <c r="G770" s="27">
        <f t="shared" si="53"/>
        <v>0</v>
      </c>
      <c r="H770" s="28">
        <f t="shared" si="54"/>
        <v>0</v>
      </c>
      <c r="I770" s="28">
        <f t="shared" si="55"/>
        <v>0</v>
      </c>
      <c r="J770" s="28">
        <f t="shared" si="56"/>
        <v>0</v>
      </c>
      <c r="K770" s="29"/>
    </row>
    <row r="771" spans="1:11" ht="31.2">
      <c r="A771" s="26" t="s">
        <v>354</v>
      </c>
      <c r="B771" s="95" t="s">
        <v>850</v>
      </c>
      <c r="C771" s="108" t="s">
        <v>313</v>
      </c>
      <c r="D771" s="111">
        <v>1</v>
      </c>
      <c r="E771" s="27">
        <v>0</v>
      </c>
      <c r="F771" s="27">
        <v>0</v>
      </c>
      <c r="G771" s="27">
        <f t="shared" si="53"/>
        <v>0</v>
      </c>
      <c r="H771" s="28">
        <f t="shared" si="54"/>
        <v>0</v>
      </c>
      <c r="I771" s="28">
        <f t="shared" si="55"/>
        <v>0</v>
      </c>
      <c r="J771" s="28">
        <f t="shared" si="56"/>
        <v>0</v>
      </c>
      <c r="K771" s="29"/>
    </row>
    <row r="772" spans="1:11" ht="46.8">
      <c r="A772" s="26" t="s">
        <v>355</v>
      </c>
      <c r="B772" s="95" t="s">
        <v>663</v>
      </c>
      <c r="C772" s="108" t="s">
        <v>313</v>
      </c>
      <c r="D772" s="111">
        <v>6</v>
      </c>
      <c r="E772" s="27">
        <v>0</v>
      </c>
      <c r="F772" s="27">
        <v>0</v>
      </c>
      <c r="G772" s="27">
        <f t="shared" si="53"/>
        <v>0</v>
      </c>
      <c r="H772" s="28">
        <f t="shared" si="54"/>
        <v>0</v>
      </c>
      <c r="I772" s="28">
        <f t="shared" si="55"/>
        <v>0</v>
      </c>
      <c r="J772" s="28">
        <f t="shared" si="56"/>
        <v>0</v>
      </c>
      <c r="K772" s="29"/>
    </row>
    <row r="773" spans="1:11">
      <c r="A773" s="26" t="s">
        <v>356</v>
      </c>
      <c r="B773" s="95" t="s">
        <v>847</v>
      </c>
      <c r="C773" s="108" t="s">
        <v>313</v>
      </c>
      <c r="D773" s="111">
        <v>1</v>
      </c>
      <c r="E773" s="27">
        <v>0</v>
      </c>
      <c r="F773" s="27">
        <v>0</v>
      </c>
      <c r="G773" s="27">
        <f t="shared" si="53"/>
        <v>0</v>
      </c>
      <c r="H773" s="28">
        <f t="shared" si="54"/>
        <v>0</v>
      </c>
      <c r="I773" s="28">
        <f t="shared" si="55"/>
        <v>0</v>
      </c>
      <c r="J773" s="28">
        <f t="shared" si="56"/>
        <v>0</v>
      </c>
      <c r="K773" s="29"/>
    </row>
    <row r="774" spans="1:11">
      <c r="A774" s="26" t="s">
        <v>357</v>
      </c>
      <c r="B774" s="95" t="s">
        <v>848</v>
      </c>
      <c r="C774" s="108" t="s">
        <v>313</v>
      </c>
      <c r="D774" s="111">
        <v>1</v>
      </c>
      <c r="E774" s="27">
        <v>0</v>
      </c>
      <c r="F774" s="27">
        <v>0</v>
      </c>
      <c r="G774" s="27">
        <f t="shared" si="53"/>
        <v>0</v>
      </c>
      <c r="H774" s="28">
        <f t="shared" si="54"/>
        <v>0</v>
      </c>
      <c r="I774" s="28">
        <f t="shared" si="55"/>
        <v>0</v>
      </c>
      <c r="J774" s="28">
        <f t="shared" si="56"/>
        <v>0</v>
      </c>
      <c r="K774" s="29"/>
    </row>
    <row r="775" spans="1:11" ht="31.2">
      <c r="A775" s="26" t="s">
        <v>358</v>
      </c>
      <c r="B775" s="95" t="s">
        <v>700</v>
      </c>
      <c r="C775" s="108" t="s">
        <v>313</v>
      </c>
      <c r="D775" s="111">
        <v>1</v>
      </c>
      <c r="E775" s="27">
        <v>0</v>
      </c>
      <c r="F775" s="27">
        <v>0</v>
      </c>
      <c r="G775" s="27">
        <f t="shared" si="53"/>
        <v>0</v>
      </c>
      <c r="H775" s="28">
        <f t="shared" si="54"/>
        <v>0</v>
      </c>
      <c r="I775" s="28">
        <f t="shared" si="55"/>
        <v>0</v>
      </c>
      <c r="J775" s="28">
        <f t="shared" si="56"/>
        <v>0</v>
      </c>
      <c r="K775" s="29"/>
    </row>
    <row r="776" spans="1:11" ht="31.2">
      <c r="A776" s="26" t="s">
        <v>359</v>
      </c>
      <c r="B776" s="95" t="s">
        <v>851</v>
      </c>
      <c r="C776" s="108" t="s">
        <v>313</v>
      </c>
      <c r="D776" s="111">
        <v>2</v>
      </c>
      <c r="E776" s="27">
        <v>0</v>
      </c>
      <c r="F776" s="27">
        <v>0</v>
      </c>
      <c r="G776" s="27">
        <f t="shared" si="53"/>
        <v>0</v>
      </c>
      <c r="H776" s="28">
        <f t="shared" si="54"/>
        <v>0</v>
      </c>
      <c r="I776" s="28">
        <f t="shared" si="55"/>
        <v>0</v>
      </c>
      <c r="J776" s="28">
        <f t="shared" si="56"/>
        <v>0</v>
      </c>
      <c r="K776" s="29"/>
    </row>
    <row r="777" spans="1:11">
      <c r="A777" s="26" t="s">
        <v>360</v>
      </c>
      <c r="B777" s="95" t="s">
        <v>852</v>
      </c>
      <c r="C777" s="108" t="s">
        <v>313</v>
      </c>
      <c r="D777" s="111">
        <v>2</v>
      </c>
      <c r="E777" s="27">
        <v>0</v>
      </c>
      <c r="F777" s="27">
        <v>0</v>
      </c>
      <c r="G777" s="27">
        <f t="shared" si="53"/>
        <v>0</v>
      </c>
      <c r="H777" s="28">
        <f t="shared" si="54"/>
        <v>0</v>
      </c>
      <c r="I777" s="28">
        <f t="shared" si="55"/>
        <v>0</v>
      </c>
      <c r="J777" s="28">
        <f t="shared" si="56"/>
        <v>0</v>
      </c>
      <c r="K777" s="29"/>
    </row>
    <row r="778" spans="1:11">
      <c r="A778" s="26" t="s">
        <v>361</v>
      </c>
      <c r="B778" s="95" t="s">
        <v>853</v>
      </c>
      <c r="C778" s="108" t="s">
        <v>313</v>
      </c>
      <c r="D778" s="111">
        <v>1</v>
      </c>
      <c r="E778" s="27">
        <v>0</v>
      </c>
      <c r="F778" s="27">
        <v>0</v>
      </c>
      <c r="G778" s="27">
        <f t="shared" si="53"/>
        <v>0</v>
      </c>
      <c r="H778" s="28">
        <f t="shared" si="54"/>
        <v>0</v>
      </c>
      <c r="I778" s="28">
        <f t="shared" si="55"/>
        <v>0</v>
      </c>
      <c r="J778" s="28">
        <f t="shared" si="56"/>
        <v>0</v>
      </c>
      <c r="K778" s="29"/>
    </row>
    <row r="779" spans="1:11" ht="31.2">
      <c r="A779" s="26" t="s">
        <v>362</v>
      </c>
      <c r="B779" s="95" t="s">
        <v>692</v>
      </c>
      <c r="C779" s="108" t="s">
        <v>313</v>
      </c>
      <c r="D779" s="111">
        <v>6</v>
      </c>
      <c r="E779" s="27">
        <v>0</v>
      </c>
      <c r="F779" s="27">
        <v>0</v>
      </c>
      <c r="G779" s="27">
        <f t="shared" si="53"/>
        <v>0</v>
      </c>
      <c r="H779" s="28">
        <f t="shared" si="54"/>
        <v>0</v>
      </c>
      <c r="I779" s="28">
        <f t="shared" si="55"/>
        <v>0</v>
      </c>
      <c r="J779" s="28">
        <f t="shared" si="56"/>
        <v>0</v>
      </c>
      <c r="K779" s="29"/>
    </row>
    <row r="780" spans="1:11" ht="31.2">
      <c r="A780" s="26" t="s">
        <v>363</v>
      </c>
      <c r="B780" s="95" t="s">
        <v>693</v>
      </c>
      <c r="C780" s="108" t="s">
        <v>313</v>
      </c>
      <c r="D780" s="111">
        <v>3</v>
      </c>
      <c r="E780" s="27">
        <v>0</v>
      </c>
      <c r="F780" s="27">
        <v>0</v>
      </c>
      <c r="G780" s="27">
        <f t="shared" si="53"/>
        <v>0</v>
      </c>
      <c r="H780" s="28">
        <f t="shared" si="54"/>
        <v>0</v>
      </c>
      <c r="I780" s="28">
        <f t="shared" si="55"/>
        <v>0</v>
      </c>
      <c r="J780" s="28">
        <f t="shared" si="56"/>
        <v>0</v>
      </c>
      <c r="K780" s="29"/>
    </row>
    <row r="781" spans="1:11" ht="31.2">
      <c r="A781" s="26" t="s">
        <v>364</v>
      </c>
      <c r="B781" s="95" t="s">
        <v>694</v>
      </c>
      <c r="C781" s="108" t="s">
        <v>313</v>
      </c>
      <c r="D781" s="111">
        <v>6</v>
      </c>
      <c r="E781" s="27">
        <v>0</v>
      </c>
      <c r="F781" s="27">
        <v>0</v>
      </c>
      <c r="G781" s="27">
        <f t="shared" si="53"/>
        <v>0</v>
      </c>
      <c r="H781" s="28">
        <f t="shared" si="54"/>
        <v>0</v>
      </c>
      <c r="I781" s="28">
        <f t="shared" si="55"/>
        <v>0</v>
      </c>
      <c r="J781" s="28">
        <f t="shared" si="56"/>
        <v>0</v>
      </c>
      <c r="K781" s="29"/>
    </row>
    <row r="782" spans="1:11" ht="31.2">
      <c r="A782" s="26" t="s">
        <v>365</v>
      </c>
      <c r="B782" s="95" t="s">
        <v>695</v>
      </c>
      <c r="C782" s="108" t="s">
        <v>313</v>
      </c>
      <c r="D782" s="111">
        <v>3</v>
      </c>
      <c r="E782" s="27">
        <v>0</v>
      </c>
      <c r="F782" s="27">
        <v>0</v>
      </c>
      <c r="G782" s="27">
        <f t="shared" si="53"/>
        <v>0</v>
      </c>
      <c r="H782" s="28">
        <f t="shared" si="54"/>
        <v>0</v>
      </c>
      <c r="I782" s="28">
        <f t="shared" si="55"/>
        <v>0</v>
      </c>
      <c r="J782" s="28">
        <f t="shared" si="56"/>
        <v>0</v>
      </c>
      <c r="K782" s="29"/>
    </row>
    <row r="783" spans="1:11" ht="31.2">
      <c r="A783" s="26" t="s">
        <v>366</v>
      </c>
      <c r="B783" s="95" t="s">
        <v>854</v>
      </c>
      <c r="C783" s="108" t="s">
        <v>313</v>
      </c>
      <c r="D783" s="111">
        <v>6</v>
      </c>
      <c r="E783" s="27">
        <v>0</v>
      </c>
      <c r="F783" s="27">
        <v>0</v>
      </c>
      <c r="G783" s="27">
        <f t="shared" si="53"/>
        <v>0</v>
      </c>
      <c r="H783" s="28">
        <f t="shared" si="54"/>
        <v>0</v>
      </c>
      <c r="I783" s="28">
        <f t="shared" si="55"/>
        <v>0</v>
      </c>
      <c r="J783" s="28">
        <f t="shared" si="56"/>
        <v>0</v>
      </c>
      <c r="K783" s="29"/>
    </row>
    <row r="784" spans="1:11" ht="31.2">
      <c r="A784" s="26" t="s">
        <v>367</v>
      </c>
      <c r="B784" s="95" t="s">
        <v>855</v>
      </c>
      <c r="C784" s="108" t="s">
        <v>313</v>
      </c>
      <c r="D784" s="111">
        <v>3</v>
      </c>
      <c r="E784" s="27">
        <v>0</v>
      </c>
      <c r="F784" s="27">
        <v>0</v>
      </c>
      <c r="G784" s="27">
        <f t="shared" si="53"/>
        <v>0</v>
      </c>
      <c r="H784" s="28">
        <f t="shared" si="54"/>
        <v>0</v>
      </c>
      <c r="I784" s="28">
        <f t="shared" si="55"/>
        <v>0</v>
      </c>
      <c r="J784" s="28">
        <f t="shared" si="56"/>
        <v>0</v>
      </c>
      <c r="K784" s="29"/>
    </row>
    <row r="785" spans="1:11" ht="46.8">
      <c r="A785" s="26" t="s">
        <v>368</v>
      </c>
      <c r="B785" s="95" t="s">
        <v>663</v>
      </c>
      <c r="C785" s="108" t="s">
        <v>313</v>
      </c>
      <c r="D785" s="111">
        <v>9</v>
      </c>
      <c r="E785" s="27">
        <v>0</v>
      </c>
      <c r="F785" s="27">
        <v>0</v>
      </c>
      <c r="G785" s="27">
        <f t="shared" si="53"/>
        <v>0</v>
      </c>
      <c r="H785" s="28">
        <f t="shared" si="54"/>
        <v>0</v>
      </c>
      <c r="I785" s="28">
        <f t="shared" si="55"/>
        <v>0</v>
      </c>
      <c r="J785" s="28">
        <f t="shared" si="56"/>
        <v>0</v>
      </c>
      <c r="K785" s="29"/>
    </row>
    <row r="786" spans="1:11">
      <c r="A786" s="26" t="s">
        <v>369</v>
      </c>
      <c r="B786" s="95" t="s">
        <v>856</v>
      </c>
      <c r="C786" s="108" t="s">
        <v>313</v>
      </c>
      <c r="D786" s="111">
        <v>1</v>
      </c>
      <c r="E786" s="27">
        <v>0</v>
      </c>
      <c r="F786" s="27">
        <v>0</v>
      </c>
      <c r="G786" s="27">
        <f t="shared" si="53"/>
        <v>0</v>
      </c>
      <c r="H786" s="28">
        <f t="shared" si="54"/>
        <v>0</v>
      </c>
      <c r="I786" s="28">
        <f t="shared" si="55"/>
        <v>0</v>
      </c>
      <c r="J786" s="28">
        <f t="shared" si="56"/>
        <v>0</v>
      </c>
      <c r="K786" s="29"/>
    </row>
    <row r="787" spans="1:11">
      <c r="A787" s="26" t="s">
        <v>370</v>
      </c>
      <c r="B787" s="95" t="s">
        <v>857</v>
      </c>
      <c r="C787" s="108" t="s">
        <v>313</v>
      </c>
      <c r="D787" s="111">
        <v>1</v>
      </c>
      <c r="E787" s="27">
        <v>0</v>
      </c>
      <c r="F787" s="27">
        <v>0</v>
      </c>
      <c r="G787" s="27">
        <f t="shared" si="53"/>
        <v>0</v>
      </c>
      <c r="H787" s="28">
        <f t="shared" si="54"/>
        <v>0</v>
      </c>
      <c r="I787" s="28">
        <f t="shared" si="55"/>
        <v>0</v>
      </c>
      <c r="J787" s="28">
        <f t="shared" si="56"/>
        <v>0</v>
      </c>
      <c r="K787" s="29"/>
    </row>
    <row r="788" spans="1:11" ht="31.2">
      <c r="A788" s="26" t="s">
        <v>371</v>
      </c>
      <c r="B788" s="95" t="s">
        <v>858</v>
      </c>
      <c r="C788" s="108" t="s">
        <v>313</v>
      </c>
      <c r="D788" s="111">
        <v>1</v>
      </c>
      <c r="E788" s="27">
        <v>0</v>
      </c>
      <c r="F788" s="27">
        <v>0</v>
      </c>
      <c r="G788" s="27">
        <f t="shared" si="53"/>
        <v>0</v>
      </c>
      <c r="H788" s="28">
        <f t="shared" si="54"/>
        <v>0</v>
      </c>
      <c r="I788" s="28">
        <f t="shared" si="55"/>
        <v>0</v>
      </c>
      <c r="J788" s="28">
        <f t="shared" si="56"/>
        <v>0</v>
      </c>
      <c r="K788" s="29"/>
    </row>
    <row r="789" spans="1:11" ht="31.2">
      <c r="A789" s="26" t="s">
        <v>372</v>
      </c>
      <c r="B789" s="95" t="s">
        <v>859</v>
      </c>
      <c r="C789" s="108" t="s">
        <v>313</v>
      </c>
      <c r="D789" s="111">
        <v>2</v>
      </c>
      <c r="E789" s="27">
        <v>0</v>
      </c>
      <c r="F789" s="27">
        <v>0</v>
      </c>
      <c r="G789" s="27">
        <f t="shared" si="53"/>
        <v>0</v>
      </c>
      <c r="H789" s="28">
        <f t="shared" si="54"/>
        <v>0</v>
      </c>
      <c r="I789" s="28">
        <f t="shared" si="55"/>
        <v>0</v>
      </c>
      <c r="J789" s="28">
        <f t="shared" si="56"/>
        <v>0</v>
      </c>
      <c r="K789" s="29"/>
    </row>
    <row r="790" spans="1:11">
      <c r="A790" s="26" t="s">
        <v>373</v>
      </c>
      <c r="B790" s="95" t="s">
        <v>852</v>
      </c>
      <c r="C790" s="108" t="s">
        <v>313</v>
      </c>
      <c r="D790" s="111">
        <v>2</v>
      </c>
      <c r="E790" s="27">
        <v>0</v>
      </c>
      <c r="F790" s="27">
        <v>0</v>
      </c>
      <c r="G790" s="27">
        <f t="shared" si="53"/>
        <v>0</v>
      </c>
      <c r="H790" s="28">
        <f t="shared" si="54"/>
        <v>0</v>
      </c>
      <c r="I790" s="28">
        <f t="shared" si="55"/>
        <v>0</v>
      </c>
      <c r="J790" s="28">
        <f t="shared" si="56"/>
        <v>0</v>
      </c>
      <c r="K790" s="29"/>
    </row>
    <row r="791" spans="1:11">
      <c r="A791" s="26" t="s">
        <v>374</v>
      </c>
      <c r="B791" s="95" t="s">
        <v>853</v>
      </c>
      <c r="C791" s="108" t="s">
        <v>313</v>
      </c>
      <c r="D791" s="111">
        <v>1</v>
      </c>
      <c r="E791" s="27">
        <v>0</v>
      </c>
      <c r="F791" s="27">
        <v>0</v>
      </c>
      <c r="G791" s="27">
        <f t="shared" si="53"/>
        <v>0</v>
      </c>
      <c r="H791" s="28">
        <f t="shared" si="54"/>
        <v>0</v>
      </c>
      <c r="I791" s="28">
        <f t="shared" si="55"/>
        <v>0</v>
      </c>
      <c r="J791" s="28">
        <f t="shared" si="56"/>
        <v>0</v>
      </c>
      <c r="K791" s="29"/>
    </row>
    <row r="792" spans="1:11" ht="31.2">
      <c r="A792" s="26" t="s">
        <v>375</v>
      </c>
      <c r="B792" s="95" t="s">
        <v>692</v>
      </c>
      <c r="C792" s="108" t="s">
        <v>313</v>
      </c>
      <c r="D792" s="111">
        <v>6</v>
      </c>
      <c r="E792" s="27">
        <v>0</v>
      </c>
      <c r="F792" s="27">
        <v>0</v>
      </c>
      <c r="G792" s="27">
        <f t="shared" si="53"/>
        <v>0</v>
      </c>
      <c r="H792" s="28">
        <f t="shared" si="54"/>
        <v>0</v>
      </c>
      <c r="I792" s="28">
        <f t="shared" si="55"/>
        <v>0</v>
      </c>
      <c r="J792" s="28">
        <f t="shared" si="56"/>
        <v>0</v>
      </c>
      <c r="K792" s="29"/>
    </row>
    <row r="793" spans="1:11" ht="31.2">
      <c r="A793" s="26" t="s">
        <v>376</v>
      </c>
      <c r="B793" s="95" t="s">
        <v>693</v>
      </c>
      <c r="C793" s="108" t="s">
        <v>313</v>
      </c>
      <c r="D793" s="111">
        <v>4</v>
      </c>
      <c r="E793" s="27">
        <v>0</v>
      </c>
      <c r="F793" s="27">
        <v>0</v>
      </c>
      <c r="G793" s="27">
        <f t="shared" si="53"/>
        <v>0</v>
      </c>
      <c r="H793" s="28">
        <f t="shared" si="54"/>
        <v>0</v>
      </c>
      <c r="I793" s="28">
        <f t="shared" si="55"/>
        <v>0</v>
      </c>
      <c r="J793" s="28">
        <f t="shared" si="56"/>
        <v>0</v>
      </c>
      <c r="K793" s="29"/>
    </row>
    <row r="794" spans="1:11" ht="31.2">
      <c r="A794" s="26" t="s">
        <v>377</v>
      </c>
      <c r="B794" s="95" t="s">
        <v>694</v>
      </c>
      <c r="C794" s="108" t="s">
        <v>313</v>
      </c>
      <c r="D794" s="111">
        <v>6</v>
      </c>
      <c r="E794" s="27">
        <v>0</v>
      </c>
      <c r="F794" s="27">
        <v>0</v>
      </c>
      <c r="G794" s="27">
        <f t="shared" si="53"/>
        <v>0</v>
      </c>
      <c r="H794" s="28">
        <f t="shared" si="54"/>
        <v>0</v>
      </c>
      <c r="I794" s="28">
        <f t="shared" si="55"/>
        <v>0</v>
      </c>
      <c r="J794" s="28">
        <f t="shared" si="56"/>
        <v>0</v>
      </c>
      <c r="K794" s="29"/>
    </row>
    <row r="795" spans="1:11" ht="31.2">
      <c r="A795" s="26" t="s">
        <v>378</v>
      </c>
      <c r="B795" s="95" t="s">
        <v>695</v>
      </c>
      <c r="C795" s="108" t="s">
        <v>313</v>
      </c>
      <c r="D795" s="111">
        <v>4</v>
      </c>
      <c r="E795" s="27">
        <v>0</v>
      </c>
      <c r="F795" s="27">
        <v>0</v>
      </c>
      <c r="G795" s="27">
        <f t="shared" si="53"/>
        <v>0</v>
      </c>
      <c r="H795" s="28">
        <f t="shared" si="54"/>
        <v>0</v>
      </c>
      <c r="I795" s="28">
        <f t="shared" si="55"/>
        <v>0</v>
      </c>
      <c r="J795" s="28">
        <f t="shared" si="56"/>
        <v>0</v>
      </c>
      <c r="K795" s="29"/>
    </row>
    <row r="796" spans="1:11" ht="31.2">
      <c r="A796" s="26" t="s">
        <v>379</v>
      </c>
      <c r="B796" s="95" t="s">
        <v>854</v>
      </c>
      <c r="C796" s="108" t="s">
        <v>313</v>
      </c>
      <c r="D796" s="111">
        <v>6</v>
      </c>
      <c r="E796" s="27">
        <v>0</v>
      </c>
      <c r="F796" s="27">
        <v>0</v>
      </c>
      <c r="G796" s="27">
        <f t="shared" si="53"/>
        <v>0</v>
      </c>
      <c r="H796" s="28">
        <f t="shared" si="54"/>
        <v>0</v>
      </c>
      <c r="I796" s="28">
        <f t="shared" si="55"/>
        <v>0</v>
      </c>
      <c r="J796" s="28">
        <f t="shared" si="56"/>
        <v>0</v>
      </c>
      <c r="K796" s="29"/>
    </row>
    <row r="797" spans="1:11" ht="31.2">
      <c r="A797" s="26" t="s">
        <v>380</v>
      </c>
      <c r="B797" s="95" t="s">
        <v>855</v>
      </c>
      <c r="C797" s="108" t="s">
        <v>313</v>
      </c>
      <c r="D797" s="111">
        <v>4</v>
      </c>
      <c r="E797" s="27">
        <v>0</v>
      </c>
      <c r="F797" s="27">
        <v>0</v>
      </c>
      <c r="G797" s="27">
        <f t="shared" si="53"/>
        <v>0</v>
      </c>
      <c r="H797" s="28">
        <f t="shared" si="54"/>
        <v>0</v>
      </c>
      <c r="I797" s="28">
        <f t="shared" si="55"/>
        <v>0</v>
      </c>
      <c r="J797" s="28">
        <f t="shared" si="56"/>
        <v>0</v>
      </c>
      <c r="K797" s="29"/>
    </row>
    <row r="798" spans="1:11" ht="46.8">
      <c r="A798" s="26" t="s">
        <v>381</v>
      </c>
      <c r="B798" s="95" t="s">
        <v>663</v>
      </c>
      <c r="C798" s="108" t="s">
        <v>313</v>
      </c>
      <c r="D798" s="111">
        <v>10</v>
      </c>
      <c r="E798" s="27">
        <v>0</v>
      </c>
      <c r="F798" s="27">
        <v>0</v>
      </c>
      <c r="G798" s="27">
        <f t="shared" si="53"/>
        <v>0</v>
      </c>
      <c r="H798" s="28">
        <f t="shared" si="54"/>
        <v>0</v>
      </c>
      <c r="I798" s="28">
        <f t="shared" si="55"/>
        <v>0</v>
      </c>
      <c r="J798" s="28">
        <f t="shared" si="56"/>
        <v>0</v>
      </c>
      <c r="K798" s="29"/>
    </row>
    <row r="799" spans="1:11">
      <c r="A799" s="26" t="s">
        <v>382</v>
      </c>
      <c r="B799" s="95" t="s">
        <v>860</v>
      </c>
      <c r="C799" s="108" t="s">
        <v>313</v>
      </c>
      <c r="D799" s="111">
        <v>1</v>
      </c>
      <c r="E799" s="27">
        <v>0</v>
      </c>
      <c r="F799" s="27">
        <v>0</v>
      </c>
      <c r="G799" s="27">
        <f t="shared" si="53"/>
        <v>0</v>
      </c>
      <c r="H799" s="28">
        <f t="shared" si="54"/>
        <v>0</v>
      </c>
      <c r="I799" s="28">
        <f t="shared" si="55"/>
        <v>0</v>
      </c>
      <c r="J799" s="28">
        <f t="shared" si="56"/>
        <v>0</v>
      </c>
      <c r="K799" s="29"/>
    </row>
    <row r="800" spans="1:11">
      <c r="A800" s="26" t="s">
        <v>383</v>
      </c>
      <c r="B800" s="95" t="s">
        <v>861</v>
      </c>
      <c r="C800" s="108" t="s">
        <v>313</v>
      </c>
      <c r="D800" s="111">
        <v>1</v>
      </c>
      <c r="E800" s="27">
        <v>0</v>
      </c>
      <c r="F800" s="27">
        <v>0</v>
      </c>
      <c r="G800" s="27">
        <f t="shared" si="53"/>
        <v>0</v>
      </c>
      <c r="H800" s="28">
        <f t="shared" si="54"/>
        <v>0</v>
      </c>
      <c r="I800" s="28">
        <f t="shared" si="55"/>
        <v>0</v>
      </c>
      <c r="J800" s="28">
        <f t="shared" si="56"/>
        <v>0</v>
      </c>
      <c r="K800" s="29"/>
    </row>
    <row r="801" spans="1:11" ht="31.2">
      <c r="A801" s="26" t="s">
        <v>384</v>
      </c>
      <c r="B801" s="95" t="s">
        <v>858</v>
      </c>
      <c r="C801" s="108" t="s">
        <v>313</v>
      </c>
      <c r="D801" s="111">
        <v>1</v>
      </c>
      <c r="E801" s="27">
        <v>0</v>
      </c>
      <c r="F801" s="27">
        <v>0</v>
      </c>
      <c r="G801" s="27">
        <f t="shared" si="53"/>
        <v>0</v>
      </c>
      <c r="H801" s="28">
        <f t="shared" si="54"/>
        <v>0</v>
      </c>
      <c r="I801" s="28">
        <f t="shared" si="55"/>
        <v>0</v>
      </c>
      <c r="J801" s="28">
        <f t="shared" si="56"/>
        <v>0</v>
      </c>
      <c r="K801" s="29"/>
    </row>
    <row r="802" spans="1:11" ht="31.2">
      <c r="A802" s="26" t="s">
        <v>385</v>
      </c>
      <c r="B802" s="95" t="s">
        <v>701</v>
      </c>
      <c r="C802" s="108" t="s">
        <v>313</v>
      </c>
      <c r="D802" s="111">
        <v>2</v>
      </c>
      <c r="E802" s="27">
        <v>0</v>
      </c>
      <c r="F802" s="27">
        <v>0</v>
      </c>
      <c r="G802" s="27">
        <f t="shared" si="53"/>
        <v>0</v>
      </c>
      <c r="H802" s="28">
        <f t="shared" si="54"/>
        <v>0</v>
      </c>
      <c r="I802" s="28">
        <f t="shared" si="55"/>
        <v>0</v>
      </c>
      <c r="J802" s="28">
        <f t="shared" si="56"/>
        <v>0</v>
      </c>
      <c r="K802" s="29"/>
    </row>
    <row r="803" spans="1:11" ht="31.2">
      <c r="A803" s="26" t="s">
        <v>386</v>
      </c>
      <c r="B803" s="95" t="s">
        <v>862</v>
      </c>
      <c r="C803" s="108" t="s">
        <v>313</v>
      </c>
      <c r="D803" s="111">
        <v>2</v>
      </c>
      <c r="E803" s="27">
        <v>0</v>
      </c>
      <c r="F803" s="27">
        <v>0</v>
      </c>
      <c r="G803" s="27">
        <f t="shared" ref="G803:G865" si="57">E803+F803</f>
        <v>0</v>
      </c>
      <c r="H803" s="28">
        <f t="shared" ref="H803:H865" si="58">D803*E803</f>
        <v>0</v>
      </c>
      <c r="I803" s="28">
        <f t="shared" ref="I803:I865" si="59">D803*F803</f>
        <v>0</v>
      </c>
      <c r="J803" s="28">
        <f t="shared" ref="J803:J865" si="60">H803+I803</f>
        <v>0</v>
      </c>
      <c r="K803" s="29" t="s">
        <v>321</v>
      </c>
    </row>
    <row r="804" spans="1:11" ht="31.2">
      <c r="A804" s="26" t="s">
        <v>387</v>
      </c>
      <c r="B804" s="95" t="s">
        <v>863</v>
      </c>
      <c r="C804" s="108" t="s">
        <v>313</v>
      </c>
      <c r="D804" s="111">
        <v>18</v>
      </c>
      <c r="E804" s="27">
        <v>0</v>
      </c>
      <c r="F804" s="27">
        <v>0</v>
      </c>
      <c r="G804" s="27">
        <f t="shared" si="57"/>
        <v>0</v>
      </c>
      <c r="H804" s="28">
        <f t="shared" si="58"/>
        <v>0</v>
      </c>
      <c r="I804" s="28">
        <f t="shared" si="59"/>
        <v>0</v>
      </c>
      <c r="J804" s="28">
        <f t="shared" si="60"/>
        <v>0</v>
      </c>
      <c r="K804" s="29" t="s">
        <v>321</v>
      </c>
    </row>
    <row r="805" spans="1:11" ht="31.2">
      <c r="A805" s="26" t="s">
        <v>388</v>
      </c>
      <c r="B805" s="95" t="s">
        <v>667</v>
      </c>
      <c r="C805" s="108" t="s">
        <v>313</v>
      </c>
      <c r="D805" s="111">
        <v>21</v>
      </c>
      <c r="E805" s="27">
        <v>0</v>
      </c>
      <c r="F805" s="27">
        <v>0</v>
      </c>
      <c r="G805" s="27">
        <f t="shared" si="57"/>
        <v>0</v>
      </c>
      <c r="H805" s="28">
        <f t="shared" si="58"/>
        <v>0</v>
      </c>
      <c r="I805" s="28">
        <f t="shared" si="59"/>
        <v>0</v>
      </c>
      <c r="J805" s="28">
        <f t="shared" si="60"/>
        <v>0</v>
      </c>
      <c r="K805" s="29" t="s">
        <v>321</v>
      </c>
    </row>
    <row r="806" spans="1:11" ht="31.2">
      <c r="A806" s="26" t="s">
        <v>389</v>
      </c>
      <c r="B806" s="95" t="s">
        <v>668</v>
      </c>
      <c r="C806" s="108" t="s">
        <v>313</v>
      </c>
      <c r="D806" s="111">
        <v>2</v>
      </c>
      <c r="E806" s="27">
        <v>0</v>
      </c>
      <c r="F806" s="27">
        <v>0</v>
      </c>
      <c r="G806" s="27">
        <f t="shared" si="57"/>
        <v>0</v>
      </c>
      <c r="H806" s="28">
        <f t="shared" si="58"/>
        <v>0</v>
      </c>
      <c r="I806" s="28">
        <f t="shared" si="59"/>
        <v>0</v>
      </c>
      <c r="J806" s="28">
        <f t="shared" si="60"/>
        <v>0</v>
      </c>
      <c r="K806" s="29" t="s">
        <v>321</v>
      </c>
    </row>
    <row r="807" spans="1:11" ht="31.2">
      <c r="A807" s="26" t="s">
        <v>390</v>
      </c>
      <c r="B807" s="95" t="s">
        <v>669</v>
      </c>
      <c r="C807" s="108" t="s">
        <v>313</v>
      </c>
      <c r="D807" s="111">
        <v>17</v>
      </c>
      <c r="E807" s="27">
        <v>0</v>
      </c>
      <c r="F807" s="27">
        <v>0</v>
      </c>
      <c r="G807" s="27">
        <f t="shared" si="57"/>
        <v>0</v>
      </c>
      <c r="H807" s="28">
        <f t="shared" si="58"/>
        <v>0</v>
      </c>
      <c r="I807" s="28">
        <f t="shared" si="59"/>
        <v>0</v>
      </c>
      <c r="J807" s="28">
        <f t="shared" si="60"/>
        <v>0</v>
      </c>
      <c r="K807" s="29" t="s">
        <v>321</v>
      </c>
    </row>
    <row r="808" spans="1:11" ht="31.2">
      <c r="A808" s="26" t="s">
        <v>391</v>
      </c>
      <c r="B808" s="95" t="s">
        <v>864</v>
      </c>
      <c r="C808" s="108" t="s">
        <v>313</v>
      </c>
      <c r="D808" s="111">
        <v>8</v>
      </c>
      <c r="E808" s="27">
        <v>0</v>
      </c>
      <c r="F808" s="27">
        <v>0</v>
      </c>
      <c r="G808" s="27">
        <f t="shared" si="57"/>
        <v>0</v>
      </c>
      <c r="H808" s="28">
        <f t="shared" si="58"/>
        <v>0</v>
      </c>
      <c r="I808" s="28">
        <f t="shared" si="59"/>
        <v>0</v>
      </c>
      <c r="J808" s="28">
        <f t="shared" si="60"/>
        <v>0</v>
      </c>
      <c r="K808" s="29" t="s">
        <v>321</v>
      </c>
    </row>
    <row r="809" spans="1:11" ht="31.2">
      <c r="A809" s="26" t="s">
        <v>392</v>
      </c>
      <c r="B809" s="95" t="s">
        <v>865</v>
      </c>
      <c r="C809" s="108" t="s">
        <v>313</v>
      </c>
      <c r="D809" s="111">
        <v>4</v>
      </c>
      <c r="E809" s="27">
        <v>0</v>
      </c>
      <c r="F809" s="27">
        <v>0</v>
      </c>
      <c r="G809" s="27">
        <f t="shared" si="57"/>
        <v>0</v>
      </c>
      <c r="H809" s="28">
        <f t="shared" si="58"/>
        <v>0</v>
      </c>
      <c r="I809" s="28">
        <f t="shared" si="59"/>
        <v>0</v>
      </c>
      <c r="J809" s="28">
        <f t="shared" si="60"/>
        <v>0</v>
      </c>
      <c r="K809" s="29" t="s">
        <v>321</v>
      </c>
    </row>
    <row r="810" spans="1:11" ht="31.2">
      <c r="A810" s="26" t="s">
        <v>393</v>
      </c>
      <c r="B810" s="95" t="s">
        <v>866</v>
      </c>
      <c r="C810" s="108" t="s">
        <v>313</v>
      </c>
      <c r="D810" s="111">
        <v>4</v>
      </c>
      <c r="E810" s="27">
        <v>0</v>
      </c>
      <c r="F810" s="27">
        <v>0</v>
      </c>
      <c r="G810" s="27">
        <f t="shared" si="57"/>
        <v>0</v>
      </c>
      <c r="H810" s="28">
        <f t="shared" si="58"/>
        <v>0</v>
      </c>
      <c r="I810" s="28">
        <f t="shared" si="59"/>
        <v>0</v>
      </c>
      <c r="J810" s="28">
        <f t="shared" si="60"/>
        <v>0</v>
      </c>
      <c r="K810" s="29" t="s">
        <v>321</v>
      </c>
    </row>
    <row r="811" spans="1:11" ht="31.2">
      <c r="A811" s="26" t="s">
        <v>394</v>
      </c>
      <c r="B811" s="95" t="s">
        <v>867</v>
      </c>
      <c r="C811" s="108" t="s">
        <v>313</v>
      </c>
      <c r="D811" s="111">
        <v>2</v>
      </c>
      <c r="E811" s="27">
        <v>0</v>
      </c>
      <c r="F811" s="27">
        <v>0</v>
      </c>
      <c r="G811" s="27">
        <f t="shared" si="57"/>
        <v>0</v>
      </c>
      <c r="H811" s="28">
        <f t="shared" si="58"/>
        <v>0</v>
      </c>
      <c r="I811" s="28">
        <f t="shared" si="59"/>
        <v>0</v>
      </c>
      <c r="J811" s="28">
        <f t="shared" si="60"/>
        <v>0</v>
      </c>
      <c r="K811" s="29" t="s">
        <v>321</v>
      </c>
    </row>
    <row r="812" spans="1:11">
      <c r="A812" s="26" t="s">
        <v>395</v>
      </c>
      <c r="B812" s="95" t="s">
        <v>706</v>
      </c>
      <c r="C812" s="108" t="s">
        <v>312</v>
      </c>
      <c r="D812" s="111">
        <v>1857.74</v>
      </c>
      <c r="E812" s="27">
        <v>0</v>
      </c>
      <c r="F812" s="27">
        <v>0</v>
      </c>
      <c r="G812" s="27">
        <f t="shared" si="57"/>
        <v>0</v>
      </c>
      <c r="H812" s="28">
        <f t="shared" si="58"/>
        <v>0</v>
      </c>
      <c r="I812" s="28">
        <f t="shared" si="59"/>
        <v>0</v>
      </c>
      <c r="J812" s="28">
        <f t="shared" si="60"/>
        <v>0</v>
      </c>
      <c r="K812" s="29"/>
    </row>
    <row r="813" spans="1:11">
      <c r="A813" s="26" t="s">
        <v>396</v>
      </c>
      <c r="B813" s="95" t="s">
        <v>707</v>
      </c>
      <c r="C813" s="108" t="s">
        <v>312</v>
      </c>
      <c r="D813" s="111">
        <v>656.74</v>
      </c>
      <c r="E813" s="27">
        <v>0</v>
      </c>
      <c r="F813" s="27">
        <v>0</v>
      </c>
      <c r="G813" s="27">
        <f t="shared" si="57"/>
        <v>0</v>
      </c>
      <c r="H813" s="28">
        <f t="shared" si="58"/>
        <v>0</v>
      </c>
      <c r="I813" s="28">
        <f t="shared" si="59"/>
        <v>0</v>
      </c>
      <c r="J813" s="28">
        <f t="shared" si="60"/>
        <v>0</v>
      </c>
      <c r="K813" s="29"/>
    </row>
    <row r="814" spans="1:11">
      <c r="A814" s="26" t="s">
        <v>397</v>
      </c>
      <c r="B814" s="95" t="s">
        <v>708</v>
      </c>
      <c r="C814" s="108" t="s">
        <v>312</v>
      </c>
      <c r="D814" s="111">
        <v>129.08000000000001</v>
      </c>
      <c r="E814" s="27">
        <v>0</v>
      </c>
      <c r="F814" s="27">
        <v>0</v>
      </c>
      <c r="G814" s="27">
        <f t="shared" si="57"/>
        <v>0</v>
      </c>
      <c r="H814" s="28">
        <f t="shared" si="58"/>
        <v>0</v>
      </c>
      <c r="I814" s="28">
        <f t="shared" si="59"/>
        <v>0</v>
      </c>
      <c r="J814" s="28">
        <f t="shared" si="60"/>
        <v>0</v>
      </c>
      <c r="K814" s="29"/>
    </row>
    <row r="815" spans="1:11">
      <c r="A815" s="26" t="s">
        <v>398</v>
      </c>
      <c r="B815" s="95" t="s">
        <v>709</v>
      </c>
      <c r="C815" s="108" t="s">
        <v>312</v>
      </c>
      <c r="D815" s="111">
        <v>253.3</v>
      </c>
      <c r="E815" s="27">
        <v>0</v>
      </c>
      <c r="F815" s="27">
        <v>0</v>
      </c>
      <c r="G815" s="27">
        <f t="shared" si="57"/>
        <v>0</v>
      </c>
      <c r="H815" s="28">
        <f t="shared" si="58"/>
        <v>0</v>
      </c>
      <c r="I815" s="28">
        <f t="shared" si="59"/>
        <v>0</v>
      </c>
      <c r="J815" s="28">
        <f t="shared" si="60"/>
        <v>0</v>
      </c>
      <c r="K815" s="29"/>
    </row>
    <row r="816" spans="1:11">
      <c r="A816" s="26" t="s">
        <v>399</v>
      </c>
      <c r="B816" s="95" t="s">
        <v>710</v>
      </c>
      <c r="C816" s="108" t="s">
        <v>312</v>
      </c>
      <c r="D816" s="111">
        <v>314.29000000000002</v>
      </c>
      <c r="E816" s="27">
        <v>0</v>
      </c>
      <c r="F816" s="27">
        <v>0</v>
      </c>
      <c r="G816" s="27">
        <f t="shared" si="57"/>
        <v>0</v>
      </c>
      <c r="H816" s="28">
        <f t="shared" si="58"/>
        <v>0</v>
      </c>
      <c r="I816" s="28">
        <f t="shared" si="59"/>
        <v>0</v>
      </c>
      <c r="J816" s="28">
        <f t="shared" si="60"/>
        <v>0</v>
      </c>
      <c r="K816" s="29"/>
    </row>
    <row r="817" spans="1:11">
      <c r="A817" s="26" t="s">
        <v>400</v>
      </c>
      <c r="B817" s="95" t="s">
        <v>711</v>
      </c>
      <c r="C817" s="108" t="s">
        <v>312</v>
      </c>
      <c r="D817" s="111">
        <v>204.93</v>
      </c>
      <c r="E817" s="27">
        <v>0</v>
      </c>
      <c r="F817" s="27">
        <v>0</v>
      </c>
      <c r="G817" s="27">
        <f t="shared" si="57"/>
        <v>0</v>
      </c>
      <c r="H817" s="28">
        <f t="shared" si="58"/>
        <v>0</v>
      </c>
      <c r="I817" s="28">
        <f t="shared" si="59"/>
        <v>0</v>
      </c>
      <c r="J817" s="28">
        <f t="shared" si="60"/>
        <v>0</v>
      </c>
      <c r="K817" s="29"/>
    </row>
    <row r="818" spans="1:11">
      <c r="A818" s="26" t="s">
        <v>401</v>
      </c>
      <c r="B818" s="95" t="s">
        <v>712</v>
      </c>
      <c r="C818" s="108" t="s">
        <v>312</v>
      </c>
      <c r="D818" s="111">
        <v>113.13</v>
      </c>
      <c r="E818" s="27">
        <v>0</v>
      </c>
      <c r="F818" s="27">
        <v>0</v>
      </c>
      <c r="G818" s="27">
        <f t="shared" si="57"/>
        <v>0</v>
      </c>
      <c r="H818" s="28">
        <f t="shared" si="58"/>
        <v>0</v>
      </c>
      <c r="I818" s="28">
        <f t="shared" si="59"/>
        <v>0</v>
      </c>
      <c r="J818" s="28">
        <f t="shared" si="60"/>
        <v>0</v>
      </c>
      <c r="K818" s="29"/>
    </row>
    <row r="819" spans="1:11">
      <c r="A819" s="26" t="s">
        <v>402</v>
      </c>
      <c r="B819" s="95" t="s">
        <v>713</v>
      </c>
      <c r="C819" s="108" t="s">
        <v>312</v>
      </c>
      <c r="D819" s="111">
        <v>81.42</v>
      </c>
      <c r="E819" s="27">
        <v>0</v>
      </c>
      <c r="F819" s="27">
        <v>0</v>
      </c>
      <c r="G819" s="27">
        <f t="shared" si="57"/>
        <v>0</v>
      </c>
      <c r="H819" s="28">
        <f t="shared" si="58"/>
        <v>0</v>
      </c>
      <c r="I819" s="28">
        <f t="shared" si="59"/>
        <v>0</v>
      </c>
      <c r="J819" s="28">
        <f t="shared" si="60"/>
        <v>0</v>
      </c>
      <c r="K819" s="29"/>
    </row>
    <row r="820" spans="1:11" ht="31.2">
      <c r="A820" s="26" t="s">
        <v>403</v>
      </c>
      <c r="B820" s="95" t="s">
        <v>714</v>
      </c>
      <c r="C820" s="108" t="s">
        <v>312</v>
      </c>
      <c r="D820" s="111">
        <v>320.70999999999998</v>
      </c>
      <c r="E820" s="27">
        <v>0</v>
      </c>
      <c r="F820" s="27">
        <v>0</v>
      </c>
      <c r="G820" s="27">
        <f t="shared" si="57"/>
        <v>0</v>
      </c>
      <c r="H820" s="28">
        <f t="shared" si="58"/>
        <v>0</v>
      </c>
      <c r="I820" s="28">
        <f t="shared" si="59"/>
        <v>0</v>
      </c>
      <c r="J820" s="28">
        <f t="shared" si="60"/>
        <v>0</v>
      </c>
      <c r="K820" s="29"/>
    </row>
    <row r="821" spans="1:11" ht="31.2">
      <c r="A821" s="26" t="s">
        <v>404</v>
      </c>
      <c r="B821" s="95" t="s">
        <v>715</v>
      </c>
      <c r="C821" s="108" t="s">
        <v>312</v>
      </c>
      <c r="D821" s="111">
        <v>71.22</v>
      </c>
      <c r="E821" s="27">
        <v>0</v>
      </c>
      <c r="F821" s="27">
        <v>0</v>
      </c>
      <c r="G821" s="27">
        <f t="shared" si="57"/>
        <v>0</v>
      </c>
      <c r="H821" s="28">
        <f t="shared" si="58"/>
        <v>0</v>
      </c>
      <c r="I821" s="28">
        <f t="shared" si="59"/>
        <v>0</v>
      </c>
      <c r="J821" s="28">
        <f t="shared" si="60"/>
        <v>0</v>
      </c>
      <c r="K821" s="29"/>
    </row>
    <row r="822" spans="1:11" ht="31.2">
      <c r="A822" s="26" t="s">
        <v>405</v>
      </c>
      <c r="B822" s="95" t="s">
        <v>716</v>
      </c>
      <c r="C822" s="108" t="s">
        <v>312</v>
      </c>
      <c r="D822" s="111">
        <v>279.98</v>
      </c>
      <c r="E822" s="27">
        <v>0</v>
      </c>
      <c r="F822" s="27">
        <v>0</v>
      </c>
      <c r="G822" s="27">
        <f t="shared" si="57"/>
        <v>0</v>
      </c>
      <c r="H822" s="28">
        <f t="shared" si="58"/>
        <v>0</v>
      </c>
      <c r="I822" s="28">
        <f t="shared" si="59"/>
        <v>0</v>
      </c>
      <c r="J822" s="28">
        <f t="shared" si="60"/>
        <v>0</v>
      </c>
      <c r="K822" s="29"/>
    </row>
    <row r="823" spans="1:11" ht="31.2">
      <c r="A823" s="26" t="s">
        <v>406</v>
      </c>
      <c r="B823" s="95" t="s">
        <v>868</v>
      </c>
      <c r="C823" s="108" t="s">
        <v>312</v>
      </c>
      <c r="D823" s="111">
        <v>52.17</v>
      </c>
      <c r="E823" s="27">
        <v>0</v>
      </c>
      <c r="F823" s="27">
        <v>0</v>
      </c>
      <c r="G823" s="27">
        <f t="shared" si="57"/>
        <v>0</v>
      </c>
      <c r="H823" s="28">
        <f t="shared" si="58"/>
        <v>0</v>
      </c>
      <c r="I823" s="28">
        <f t="shared" si="59"/>
        <v>0</v>
      </c>
      <c r="J823" s="28">
        <f t="shared" si="60"/>
        <v>0</v>
      </c>
      <c r="K823" s="29"/>
    </row>
    <row r="824" spans="1:11" ht="31.2">
      <c r="A824" s="26" t="s">
        <v>407</v>
      </c>
      <c r="B824" s="95" t="s">
        <v>721</v>
      </c>
      <c r="C824" s="108" t="s">
        <v>312</v>
      </c>
      <c r="D824" s="111">
        <v>54.13</v>
      </c>
      <c r="E824" s="27">
        <v>0</v>
      </c>
      <c r="F824" s="27">
        <v>0</v>
      </c>
      <c r="G824" s="27">
        <f t="shared" si="57"/>
        <v>0</v>
      </c>
      <c r="H824" s="28">
        <f t="shared" si="58"/>
        <v>0</v>
      </c>
      <c r="I824" s="28">
        <f t="shared" si="59"/>
        <v>0</v>
      </c>
      <c r="J824" s="28">
        <f t="shared" si="60"/>
        <v>0</v>
      </c>
      <c r="K824" s="29"/>
    </row>
    <row r="825" spans="1:11" ht="31.2">
      <c r="A825" s="26" t="s">
        <v>408</v>
      </c>
      <c r="B825" s="95" t="s">
        <v>722</v>
      </c>
      <c r="C825" s="108" t="s">
        <v>312</v>
      </c>
      <c r="D825" s="111">
        <v>108.35</v>
      </c>
      <c r="E825" s="27">
        <v>0</v>
      </c>
      <c r="F825" s="27">
        <v>0</v>
      </c>
      <c r="G825" s="27">
        <f t="shared" si="57"/>
        <v>0</v>
      </c>
      <c r="H825" s="28">
        <f t="shared" si="58"/>
        <v>0</v>
      </c>
      <c r="I825" s="28">
        <f t="shared" si="59"/>
        <v>0</v>
      </c>
      <c r="J825" s="28">
        <f t="shared" si="60"/>
        <v>0</v>
      </c>
      <c r="K825" s="29"/>
    </row>
    <row r="826" spans="1:11" ht="31.2">
      <c r="A826" s="26" t="s">
        <v>409</v>
      </c>
      <c r="B826" s="95" t="s">
        <v>723</v>
      </c>
      <c r="C826" s="108" t="s">
        <v>312</v>
      </c>
      <c r="D826" s="111">
        <v>97.14</v>
      </c>
      <c r="E826" s="27">
        <v>0</v>
      </c>
      <c r="F826" s="27">
        <v>0</v>
      </c>
      <c r="G826" s="27">
        <f t="shared" si="57"/>
        <v>0</v>
      </c>
      <c r="H826" s="28">
        <f t="shared" si="58"/>
        <v>0</v>
      </c>
      <c r="I826" s="28">
        <f t="shared" si="59"/>
        <v>0</v>
      </c>
      <c r="J826" s="28">
        <f t="shared" si="60"/>
        <v>0</v>
      </c>
      <c r="K826" s="29"/>
    </row>
    <row r="827" spans="1:11" ht="31.2">
      <c r="A827" s="26" t="s">
        <v>410</v>
      </c>
      <c r="B827" s="95" t="s">
        <v>724</v>
      </c>
      <c r="C827" s="108" t="s">
        <v>312</v>
      </c>
      <c r="D827" s="111">
        <v>55.4</v>
      </c>
      <c r="E827" s="27">
        <v>0</v>
      </c>
      <c r="F827" s="27">
        <v>0</v>
      </c>
      <c r="G827" s="27">
        <f t="shared" si="57"/>
        <v>0</v>
      </c>
      <c r="H827" s="28">
        <f t="shared" si="58"/>
        <v>0</v>
      </c>
      <c r="I827" s="28">
        <f t="shared" si="59"/>
        <v>0</v>
      </c>
      <c r="J827" s="28">
        <f t="shared" si="60"/>
        <v>0</v>
      </c>
      <c r="K827" s="29"/>
    </row>
    <row r="828" spans="1:11" ht="31.2">
      <c r="A828" s="26" t="s">
        <v>411</v>
      </c>
      <c r="B828" s="95" t="s">
        <v>725</v>
      </c>
      <c r="C828" s="108" t="s">
        <v>312</v>
      </c>
      <c r="D828" s="111">
        <v>55.44</v>
      </c>
      <c r="E828" s="27">
        <v>0</v>
      </c>
      <c r="F828" s="27">
        <v>0</v>
      </c>
      <c r="G828" s="27">
        <f t="shared" si="57"/>
        <v>0</v>
      </c>
      <c r="H828" s="28">
        <f t="shared" si="58"/>
        <v>0</v>
      </c>
      <c r="I828" s="28">
        <f t="shared" si="59"/>
        <v>0</v>
      </c>
      <c r="J828" s="28">
        <f t="shared" si="60"/>
        <v>0</v>
      </c>
      <c r="K828" s="29"/>
    </row>
    <row r="829" spans="1:11" ht="31.2">
      <c r="A829" s="26" t="s">
        <v>412</v>
      </c>
      <c r="B829" s="95" t="s">
        <v>726</v>
      </c>
      <c r="C829" s="108" t="s">
        <v>312</v>
      </c>
      <c r="D829" s="111">
        <v>117.57</v>
      </c>
      <c r="E829" s="27">
        <v>0</v>
      </c>
      <c r="F829" s="27">
        <v>0</v>
      </c>
      <c r="G829" s="27">
        <f t="shared" si="57"/>
        <v>0</v>
      </c>
      <c r="H829" s="28">
        <f t="shared" si="58"/>
        <v>0</v>
      </c>
      <c r="I829" s="28">
        <f t="shared" si="59"/>
        <v>0</v>
      </c>
      <c r="J829" s="28">
        <f t="shared" si="60"/>
        <v>0</v>
      </c>
      <c r="K829" s="29"/>
    </row>
    <row r="830" spans="1:11" ht="31.2">
      <c r="A830" s="26" t="s">
        <v>413</v>
      </c>
      <c r="B830" s="95" t="s">
        <v>727</v>
      </c>
      <c r="C830" s="108" t="s">
        <v>312</v>
      </c>
      <c r="D830" s="111">
        <v>77.819999999999993</v>
      </c>
      <c r="E830" s="27">
        <v>0</v>
      </c>
      <c r="F830" s="27">
        <v>0</v>
      </c>
      <c r="G830" s="27">
        <f t="shared" si="57"/>
        <v>0</v>
      </c>
      <c r="H830" s="28">
        <f t="shared" si="58"/>
        <v>0</v>
      </c>
      <c r="I830" s="28">
        <f t="shared" si="59"/>
        <v>0</v>
      </c>
      <c r="J830" s="28">
        <f t="shared" si="60"/>
        <v>0</v>
      </c>
      <c r="K830" s="29"/>
    </row>
    <row r="831" spans="1:11" ht="31.2">
      <c r="A831" s="26" t="s">
        <v>414</v>
      </c>
      <c r="B831" s="95" t="s">
        <v>728</v>
      </c>
      <c r="C831" s="108" t="s">
        <v>312</v>
      </c>
      <c r="D831" s="111">
        <v>77.61</v>
      </c>
      <c r="E831" s="27">
        <v>0</v>
      </c>
      <c r="F831" s="27">
        <v>0</v>
      </c>
      <c r="G831" s="27">
        <f t="shared" si="57"/>
        <v>0</v>
      </c>
      <c r="H831" s="28">
        <f t="shared" si="58"/>
        <v>0</v>
      </c>
      <c r="I831" s="28">
        <f t="shared" si="59"/>
        <v>0</v>
      </c>
      <c r="J831" s="28">
        <f t="shared" si="60"/>
        <v>0</v>
      </c>
      <c r="K831" s="29"/>
    </row>
    <row r="832" spans="1:11" ht="31.2">
      <c r="A832" s="26" t="s">
        <v>415</v>
      </c>
      <c r="B832" s="95" t="s">
        <v>869</v>
      </c>
      <c r="C832" s="108" t="s">
        <v>312</v>
      </c>
      <c r="D832" s="111">
        <v>57.39</v>
      </c>
      <c r="E832" s="27">
        <v>0</v>
      </c>
      <c r="F832" s="27">
        <v>0</v>
      </c>
      <c r="G832" s="27">
        <f t="shared" si="57"/>
        <v>0</v>
      </c>
      <c r="H832" s="28">
        <f t="shared" si="58"/>
        <v>0</v>
      </c>
      <c r="I832" s="28">
        <f t="shared" si="59"/>
        <v>0</v>
      </c>
      <c r="J832" s="28">
        <f t="shared" si="60"/>
        <v>0</v>
      </c>
      <c r="K832" s="29"/>
    </row>
    <row r="833" spans="1:11" ht="31.2">
      <c r="A833" s="26" t="s">
        <v>416</v>
      </c>
      <c r="B833" s="95" t="s">
        <v>870</v>
      </c>
      <c r="C833" s="108" t="s">
        <v>312</v>
      </c>
      <c r="D833" s="111">
        <v>102.47</v>
      </c>
      <c r="E833" s="27">
        <v>0</v>
      </c>
      <c r="F833" s="27">
        <v>0</v>
      </c>
      <c r="G833" s="27">
        <f t="shared" si="57"/>
        <v>0</v>
      </c>
      <c r="H833" s="28">
        <f t="shared" si="58"/>
        <v>0</v>
      </c>
      <c r="I833" s="28">
        <f t="shared" si="59"/>
        <v>0</v>
      </c>
      <c r="J833" s="28">
        <f t="shared" si="60"/>
        <v>0</v>
      </c>
      <c r="K833" s="29"/>
    </row>
    <row r="834" spans="1:11" ht="31.2">
      <c r="A834" s="26" t="s">
        <v>417</v>
      </c>
      <c r="B834" s="95" t="s">
        <v>729</v>
      </c>
      <c r="C834" s="108" t="s">
        <v>312</v>
      </c>
      <c r="D834" s="111">
        <v>180.1</v>
      </c>
      <c r="E834" s="27">
        <v>0</v>
      </c>
      <c r="F834" s="27">
        <v>0</v>
      </c>
      <c r="G834" s="27">
        <f t="shared" si="57"/>
        <v>0</v>
      </c>
      <c r="H834" s="28">
        <f t="shared" si="58"/>
        <v>0</v>
      </c>
      <c r="I834" s="28">
        <f t="shared" si="59"/>
        <v>0</v>
      </c>
      <c r="J834" s="28">
        <f t="shared" si="60"/>
        <v>0</v>
      </c>
      <c r="K834" s="29"/>
    </row>
    <row r="835" spans="1:11" ht="31.2">
      <c r="A835" s="26" t="s">
        <v>418</v>
      </c>
      <c r="B835" s="95" t="s">
        <v>730</v>
      </c>
      <c r="C835" s="108" t="s">
        <v>312</v>
      </c>
      <c r="D835" s="111">
        <v>116.64</v>
      </c>
      <c r="E835" s="27">
        <v>0</v>
      </c>
      <c r="F835" s="27">
        <v>0</v>
      </c>
      <c r="G835" s="27">
        <f t="shared" si="57"/>
        <v>0</v>
      </c>
      <c r="H835" s="28">
        <f t="shared" si="58"/>
        <v>0</v>
      </c>
      <c r="I835" s="28">
        <f t="shared" si="59"/>
        <v>0</v>
      </c>
      <c r="J835" s="28">
        <f t="shared" si="60"/>
        <v>0</v>
      </c>
      <c r="K835" s="29"/>
    </row>
    <row r="836" spans="1:11" ht="31.2">
      <c r="A836" s="26" t="s">
        <v>419</v>
      </c>
      <c r="B836" s="95" t="s">
        <v>871</v>
      </c>
      <c r="C836" s="108" t="s">
        <v>312</v>
      </c>
      <c r="D836" s="111">
        <v>44.92</v>
      </c>
      <c r="E836" s="27">
        <v>0</v>
      </c>
      <c r="F836" s="27">
        <v>0</v>
      </c>
      <c r="G836" s="27">
        <f t="shared" si="57"/>
        <v>0</v>
      </c>
      <c r="H836" s="28">
        <f t="shared" si="58"/>
        <v>0</v>
      </c>
      <c r="I836" s="28">
        <f t="shared" si="59"/>
        <v>0</v>
      </c>
      <c r="J836" s="28">
        <f t="shared" si="60"/>
        <v>0</v>
      </c>
      <c r="K836" s="29"/>
    </row>
    <row r="837" spans="1:11" ht="31.2">
      <c r="A837" s="26" t="s">
        <v>420</v>
      </c>
      <c r="B837" s="95" t="s">
        <v>872</v>
      </c>
      <c r="C837" s="108" t="s">
        <v>312</v>
      </c>
      <c r="D837" s="111">
        <v>17.8</v>
      </c>
      <c r="E837" s="27">
        <v>0</v>
      </c>
      <c r="F837" s="27">
        <v>0</v>
      </c>
      <c r="G837" s="27">
        <f t="shared" si="57"/>
        <v>0</v>
      </c>
      <c r="H837" s="28">
        <f t="shared" si="58"/>
        <v>0</v>
      </c>
      <c r="I837" s="28">
        <f t="shared" si="59"/>
        <v>0</v>
      </c>
      <c r="J837" s="28">
        <f t="shared" si="60"/>
        <v>0</v>
      </c>
      <c r="K837" s="29"/>
    </row>
    <row r="838" spans="1:11" ht="31.2">
      <c r="A838" s="26" t="s">
        <v>421</v>
      </c>
      <c r="B838" s="95" t="s">
        <v>873</v>
      </c>
      <c r="C838" s="108" t="s">
        <v>312</v>
      </c>
      <c r="D838" s="111">
        <v>235.21</v>
      </c>
      <c r="E838" s="27">
        <v>0</v>
      </c>
      <c r="F838" s="27">
        <v>0</v>
      </c>
      <c r="G838" s="27">
        <f t="shared" si="57"/>
        <v>0</v>
      </c>
      <c r="H838" s="28">
        <f t="shared" si="58"/>
        <v>0</v>
      </c>
      <c r="I838" s="28">
        <f t="shared" si="59"/>
        <v>0</v>
      </c>
      <c r="J838" s="28">
        <f t="shared" si="60"/>
        <v>0</v>
      </c>
      <c r="K838" s="29"/>
    </row>
    <row r="839" spans="1:11" ht="31.2">
      <c r="A839" s="26" t="s">
        <v>422</v>
      </c>
      <c r="B839" s="95" t="s">
        <v>874</v>
      </c>
      <c r="C839" s="108" t="s">
        <v>312</v>
      </c>
      <c r="D839" s="111">
        <v>0.52</v>
      </c>
      <c r="E839" s="27">
        <v>0</v>
      </c>
      <c r="F839" s="27">
        <v>0</v>
      </c>
      <c r="G839" s="27">
        <f t="shared" si="57"/>
        <v>0</v>
      </c>
      <c r="H839" s="28">
        <f t="shared" si="58"/>
        <v>0</v>
      </c>
      <c r="I839" s="28">
        <f t="shared" si="59"/>
        <v>0</v>
      </c>
      <c r="J839" s="28">
        <f t="shared" si="60"/>
        <v>0</v>
      </c>
      <c r="K839" s="29"/>
    </row>
    <row r="840" spans="1:11" ht="31.2">
      <c r="A840" s="26" t="s">
        <v>423</v>
      </c>
      <c r="B840" s="95" t="s">
        <v>875</v>
      </c>
      <c r="C840" s="108" t="s">
        <v>312</v>
      </c>
      <c r="D840" s="111">
        <v>230.37</v>
      </c>
      <c r="E840" s="27">
        <v>0</v>
      </c>
      <c r="F840" s="27">
        <v>0</v>
      </c>
      <c r="G840" s="27">
        <f t="shared" si="57"/>
        <v>0</v>
      </c>
      <c r="H840" s="28">
        <f t="shared" si="58"/>
        <v>0</v>
      </c>
      <c r="I840" s="28">
        <f t="shared" si="59"/>
        <v>0</v>
      </c>
      <c r="J840" s="28">
        <f t="shared" si="60"/>
        <v>0</v>
      </c>
      <c r="K840" s="29"/>
    </row>
    <row r="841" spans="1:11" ht="31.2">
      <c r="A841" s="26" t="s">
        <v>424</v>
      </c>
      <c r="B841" s="95" t="s">
        <v>731</v>
      </c>
      <c r="C841" s="108" t="s">
        <v>312</v>
      </c>
      <c r="D841" s="111">
        <v>990.56</v>
      </c>
      <c r="E841" s="27">
        <v>0</v>
      </c>
      <c r="F841" s="27">
        <v>0</v>
      </c>
      <c r="G841" s="27">
        <f t="shared" si="57"/>
        <v>0</v>
      </c>
      <c r="H841" s="28">
        <f t="shared" si="58"/>
        <v>0</v>
      </c>
      <c r="I841" s="28">
        <f t="shared" si="59"/>
        <v>0</v>
      </c>
      <c r="J841" s="28">
        <f t="shared" si="60"/>
        <v>0</v>
      </c>
      <c r="K841" s="29"/>
    </row>
    <row r="842" spans="1:11" ht="31.2">
      <c r="A842" s="26" t="s">
        <v>425</v>
      </c>
      <c r="B842" s="95" t="s">
        <v>732</v>
      </c>
      <c r="C842" s="108" t="s">
        <v>312</v>
      </c>
      <c r="D842" s="111">
        <v>352.57</v>
      </c>
      <c r="E842" s="27">
        <v>0</v>
      </c>
      <c r="F842" s="27">
        <v>0</v>
      </c>
      <c r="G842" s="27">
        <f t="shared" si="57"/>
        <v>0</v>
      </c>
      <c r="H842" s="28">
        <f t="shared" si="58"/>
        <v>0</v>
      </c>
      <c r="I842" s="28">
        <f t="shared" si="59"/>
        <v>0</v>
      </c>
      <c r="J842" s="28">
        <f t="shared" si="60"/>
        <v>0</v>
      </c>
      <c r="K842" s="29"/>
    </row>
    <row r="843" spans="1:11" ht="31.2">
      <c r="A843" s="26" t="s">
        <v>426</v>
      </c>
      <c r="B843" s="95" t="s">
        <v>733</v>
      </c>
      <c r="C843" s="108" t="s">
        <v>312</v>
      </c>
      <c r="D843" s="111">
        <v>66.88</v>
      </c>
      <c r="E843" s="27">
        <v>0</v>
      </c>
      <c r="F843" s="27">
        <v>0</v>
      </c>
      <c r="G843" s="27">
        <f t="shared" si="57"/>
        <v>0</v>
      </c>
      <c r="H843" s="28">
        <f t="shared" si="58"/>
        <v>0</v>
      </c>
      <c r="I843" s="28">
        <f t="shared" si="59"/>
        <v>0</v>
      </c>
      <c r="J843" s="28">
        <f t="shared" si="60"/>
        <v>0</v>
      </c>
      <c r="K843" s="29"/>
    </row>
    <row r="844" spans="1:11" ht="31.2">
      <c r="A844" s="26" t="s">
        <v>427</v>
      </c>
      <c r="B844" s="95" t="s">
        <v>734</v>
      </c>
      <c r="C844" s="108" t="s">
        <v>312</v>
      </c>
      <c r="D844" s="111">
        <v>1001.51</v>
      </c>
      <c r="E844" s="27">
        <v>0</v>
      </c>
      <c r="F844" s="27">
        <v>0</v>
      </c>
      <c r="G844" s="27">
        <f t="shared" si="57"/>
        <v>0</v>
      </c>
      <c r="H844" s="28">
        <f t="shared" si="58"/>
        <v>0</v>
      </c>
      <c r="I844" s="28">
        <f t="shared" si="59"/>
        <v>0</v>
      </c>
      <c r="J844" s="28">
        <f t="shared" si="60"/>
        <v>0</v>
      </c>
      <c r="K844" s="29"/>
    </row>
    <row r="845" spans="1:11" ht="31.2">
      <c r="A845" s="26" t="s">
        <v>428</v>
      </c>
      <c r="B845" s="95" t="s">
        <v>735</v>
      </c>
      <c r="C845" s="108" t="s">
        <v>312</v>
      </c>
      <c r="D845" s="111" t="s">
        <v>346</v>
      </c>
      <c r="E845" s="27">
        <v>0</v>
      </c>
      <c r="F845" s="27">
        <v>0</v>
      </c>
      <c r="G845" s="27">
        <f t="shared" si="57"/>
        <v>0</v>
      </c>
      <c r="H845" s="28">
        <f t="shared" si="58"/>
        <v>0</v>
      </c>
      <c r="I845" s="28">
        <f t="shared" si="59"/>
        <v>0</v>
      </c>
      <c r="J845" s="28">
        <f t="shared" si="60"/>
        <v>0</v>
      </c>
      <c r="K845" s="29"/>
    </row>
    <row r="846" spans="1:11" ht="31.2">
      <c r="A846" s="26" t="s">
        <v>429</v>
      </c>
      <c r="B846" s="95" t="s">
        <v>736</v>
      </c>
      <c r="C846" s="108" t="s">
        <v>312</v>
      </c>
      <c r="D846" s="111">
        <v>73.37</v>
      </c>
      <c r="E846" s="27">
        <v>0</v>
      </c>
      <c r="F846" s="27">
        <v>0</v>
      </c>
      <c r="G846" s="27">
        <f t="shared" si="57"/>
        <v>0</v>
      </c>
      <c r="H846" s="28">
        <f t="shared" si="58"/>
        <v>0</v>
      </c>
      <c r="I846" s="28">
        <f t="shared" si="59"/>
        <v>0</v>
      </c>
      <c r="J846" s="28">
        <f t="shared" si="60"/>
        <v>0</v>
      </c>
      <c r="K846" s="29"/>
    </row>
    <row r="847" spans="1:11" ht="31.2">
      <c r="A847" s="26" t="s">
        <v>430</v>
      </c>
      <c r="B847" s="95" t="s">
        <v>876</v>
      </c>
      <c r="C847" s="108" t="s">
        <v>312</v>
      </c>
      <c r="D847" s="111">
        <v>0.06</v>
      </c>
      <c r="E847" s="27">
        <v>0</v>
      </c>
      <c r="F847" s="27">
        <v>0</v>
      </c>
      <c r="G847" s="27">
        <f t="shared" si="57"/>
        <v>0</v>
      </c>
      <c r="H847" s="28">
        <f t="shared" si="58"/>
        <v>0</v>
      </c>
      <c r="I847" s="28">
        <f t="shared" si="59"/>
        <v>0</v>
      </c>
      <c r="J847" s="28">
        <f t="shared" si="60"/>
        <v>0</v>
      </c>
      <c r="K847" s="29"/>
    </row>
    <row r="848" spans="1:11" ht="31.2">
      <c r="A848" s="26" t="s">
        <v>431</v>
      </c>
      <c r="B848" s="95" t="s">
        <v>738</v>
      </c>
      <c r="C848" s="108" t="s">
        <v>312</v>
      </c>
      <c r="D848" s="111">
        <v>10.65</v>
      </c>
      <c r="E848" s="27">
        <v>0</v>
      </c>
      <c r="F848" s="27">
        <v>0</v>
      </c>
      <c r="G848" s="27">
        <f t="shared" si="57"/>
        <v>0</v>
      </c>
      <c r="H848" s="28">
        <f t="shared" si="58"/>
        <v>0</v>
      </c>
      <c r="I848" s="28">
        <f t="shared" si="59"/>
        <v>0</v>
      </c>
      <c r="J848" s="28">
        <f t="shared" si="60"/>
        <v>0</v>
      </c>
      <c r="K848" s="29"/>
    </row>
    <row r="849" spans="1:11" ht="31.2">
      <c r="A849" s="26" t="s">
        <v>432</v>
      </c>
      <c r="B849" s="95" t="s">
        <v>877</v>
      </c>
      <c r="C849" s="108" t="s">
        <v>312</v>
      </c>
      <c r="D849" s="111">
        <v>22.73</v>
      </c>
      <c r="E849" s="27">
        <v>0</v>
      </c>
      <c r="F849" s="27">
        <v>0</v>
      </c>
      <c r="G849" s="27">
        <f t="shared" si="57"/>
        <v>0</v>
      </c>
      <c r="H849" s="28">
        <f t="shared" si="58"/>
        <v>0</v>
      </c>
      <c r="I849" s="28">
        <f t="shared" si="59"/>
        <v>0</v>
      </c>
      <c r="J849" s="28">
        <f t="shared" si="60"/>
        <v>0</v>
      </c>
      <c r="K849" s="29"/>
    </row>
    <row r="850" spans="1:11" ht="31.2">
      <c r="A850" s="26" t="s">
        <v>433</v>
      </c>
      <c r="B850" s="95" t="s">
        <v>878</v>
      </c>
      <c r="C850" s="108" t="s">
        <v>312</v>
      </c>
      <c r="D850" s="111">
        <v>15.25</v>
      </c>
      <c r="E850" s="27">
        <v>0</v>
      </c>
      <c r="F850" s="27">
        <v>0</v>
      </c>
      <c r="G850" s="27">
        <f t="shared" si="57"/>
        <v>0</v>
      </c>
      <c r="H850" s="28">
        <f t="shared" si="58"/>
        <v>0</v>
      </c>
      <c r="I850" s="28">
        <f t="shared" si="59"/>
        <v>0</v>
      </c>
      <c r="J850" s="28">
        <f t="shared" si="60"/>
        <v>0</v>
      </c>
      <c r="K850" s="29"/>
    </row>
    <row r="851" spans="1:11" ht="31.2">
      <c r="A851" s="26" t="s">
        <v>434</v>
      </c>
      <c r="B851" s="95" t="s">
        <v>739</v>
      </c>
      <c r="C851" s="108" t="s">
        <v>312</v>
      </c>
      <c r="D851" s="111">
        <v>58.69</v>
      </c>
      <c r="E851" s="27">
        <v>0</v>
      </c>
      <c r="F851" s="27">
        <v>0</v>
      </c>
      <c r="G851" s="27">
        <f t="shared" si="57"/>
        <v>0</v>
      </c>
      <c r="H851" s="28">
        <f t="shared" si="58"/>
        <v>0</v>
      </c>
      <c r="I851" s="28">
        <f t="shared" si="59"/>
        <v>0</v>
      </c>
      <c r="J851" s="28">
        <f t="shared" si="60"/>
        <v>0</v>
      </c>
      <c r="K851" s="29"/>
    </row>
    <row r="852" spans="1:11" ht="31.2">
      <c r="A852" s="26" t="s">
        <v>435</v>
      </c>
      <c r="B852" s="95" t="s">
        <v>740</v>
      </c>
      <c r="C852" s="108" t="s">
        <v>312</v>
      </c>
      <c r="D852" s="111">
        <v>40.729999999999997</v>
      </c>
      <c r="E852" s="27">
        <v>0</v>
      </c>
      <c r="F852" s="27">
        <v>0</v>
      </c>
      <c r="G852" s="27">
        <f t="shared" si="57"/>
        <v>0</v>
      </c>
      <c r="H852" s="28">
        <f t="shared" si="58"/>
        <v>0</v>
      </c>
      <c r="I852" s="28">
        <f t="shared" si="59"/>
        <v>0</v>
      </c>
      <c r="J852" s="28">
        <f t="shared" si="60"/>
        <v>0</v>
      </c>
      <c r="K852" s="29"/>
    </row>
    <row r="853" spans="1:11">
      <c r="A853" s="26" t="s">
        <v>436</v>
      </c>
      <c r="B853" s="95" t="s">
        <v>742</v>
      </c>
      <c r="C853" s="108" t="s">
        <v>313</v>
      </c>
      <c r="D853" s="111">
        <v>2</v>
      </c>
      <c r="E853" s="27">
        <v>0</v>
      </c>
      <c r="F853" s="27">
        <v>0</v>
      </c>
      <c r="G853" s="27">
        <f t="shared" si="57"/>
        <v>0</v>
      </c>
      <c r="H853" s="28">
        <f t="shared" si="58"/>
        <v>0</v>
      </c>
      <c r="I853" s="28">
        <f t="shared" si="59"/>
        <v>0</v>
      </c>
      <c r="J853" s="28">
        <f t="shared" si="60"/>
        <v>0</v>
      </c>
      <c r="K853" s="29"/>
    </row>
    <row r="854" spans="1:11" ht="31.2">
      <c r="A854" s="26" t="s">
        <v>437</v>
      </c>
      <c r="B854" s="95" t="s">
        <v>743</v>
      </c>
      <c r="C854" s="108" t="s">
        <v>313</v>
      </c>
      <c r="D854" s="111">
        <v>4</v>
      </c>
      <c r="E854" s="27">
        <v>0</v>
      </c>
      <c r="F854" s="27">
        <v>0</v>
      </c>
      <c r="G854" s="27">
        <f t="shared" si="57"/>
        <v>0</v>
      </c>
      <c r="H854" s="28">
        <f t="shared" si="58"/>
        <v>0</v>
      </c>
      <c r="I854" s="28">
        <f t="shared" si="59"/>
        <v>0</v>
      </c>
      <c r="J854" s="28">
        <f t="shared" si="60"/>
        <v>0</v>
      </c>
      <c r="K854" s="29"/>
    </row>
    <row r="855" spans="1:11" ht="31.2">
      <c r="A855" s="26" t="s">
        <v>438</v>
      </c>
      <c r="B855" s="95" t="s">
        <v>879</v>
      </c>
      <c r="C855" s="108" t="s">
        <v>313</v>
      </c>
      <c r="D855" s="111">
        <v>2</v>
      </c>
      <c r="E855" s="27">
        <v>0</v>
      </c>
      <c r="F855" s="27">
        <v>0</v>
      </c>
      <c r="G855" s="27">
        <f t="shared" si="57"/>
        <v>0</v>
      </c>
      <c r="H855" s="28">
        <f t="shared" si="58"/>
        <v>0</v>
      </c>
      <c r="I855" s="28">
        <f t="shared" si="59"/>
        <v>0</v>
      </c>
      <c r="J855" s="28">
        <f t="shared" si="60"/>
        <v>0</v>
      </c>
      <c r="K855" s="29"/>
    </row>
    <row r="856" spans="1:11" ht="31.2">
      <c r="A856" s="26" t="s">
        <v>439</v>
      </c>
      <c r="B856" s="95" t="s">
        <v>745</v>
      </c>
      <c r="C856" s="108" t="s">
        <v>313</v>
      </c>
      <c r="D856" s="111">
        <v>4</v>
      </c>
      <c r="E856" s="27">
        <v>0</v>
      </c>
      <c r="F856" s="27">
        <v>0</v>
      </c>
      <c r="G856" s="27">
        <f t="shared" si="57"/>
        <v>0</v>
      </c>
      <c r="H856" s="28">
        <f t="shared" si="58"/>
        <v>0</v>
      </c>
      <c r="I856" s="28">
        <f t="shared" si="59"/>
        <v>0</v>
      </c>
      <c r="J856" s="28">
        <f t="shared" si="60"/>
        <v>0</v>
      </c>
      <c r="K856" s="29"/>
    </row>
    <row r="857" spans="1:11" ht="31.2">
      <c r="A857" s="26" t="s">
        <v>440</v>
      </c>
      <c r="B857" s="95" t="s">
        <v>746</v>
      </c>
      <c r="C857" s="108" t="s">
        <v>313</v>
      </c>
      <c r="D857" s="111">
        <v>16</v>
      </c>
      <c r="E857" s="27">
        <v>0</v>
      </c>
      <c r="F857" s="27">
        <v>0</v>
      </c>
      <c r="G857" s="27">
        <f t="shared" si="57"/>
        <v>0</v>
      </c>
      <c r="H857" s="28">
        <f t="shared" si="58"/>
        <v>0</v>
      </c>
      <c r="I857" s="28">
        <f t="shared" si="59"/>
        <v>0</v>
      </c>
      <c r="J857" s="28">
        <f t="shared" si="60"/>
        <v>0</v>
      </c>
      <c r="K857" s="29"/>
    </row>
    <row r="858" spans="1:11" ht="31.2">
      <c r="A858" s="26" t="s">
        <v>441</v>
      </c>
      <c r="B858" s="95" t="s">
        <v>880</v>
      </c>
      <c r="C858" s="108" t="s">
        <v>313</v>
      </c>
      <c r="D858" s="111">
        <v>4</v>
      </c>
      <c r="E858" s="27">
        <v>0</v>
      </c>
      <c r="F858" s="27">
        <v>0</v>
      </c>
      <c r="G858" s="27">
        <f t="shared" si="57"/>
        <v>0</v>
      </c>
      <c r="H858" s="28">
        <f t="shared" si="58"/>
        <v>0</v>
      </c>
      <c r="I858" s="28">
        <f t="shared" si="59"/>
        <v>0</v>
      </c>
      <c r="J858" s="28">
        <f t="shared" si="60"/>
        <v>0</v>
      </c>
      <c r="K858" s="29"/>
    </row>
    <row r="859" spans="1:11">
      <c r="A859" s="26" t="s">
        <v>442</v>
      </c>
      <c r="B859" s="95" t="s">
        <v>750</v>
      </c>
      <c r="C859" s="108" t="s">
        <v>312</v>
      </c>
      <c r="D859" s="111">
        <v>0.16</v>
      </c>
      <c r="E859" s="27">
        <v>0</v>
      </c>
      <c r="F859" s="27">
        <v>0</v>
      </c>
      <c r="G859" s="27">
        <f t="shared" si="57"/>
        <v>0</v>
      </c>
      <c r="H859" s="28">
        <f t="shared" si="58"/>
        <v>0</v>
      </c>
      <c r="I859" s="28">
        <f t="shared" si="59"/>
        <v>0</v>
      </c>
      <c r="J859" s="28">
        <f t="shared" si="60"/>
        <v>0</v>
      </c>
      <c r="K859" s="29"/>
    </row>
    <row r="860" spans="1:11" ht="31.2">
      <c r="A860" s="26" t="s">
        <v>443</v>
      </c>
      <c r="B860" s="95" t="s">
        <v>751</v>
      </c>
      <c r="C860" s="108" t="s">
        <v>312</v>
      </c>
      <c r="D860" s="111">
        <v>29.34</v>
      </c>
      <c r="E860" s="27">
        <v>0</v>
      </c>
      <c r="F860" s="27">
        <v>0</v>
      </c>
      <c r="G860" s="27">
        <f t="shared" si="57"/>
        <v>0</v>
      </c>
      <c r="H860" s="28">
        <f t="shared" si="58"/>
        <v>0</v>
      </c>
      <c r="I860" s="28">
        <f t="shared" si="59"/>
        <v>0</v>
      </c>
      <c r="J860" s="28">
        <f t="shared" si="60"/>
        <v>0</v>
      </c>
      <c r="K860" s="29"/>
    </row>
    <row r="861" spans="1:11" ht="31.2">
      <c r="A861" s="26" t="s">
        <v>444</v>
      </c>
      <c r="B861" s="95" t="s">
        <v>752</v>
      </c>
      <c r="C861" s="108" t="s">
        <v>312</v>
      </c>
      <c r="D861" s="111">
        <v>2.76</v>
      </c>
      <c r="E861" s="27">
        <v>0</v>
      </c>
      <c r="F861" s="27">
        <v>0</v>
      </c>
      <c r="G861" s="27">
        <f t="shared" si="57"/>
        <v>0</v>
      </c>
      <c r="H861" s="28">
        <f t="shared" si="58"/>
        <v>0</v>
      </c>
      <c r="I861" s="28">
        <f t="shared" si="59"/>
        <v>0</v>
      </c>
      <c r="J861" s="28">
        <f t="shared" si="60"/>
        <v>0</v>
      </c>
      <c r="K861" s="29"/>
    </row>
    <row r="862" spans="1:11" ht="31.2">
      <c r="A862" s="26" t="s">
        <v>445</v>
      </c>
      <c r="B862" s="95" t="s">
        <v>753</v>
      </c>
      <c r="C862" s="108" t="s">
        <v>312</v>
      </c>
      <c r="D862" s="111">
        <v>241.72</v>
      </c>
      <c r="E862" s="27">
        <v>0</v>
      </c>
      <c r="F862" s="27">
        <v>0</v>
      </c>
      <c r="G862" s="27">
        <f t="shared" si="57"/>
        <v>0</v>
      </c>
      <c r="H862" s="28">
        <f t="shared" si="58"/>
        <v>0</v>
      </c>
      <c r="I862" s="28">
        <f t="shared" si="59"/>
        <v>0</v>
      </c>
      <c r="J862" s="28">
        <f t="shared" si="60"/>
        <v>0</v>
      </c>
      <c r="K862" s="29"/>
    </row>
    <row r="863" spans="1:11" ht="31.2">
      <c r="A863" s="26" t="s">
        <v>446</v>
      </c>
      <c r="B863" s="95" t="s">
        <v>754</v>
      </c>
      <c r="C863" s="108" t="s">
        <v>312</v>
      </c>
      <c r="D863" s="111">
        <v>32.270000000000003</v>
      </c>
      <c r="E863" s="27">
        <v>0</v>
      </c>
      <c r="F863" s="27">
        <v>0</v>
      </c>
      <c r="G863" s="27">
        <f t="shared" si="57"/>
        <v>0</v>
      </c>
      <c r="H863" s="28">
        <f t="shared" si="58"/>
        <v>0</v>
      </c>
      <c r="I863" s="28">
        <f t="shared" si="59"/>
        <v>0</v>
      </c>
      <c r="J863" s="28">
        <f t="shared" si="60"/>
        <v>0</v>
      </c>
      <c r="K863" s="29"/>
    </row>
    <row r="864" spans="1:11" ht="31.2">
      <c r="A864" s="26" t="s">
        <v>447</v>
      </c>
      <c r="B864" s="95" t="s">
        <v>755</v>
      </c>
      <c r="C864" s="108" t="s">
        <v>312</v>
      </c>
      <c r="D864" s="111">
        <v>3.03</v>
      </c>
      <c r="E864" s="27">
        <v>0</v>
      </c>
      <c r="F864" s="27">
        <v>0</v>
      </c>
      <c r="G864" s="27">
        <f t="shared" si="57"/>
        <v>0</v>
      </c>
      <c r="H864" s="28">
        <f t="shared" si="58"/>
        <v>0</v>
      </c>
      <c r="I864" s="28">
        <f t="shared" si="59"/>
        <v>0</v>
      </c>
      <c r="J864" s="28">
        <f t="shared" si="60"/>
        <v>0</v>
      </c>
      <c r="K864" s="29"/>
    </row>
    <row r="865" spans="1:11" ht="31.2">
      <c r="A865" s="26" t="s">
        <v>448</v>
      </c>
      <c r="B865" s="95" t="s">
        <v>756</v>
      </c>
      <c r="C865" s="108" t="s">
        <v>312</v>
      </c>
      <c r="D865" s="111">
        <v>125.33</v>
      </c>
      <c r="E865" s="27">
        <v>0</v>
      </c>
      <c r="F865" s="27">
        <v>0</v>
      </c>
      <c r="G865" s="27">
        <f t="shared" si="57"/>
        <v>0</v>
      </c>
      <c r="H865" s="28">
        <f t="shared" si="58"/>
        <v>0</v>
      </c>
      <c r="I865" s="28">
        <f t="shared" si="59"/>
        <v>0</v>
      </c>
      <c r="J865" s="28">
        <f t="shared" si="60"/>
        <v>0</v>
      </c>
      <c r="K865" s="29"/>
    </row>
    <row r="866" spans="1:11" ht="31.2">
      <c r="A866" s="26" t="s">
        <v>449</v>
      </c>
      <c r="B866" s="95" t="s">
        <v>881</v>
      </c>
      <c r="C866" s="108" t="s">
        <v>312</v>
      </c>
      <c r="D866" s="111">
        <v>140.30000000000001</v>
      </c>
      <c r="E866" s="27">
        <v>0</v>
      </c>
      <c r="F866" s="27">
        <v>0</v>
      </c>
      <c r="G866" s="27">
        <f t="shared" ref="G866:G921" si="61">E866+F866</f>
        <v>0</v>
      </c>
      <c r="H866" s="28">
        <f t="shared" ref="H866:H921" si="62">D866*E866</f>
        <v>0</v>
      </c>
      <c r="I866" s="28">
        <f t="shared" ref="I866:I921" si="63">D866*F866</f>
        <v>0</v>
      </c>
      <c r="J866" s="28">
        <f t="shared" ref="J866:J921" si="64">H866+I866</f>
        <v>0</v>
      </c>
      <c r="K866" s="29"/>
    </row>
    <row r="867" spans="1:11">
      <c r="A867" s="26" t="s">
        <v>450</v>
      </c>
      <c r="B867" s="95" t="s">
        <v>757</v>
      </c>
      <c r="C867" s="108" t="s">
        <v>314</v>
      </c>
      <c r="D867" s="111">
        <v>177.77</v>
      </c>
      <c r="E867" s="27">
        <v>0</v>
      </c>
      <c r="F867" s="27">
        <v>0</v>
      </c>
      <c r="G867" s="27">
        <f t="shared" si="61"/>
        <v>0</v>
      </c>
      <c r="H867" s="28">
        <f t="shared" si="62"/>
        <v>0</v>
      </c>
      <c r="I867" s="28">
        <f t="shared" si="63"/>
        <v>0</v>
      </c>
      <c r="J867" s="28">
        <f t="shared" si="64"/>
        <v>0</v>
      </c>
      <c r="K867" s="29"/>
    </row>
    <row r="868" spans="1:11">
      <c r="A868" s="26" t="s">
        <v>451</v>
      </c>
      <c r="B868" s="95" t="s">
        <v>742</v>
      </c>
      <c r="C868" s="108" t="s">
        <v>313</v>
      </c>
      <c r="D868" s="111">
        <v>40</v>
      </c>
      <c r="E868" s="27">
        <v>0</v>
      </c>
      <c r="F868" s="27">
        <v>0</v>
      </c>
      <c r="G868" s="27">
        <f t="shared" si="61"/>
        <v>0</v>
      </c>
      <c r="H868" s="28">
        <f t="shared" si="62"/>
        <v>0</v>
      </c>
      <c r="I868" s="28">
        <f t="shared" si="63"/>
        <v>0</v>
      </c>
      <c r="J868" s="28">
        <f t="shared" si="64"/>
        <v>0</v>
      </c>
      <c r="K868" s="29"/>
    </row>
    <row r="869" spans="1:11" ht="31.2">
      <c r="A869" s="26" t="s">
        <v>452</v>
      </c>
      <c r="B869" s="95" t="s">
        <v>743</v>
      </c>
      <c r="C869" s="108" t="s">
        <v>313</v>
      </c>
      <c r="D869" s="111">
        <v>2</v>
      </c>
      <c r="E869" s="27">
        <v>0</v>
      </c>
      <c r="F869" s="27">
        <v>0</v>
      </c>
      <c r="G869" s="27">
        <f t="shared" si="61"/>
        <v>0</v>
      </c>
      <c r="H869" s="28">
        <f t="shared" si="62"/>
        <v>0</v>
      </c>
      <c r="I869" s="28">
        <f t="shared" si="63"/>
        <v>0</v>
      </c>
      <c r="J869" s="28">
        <f t="shared" si="64"/>
        <v>0</v>
      </c>
      <c r="K869" s="29"/>
    </row>
    <row r="870" spans="1:11" ht="31.2">
      <c r="A870" s="26" t="s">
        <v>453</v>
      </c>
      <c r="B870" s="95" t="s">
        <v>758</v>
      </c>
      <c r="C870" s="108" t="s">
        <v>313</v>
      </c>
      <c r="D870" s="111">
        <v>9</v>
      </c>
      <c r="E870" s="27">
        <v>0</v>
      </c>
      <c r="F870" s="27">
        <v>0</v>
      </c>
      <c r="G870" s="27">
        <f t="shared" si="61"/>
        <v>0</v>
      </c>
      <c r="H870" s="28">
        <f t="shared" si="62"/>
        <v>0</v>
      </c>
      <c r="I870" s="28">
        <f t="shared" si="63"/>
        <v>0</v>
      </c>
      <c r="J870" s="28">
        <f t="shared" si="64"/>
        <v>0</v>
      </c>
      <c r="K870" s="29"/>
    </row>
    <row r="871" spans="1:11" ht="31.2">
      <c r="A871" s="26" t="s">
        <v>454</v>
      </c>
      <c r="B871" s="95" t="s">
        <v>759</v>
      </c>
      <c r="C871" s="108" t="s">
        <v>313</v>
      </c>
      <c r="D871" s="111">
        <v>5</v>
      </c>
      <c r="E871" s="27">
        <v>0</v>
      </c>
      <c r="F871" s="27">
        <v>0</v>
      </c>
      <c r="G871" s="27">
        <f t="shared" si="61"/>
        <v>0</v>
      </c>
      <c r="H871" s="28">
        <f t="shared" si="62"/>
        <v>0</v>
      </c>
      <c r="I871" s="28">
        <f t="shared" si="63"/>
        <v>0</v>
      </c>
      <c r="J871" s="28">
        <f t="shared" si="64"/>
        <v>0</v>
      </c>
      <c r="K871" s="29"/>
    </row>
    <row r="872" spans="1:11" ht="31.2">
      <c r="A872" s="26" t="s">
        <v>455</v>
      </c>
      <c r="B872" s="95" t="s">
        <v>760</v>
      </c>
      <c r="C872" s="108" t="s">
        <v>313</v>
      </c>
      <c r="D872" s="111">
        <v>1</v>
      </c>
      <c r="E872" s="27">
        <v>0</v>
      </c>
      <c r="F872" s="27">
        <v>0</v>
      </c>
      <c r="G872" s="27">
        <f t="shared" si="61"/>
        <v>0</v>
      </c>
      <c r="H872" s="28">
        <f t="shared" si="62"/>
        <v>0</v>
      </c>
      <c r="I872" s="28">
        <f t="shared" si="63"/>
        <v>0</v>
      </c>
      <c r="J872" s="28">
        <f t="shared" si="64"/>
        <v>0</v>
      </c>
      <c r="K872" s="29"/>
    </row>
    <row r="873" spans="1:11" ht="31.2">
      <c r="A873" s="26" t="s">
        <v>456</v>
      </c>
      <c r="B873" s="95" t="s">
        <v>882</v>
      </c>
      <c r="C873" s="108" t="s">
        <v>313</v>
      </c>
      <c r="D873" s="111">
        <v>3</v>
      </c>
      <c r="E873" s="27">
        <v>0</v>
      </c>
      <c r="F873" s="27">
        <v>0</v>
      </c>
      <c r="G873" s="27">
        <f t="shared" si="61"/>
        <v>0</v>
      </c>
      <c r="H873" s="28">
        <f t="shared" si="62"/>
        <v>0</v>
      </c>
      <c r="I873" s="28">
        <f t="shared" si="63"/>
        <v>0</v>
      </c>
      <c r="J873" s="28">
        <f t="shared" si="64"/>
        <v>0</v>
      </c>
      <c r="K873" s="29"/>
    </row>
    <row r="874" spans="1:11" ht="31.2">
      <c r="A874" s="26" t="s">
        <v>457</v>
      </c>
      <c r="B874" s="95" t="s">
        <v>883</v>
      </c>
      <c r="C874" s="108" t="s">
        <v>313</v>
      </c>
      <c r="D874" s="111">
        <v>1</v>
      </c>
      <c r="E874" s="27">
        <v>0</v>
      </c>
      <c r="F874" s="27">
        <v>0</v>
      </c>
      <c r="G874" s="27">
        <f t="shared" si="61"/>
        <v>0</v>
      </c>
      <c r="H874" s="28">
        <f t="shared" si="62"/>
        <v>0</v>
      </c>
      <c r="I874" s="28">
        <f t="shared" si="63"/>
        <v>0</v>
      </c>
      <c r="J874" s="28">
        <f t="shared" si="64"/>
        <v>0</v>
      </c>
      <c r="K874" s="29"/>
    </row>
    <row r="875" spans="1:11" ht="31.2">
      <c r="A875" s="26" t="s">
        <v>458</v>
      </c>
      <c r="B875" s="95" t="s">
        <v>884</v>
      </c>
      <c r="C875" s="108" t="s">
        <v>313</v>
      </c>
      <c r="D875" s="111">
        <v>5</v>
      </c>
      <c r="E875" s="27">
        <v>0</v>
      </c>
      <c r="F875" s="27">
        <v>0</v>
      </c>
      <c r="G875" s="27">
        <f t="shared" si="61"/>
        <v>0</v>
      </c>
      <c r="H875" s="28">
        <f t="shared" si="62"/>
        <v>0</v>
      </c>
      <c r="I875" s="28">
        <f t="shared" si="63"/>
        <v>0</v>
      </c>
      <c r="J875" s="28">
        <f t="shared" si="64"/>
        <v>0</v>
      </c>
      <c r="K875" s="29"/>
    </row>
    <row r="876" spans="1:11" ht="31.2">
      <c r="A876" s="26" t="s">
        <v>459</v>
      </c>
      <c r="B876" s="95" t="s">
        <v>761</v>
      </c>
      <c r="C876" s="108" t="s">
        <v>313</v>
      </c>
      <c r="D876" s="111">
        <v>8</v>
      </c>
      <c r="E876" s="27">
        <v>0</v>
      </c>
      <c r="F876" s="27">
        <v>0</v>
      </c>
      <c r="G876" s="27">
        <f t="shared" si="61"/>
        <v>0</v>
      </c>
      <c r="H876" s="28">
        <f t="shared" si="62"/>
        <v>0</v>
      </c>
      <c r="I876" s="28">
        <f t="shared" si="63"/>
        <v>0</v>
      </c>
      <c r="J876" s="28">
        <f t="shared" si="64"/>
        <v>0</v>
      </c>
      <c r="K876" s="29"/>
    </row>
    <row r="877" spans="1:11" ht="31.2">
      <c r="A877" s="26" t="s">
        <v>460</v>
      </c>
      <c r="B877" s="95" t="s">
        <v>885</v>
      </c>
      <c r="C877" s="108" t="s">
        <v>313</v>
      </c>
      <c r="D877" s="111">
        <v>2</v>
      </c>
      <c r="E877" s="27">
        <v>0</v>
      </c>
      <c r="F877" s="27">
        <v>0</v>
      </c>
      <c r="G877" s="27">
        <f t="shared" si="61"/>
        <v>0</v>
      </c>
      <c r="H877" s="28">
        <f t="shared" si="62"/>
        <v>0</v>
      </c>
      <c r="I877" s="28">
        <f t="shared" si="63"/>
        <v>0</v>
      </c>
      <c r="J877" s="28">
        <f t="shared" si="64"/>
        <v>0</v>
      </c>
      <c r="K877" s="29"/>
    </row>
    <row r="878" spans="1:11" ht="31.2">
      <c r="A878" s="26" t="s">
        <v>461</v>
      </c>
      <c r="B878" s="95" t="s">
        <v>745</v>
      </c>
      <c r="C878" s="108" t="s">
        <v>313</v>
      </c>
      <c r="D878" s="111">
        <v>48</v>
      </c>
      <c r="E878" s="27">
        <v>0</v>
      </c>
      <c r="F878" s="27">
        <v>0</v>
      </c>
      <c r="G878" s="27">
        <f t="shared" si="61"/>
        <v>0</v>
      </c>
      <c r="H878" s="28">
        <f t="shared" si="62"/>
        <v>0</v>
      </c>
      <c r="I878" s="28">
        <f t="shared" si="63"/>
        <v>0</v>
      </c>
      <c r="J878" s="28">
        <f t="shared" si="64"/>
        <v>0</v>
      </c>
      <c r="K878" s="29"/>
    </row>
    <row r="879" spans="1:11" ht="31.2">
      <c r="A879" s="26" t="s">
        <v>462</v>
      </c>
      <c r="B879" s="95" t="s">
        <v>886</v>
      </c>
      <c r="C879" s="108" t="s">
        <v>313</v>
      </c>
      <c r="D879" s="111">
        <v>23</v>
      </c>
      <c r="E879" s="27">
        <v>0</v>
      </c>
      <c r="F879" s="27">
        <v>0</v>
      </c>
      <c r="G879" s="27">
        <f t="shared" si="61"/>
        <v>0</v>
      </c>
      <c r="H879" s="28">
        <f t="shared" si="62"/>
        <v>0</v>
      </c>
      <c r="I879" s="28">
        <f t="shared" si="63"/>
        <v>0</v>
      </c>
      <c r="J879" s="28">
        <f t="shared" si="64"/>
        <v>0</v>
      </c>
      <c r="K879" s="29"/>
    </row>
    <row r="880" spans="1:11" ht="31.2">
      <c r="A880" s="26" t="s">
        <v>463</v>
      </c>
      <c r="B880" s="95" t="s">
        <v>762</v>
      </c>
      <c r="C880" s="108" t="s">
        <v>313</v>
      </c>
      <c r="D880" s="111">
        <v>45</v>
      </c>
      <c r="E880" s="27">
        <v>0</v>
      </c>
      <c r="F880" s="27">
        <v>0</v>
      </c>
      <c r="G880" s="27">
        <f t="shared" si="61"/>
        <v>0</v>
      </c>
      <c r="H880" s="28">
        <f t="shared" si="62"/>
        <v>0</v>
      </c>
      <c r="I880" s="28">
        <f t="shared" si="63"/>
        <v>0</v>
      </c>
      <c r="J880" s="28">
        <f t="shared" si="64"/>
        <v>0</v>
      </c>
      <c r="K880" s="29"/>
    </row>
    <row r="881" spans="1:11" ht="31.2">
      <c r="A881" s="26" t="s">
        <v>464</v>
      </c>
      <c r="B881" s="95" t="s">
        <v>763</v>
      </c>
      <c r="C881" s="108" t="s">
        <v>313</v>
      </c>
      <c r="D881" s="111">
        <v>6</v>
      </c>
      <c r="E881" s="27">
        <v>0</v>
      </c>
      <c r="F881" s="27">
        <v>0</v>
      </c>
      <c r="G881" s="27">
        <f t="shared" si="61"/>
        <v>0</v>
      </c>
      <c r="H881" s="28">
        <f t="shared" si="62"/>
        <v>0</v>
      </c>
      <c r="I881" s="28">
        <f t="shared" si="63"/>
        <v>0</v>
      </c>
      <c r="J881" s="28">
        <f t="shared" si="64"/>
        <v>0</v>
      </c>
      <c r="K881" s="29"/>
    </row>
    <row r="882" spans="1:11" ht="31.2">
      <c r="A882" s="26" t="s">
        <v>465</v>
      </c>
      <c r="B882" s="95" t="s">
        <v>887</v>
      </c>
      <c r="C882" s="108" t="s">
        <v>313</v>
      </c>
      <c r="D882" s="111">
        <v>18</v>
      </c>
      <c r="E882" s="27">
        <v>0</v>
      </c>
      <c r="F882" s="27">
        <v>0</v>
      </c>
      <c r="G882" s="27">
        <f t="shared" si="61"/>
        <v>0</v>
      </c>
      <c r="H882" s="28">
        <f t="shared" si="62"/>
        <v>0</v>
      </c>
      <c r="I882" s="28">
        <f t="shared" si="63"/>
        <v>0</v>
      </c>
      <c r="J882" s="28">
        <f t="shared" si="64"/>
        <v>0</v>
      </c>
      <c r="K882" s="29"/>
    </row>
    <row r="883" spans="1:11" ht="31.2">
      <c r="A883" s="26" t="s">
        <v>466</v>
      </c>
      <c r="B883" s="95" t="s">
        <v>746</v>
      </c>
      <c r="C883" s="108" t="s">
        <v>313</v>
      </c>
      <c r="D883" s="111">
        <v>12</v>
      </c>
      <c r="E883" s="27">
        <v>0</v>
      </c>
      <c r="F883" s="27">
        <v>0</v>
      </c>
      <c r="G883" s="27">
        <f t="shared" si="61"/>
        <v>0</v>
      </c>
      <c r="H883" s="28">
        <f t="shared" si="62"/>
        <v>0</v>
      </c>
      <c r="I883" s="28">
        <f t="shared" si="63"/>
        <v>0</v>
      </c>
      <c r="J883" s="28">
        <f t="shared" si="64"/>
        <v>0</v>
      </c>
      <c r="K883" s="29"/>
    </row>
    <row r="884" spans="1:11" ht="46.8">
      <c r="A884" s="26" t="s">
        <v>467</v>
      </c>
      <c r="B884" s="95" t="s">
        <v>764</v>
      </c>
      <c r="C884" s="108" t="s">
        <v>313</v>
      </c>
      <c r="D884" s="111">
        <v>13</v>
      </c>
      <c r="E884" s="27">
        <v>0</v>
      </c>
      <c r="F884" s="27">
        <v>0</v>
      </c>
      <c r="G884" s="27">
        <f t="shared" si="61"/>
        <v>0</v>
      </c>
      <c r="H884" s="28">
        <f t="shared" si="62"/>
        <v>0</v>
      </c>
      <c r="I884" s="28">
        <f t="shared" si="63"/>
        <v>0</v>
      </c>
      <c r="J884" s="28">
        <f t="shared" si="64"/>
        <v>0</v>
      </c>
      <c r="K884" s="29"/>
    </row>
    <row r="885" spans="1:11" ht="46.8">
      <c r="A885" s="26" t="s">
        <v>468</v>
      </c>
      <c r="B885" s="95" t="s">
        <v>888</v>
      </c>
      <c r="C885" s="108" t="s">
        <v>313</v>
      </c>
      <c r="D885" s="111">
        <v>1</v>
      </c>
      <c r="E885" s="27">
        <v>0</v>
      </c>
      <c r="F885" s="27">
        <v>0</v>
      </c>
      <c r="G885" s="27">
        <f t="shared" si="61"/>
        <v>0</v>
      </c>
      <c r="H885" s="28">
        <f t="shared" si="62"/>
        <v>0</v>
      </c>
      <c r="I885" s="28">
        <f t="shared" si="63"/>
        <v>0</v>
      </c>
      <c r="J885" s="28">
        <f t="shared" si="64"/>
        <v>0</v>
      </c>
      <c r="K885" s="29"/>
    </row>
    <row r="886" spans="1:11" ht="31.2">
      <c r="A886" s="26" t="s">
        <v>469</v>
      </c>
      <c r="B886" s="95" t="s">
        <v>889</v>
      </c>
      <c r="C886" s="108" t="s">
        <v>313</v>
      </c>
      <c r="D886" s="111">
        <v>5</v>
      </c>
      <c r="E886" s="27">
        <v>0</v>
      </c>
      <c r="F886" s="27">
        <v>0</v>
      </c>
      <c r="G886" s="27">
        <f t="shared" si="61"/>
        <v>0</v>
      </c>
      <c r="H886" s="28">
        <f t="shared" si="62"/>
        <v>0</v>
      </c>
      <c r="I886" s="28">
        <f t="shared" si="63"/>
        <v>0</v>
      </c>
      <c r="J886" s="28">
        <f t="shared" si="64"/>
        <v>0</v>
      </c>
      <c r="K886" s="29"/>
    </row>
    <row r="887" spans="1:11" ht="31.2">
      <c r="A887" s="26" t="s">
        <v>470</v>
      </c>
      <c r="B887" s="95" t="s">
        <v>766</v>
      </c>
      <c r="C887" s="108" t="s">
        <v>313</v>
      </c>
      <c r="D887" s="111">
        <v>9</v>
      </c>
      <c r="E887" s="27">
        <v>0</v>
      </c>
      <c r="F887" s="27">
        <v>0</v>
      </c>
      <c r="G887" s="27">
        <f t="shared" si="61"/>
        <v>0</v>
      </c>
      <c r="H887" s="28">
        <f t="shared" si="62"/>
        <v>0</v>
      </c>
      <c r="I887" s="28">
        <f t="shared" si="63"/>
        <v>0</v>
      </c>
      <c r="J887" s="28">
        <f t="shared" si="64"/>
        <v>0</v>
      </c>
      <c r="K887" s="29"/>
    </row>
    <row r="888" spans="1:11" ht="31.2">
      <c r="A888" s="26" t="s">
        <v>471</v>
      </c>
      <c r="B888" s="95" t="s">
        <v>890</v>
      </c>
      <c r="C888" s="108" t="s">
        <v>313</v>
      </c>
      <c r="D888" s="111">
        <v>1</v>
      </c>
      <c r="E888" s="27">
        <v>0</v>
      </c>
      <c r="F888" s="27">
        <v>0</v>
      </c>
      <c r="G888" s="27">
        <f t="shared" si="61"/>
        <v>0</v>
      </c>
      <c r="H888" s="28">
        <f t="shared" si="62"/>
        <v>0</v>
      </c>
      <c r="I888" s="28">
        <f t="shared" si="63"/>
        <v>0</v>
      </c>
      <c r="J888" s="28">
        <f t="shared" si="64"/>
        <v>0</v>
      </c>
      <c r="K888" s="29"/>
    </row>
    <row r="889" spans="1:11" ht="31.2">
      <c r="A889" s="26" t="s">
        <v>472</v>
      </c>
      <c r="B889" s="95" t="s">
        <v>891</v>
      </c>
      <c r="C889" s="108" t="s">
        <v>313</v>
      </c>
      <c r="D889" s="111">
        <v>4</v>
      </c>
      <c r="E889" s="27">
        <v>0</v>
      </c>
      <c r="F889" s="27">
        <v>0</v>
      </c>
      <c r="G889" s="27">
        <f t="shared" si="61"/>
        <v>0</v>
      </c>
      <c r="H889" s="28">
        <f t="shared" si="62"/>
        <v>0</v>
      </c>
      <c r="I889" s="28">
        <f t="shared" si="63"/>
        <v>0</v>
      </c>
      <c r="J889" s="28">
        <f t="shared" si="64"/>
        <v>0</v>
      </c>
      <c r="K889" s="29"/>
    </row>
    <row r="890" spans="1:11" ht="31.2">
      <c r="A890" s="26" t="s">
        <v>473</v>
      </c>
      <c r="B890" s="95" t="s">
        <v>749</v>
      </c>
      <c r="C890" s="108" t="s">
        <v>313</v>
      </c>
      <c r="D890" s="111">
        <v>2</v>
      </c>
      <c r="E890" s="27">
        <v>0</v>
      </c>
      <c r="F890" s="27">
        <v>0</v>
      </c>
      <c r="G890" s="27">
        <f t="shared" si="61"/>
        <v>0</v>
      </c>
      <c r="H890" s="28">
        <f t="shared" si="62"/>
        <v>0</v>
      </c>
      <c r="I890" s="28">
        <f t="shared" si="63"/>
        <v>0</v>
      </c>
      <c r="J890" s="28">
        <f t="shared" si="64"/>
        <v>0</v>
      </c>
      <c r="K890" s="29"/>
    </row>
    <row r="891" spans="1:11" ht="31.2">
      <c r="A891" s="26" t="s">
        <v>474</v>
      </c>
      <c r="B891" s="95" t="s">
        <v>892</v>
      </c>
      <c r="C891" s="108" t="s">
        <v>313</v>
      </c>
      <c r="D891" s="111">
        <v>9</v>
      </c>
      <c r="E891" s="27">
        <v>0</v>
      </c>
      <c r="F891" s="27">
        <v>0</v>
      </c>
      <c r="G891" s="27">
        <f t="shared" si="61"/>
        <v>0</v>
      </c>
      <c r="H891" s="28">
        <f t="shared" si="62"/>
        <v>0</v>
      </c>
      <c r="I891" s="28">
        <f t="shared" si="63"/>
        <v>0</v>
      </c>
      <c r="J891" s="28">
        <f t="shared" si="64"/>
        <v>0</v>
      </c>
      <c r="K891" s="29" t="s">
        <v>321</v>
      </c>
    </row>
    <row r="892" spans="1:11" ht="31.2">
      <c r="A892" s="26" t="s">
        <v>475</v>
      </c>
      <c r="B892" s="95" t="s">
        <v>767</v>
      </c>
      <c r="C892" s="108" t="s">
        <v>313</v>
      </c>
      <c r="D892" s="111">
        <v>2</v>
      </c>
      <c r="E892" s="27">
        <v>0</v>
      </c>
      <c r="F892" s="27">
        <v>0</v>
      </c>
      <c r="G892" s="27">
        <f t="shared" si="61"/>
        <v>0</v>
      </c>
      <c r="H892" s="28">
        <f t="shared" si="62"/>
        <v>0</v>
      </c>
      <c r="I892" s="28">
        <f t="shared" si="63"/>
        <v>0</v>
      </c>
      <c r="J892" s="28">
        <f t="shared" si="64"/>
        <v>0</v>
      </c>
      <c r="K892" s="29" t="s">
        <v>321</v>
      </c>
    </row>
    <row r="893" spans="1:11" ht="31.2">
      <c r="A893" s="26" t="s">
        <v>476</v>
      </c>
      <c r="B893" s="95" t="s">
        <v>747</v>
      </c>
      <c r="C893" s="108" t="s">
        <v>313</v>
      </c>
      <c r="D893" s="111">
        <v>15</v>
      </c>
      <c r="E893" s="27">
        <v>0</v>
      </c>
      <c r="F893" s="27">
        <v>0</v>
      </c>
      <c r="G893" s="27">
        <f t="shared" si="61"/>
        <v>0</v>
      </c>
      <c r="H893" s="28">
        <f t="shared" si="62"/>
        <v>0</v>
      </c>
      <c r="I893" s="28">
        <f t="shared" si="63"/>
        <v>0</v>
      </c>
      <c r="J893" s="28">
        <f t="shared" si="64"/>
        <v>0</v>
      </c>
      <c r="K893" s="29" t="s">
        <v>321</v>
      </c>
    </row>
    <row r="894" spans="1:11" ht="31.2">
      <c r="A894" s="26" t="s">
        <v>477</v>
      </c>
      <c r="B894" s="95" t="s">
        <v>893</v>
      </c>
      <c r="C894" s="108" t="s">
        <v>313</v>
      </c>
      <c r="D894" s="111">
        <v>2</v>
      </c>
      <c r="E894" s="27">
        <v>0</v>
      </c>
      <c r="F894" s="27">
        <v>0</v>
      </c>
      <c r="G894" s="27">
        <f t="shared" si="61"/>
        <v>0</v>
      </c>
      <c r="H894" s="28">
        <f t="shared" si="62"/>
        <v>0</v>
      </c>
      <c r="I894" s="28">
        <f t="shared" si="63"/>
        <v>0</v>
      </c>
      <c r="J894" s="28">
        <f t="shared" si="64"/>
        <v>0</v>
      </c>
      <c r="K894" s="29" t="s">
        <v>321</v>
      </c>
    </row>
    <row r="895" spans="1:11" ht="31.2">
      <c r="A895" s="26" t="s">
        <v>478</v>
      </c>
      <c r="B895" s="95" t="s">
        <v>894</v>
      </c>
      <c r="C895" s="108" t="s">
        <v>313</v>
      </c>
      <c r="D895" s="111">
        <v>2</v>
      </c>
      <c r="E895" s="27">
        <v>0</v>
      </c>
      <c r="F895" s="27">
        <v>0</v>
      </c>
      <c r="G895" s="27">
        <f t="shared" si="61"/>
        <v>0</v>
      </c>
      <c r="H895" s="28">
        <f t="shared" si="62"/>
        <v>0</v>
      </c>
      <c r="I895" s="28">
        <f t="shared" si="63"/>
        <v>0</v>
      </c>
      <c r="J895" s="28">
        <f t="shared" si="64"/>
        <v>0</v>
      </c>
      <c r="K895" s="29" t="s">
        <v>321</v>
      </c>
    </row>
    <row r="896" spans="1:11" ht="31.2">
      <c r="A896" s="26" t="s">
        <v>479</v>
      </c>
      <c r="B896" s="95" t="s">
        <v>895</v>
      </c>
      <c r="C896" s="108" t="s">
        <v>313</v>
      </c>
      <c r="D896" s="111">
        <v>2</v>
      </c>
      <c r="E896" s="27">
        <v>0</v>
      </c>
      <c r="F896" s="27">
        <v>0</v>
      </c>
      <c r="G896" s="27">
        <f t="shared" si="61"/>
        <v>0</v>
      </c>
      <c r="H896" s="28">
        <f t="shared" si="62"/>
        <v>0</v>
      </c>
      <c r="I896" s="28">
        <f t="shared" si="63"/>
        <v>0</v>
      </c>
      <c r="J896" s="28">
        <f t="shared" si="64"/>
        <v>0</v>
      </c>
      <c r="K896" s="29" t="s">
        <v>321</v>
      </c>
    </row>
    <row r="897" spans="1:11">
      <c r="A897" s="26" t="s">
        <v>480</v>
      </c>
      <c r="B897" s="95" t="s">
        <v>750</v>
      </c>
      <c r="C897" s="108" t="s">
        <v>312</v>
      </c>
      <c r="D897" s="111">
        <v>2.16</v>
      </c>
      <c r="E897" s="27">
        <v>0</v>
      </c>
      <c r="F897" s="27">
        <v>0</v>
      </c>
      <c r="G897" s="27">
        <f t="shared" si="61"/>
        <v>0</v>
      </c>
      <c r="H897" s="28">
        <f t="shared" si="62"/>
        <v>0</v>
      </c>
      <c r="I897" s="28">
        <f t="shared" si="63"/>
        <v>0</v>
      </c>
      <c r="J897" s="28">
        <f t="shared" si="64"/>
        <v>0</v>
      </c>
      <c r="K897" s="29"/>
    </row>
    <row r="898" spans="1:11">
      <c r="A898" s="26" t="s">
        <v>481</v>
      </c>
      <c r="B898" s="95" t="s">
        <v>769</v>
      </c>
      <c r="C898" s="108" t="s">
        <v>312</v>
      </c>
      <c r="D898" s="111">
        <v>95.58</v>
      </c>
      <c r="E898" s="27">
        <v>0</v>
      </c>
      <c r="F898" s="27">
        <v>0</v>
      </c>
      <c r="G898" s="27">
        <f t="shared" si="61"/>
        <v>0</v>
      </c>
      <c r="H898" s="28">
        <f t="shared" si="62"/>
        <v>0</v>
      </c>
      <c r="I898" s="28">
        <f t="shared" si="63"/>
        <v>0</v>
      </c>
      <c r="J898" s="28">
        <f t="shared" si="64"/>
        <v>0</v>
      </c>
      <c r="K898" s="29"/>
    </row>
    <row r="899" spans="1:11">
      <c r="A899" s="26" t="s">
        <v>482</v>
      </c>
      <c r="B899" s="95" t="s">
        <v>770</v>
      </c>
      <c r="C899" s="108" t="s">
        <v>312</v>
      </c>
      <c r="D899" s="111">
        <v>185.53</v>
      </c>
      <c r="E899" s="27">
        <v>0</v>
      </c>
      <c r="F899" s="27">
        <v>0</v>
      </c>
      <c r="G899" s="27">
        <f t="shared" si="61"/>
        <v>0</v>
      </c>
      <c r="H899" s="28">
        <f t="shared" si="62"/>
        <v>0</v>
      </c>
      <c r="I899" s="28">
        <f t="shared" si="63"/>
        <v>0</v>
      </c>
      <c r="J899" s="28">
        <f t="shared" si="64"/>
        <v>0</v>
      </c>
      <c r="K899" s="29"/>
    </row>
    <row r="900" spans="1:11">
      <c r="A900" s="26" t="s">
        <v>483</v>
      </c>
      <c r="B900" s="95" t="s">
        <v>771</v>
      </c>
      <c r="C900" s="108" t="s">
        <v>312</v>
      </c>
      <c r="D900" s="111">
        <v>37.299999999999997</v>
      </c>
      <c r="E900" s="27">
        <v>0</v>
      </c>
      <c r="F900" s="27">
        <v>0</v>
      </c>
      <c r="G900" s="27">
        <f t="shared" si="61"/>
        <v>0</v>
      </c>
      <c r="H900" s="28">
        <f t="shared" si="62"/>
        <v>0</v>
      </c>
      <c r="I900" s="28">
        <f t="shared" si="63"/>
        <v>0</v>
      </c>
      <c r="J900" s="28">
        <f t="shared" si="64"/>
        <v>0</v>
      </c>
      <c r="K900" s="29"/>
    </row>
    <row r="901" spans="1:11">
      <c r="A901" s="26" t="s">
        <v>484</v>
      </c>
      <c r="B901" s="95" t="s">
        <v>896</v>
      </c>
      <c r="C901" s="108" t="s">
        <v>312</v>
      </c>
      <c r="D901" s="111">
        <v>39.369999999999997</v>
      </c>
      <c r="E901" s="27">
        <v>0</v>
      </c>
      <c r="F901" s="27">
        <v>0</v>
      </c>
      <c r="G901" s="27">
        <f t="shared" si="61"/>
        <v>0</v>
      </c>
      <c r="H901" s="28">
        <f t="shared" si="62"/>
        <v>0</v>
      </c>
      <c r="I901" s="28">
        <f t="shared" si="63"/>
        <v>0</v>
      </c>
      <c r="J901" s="28">
        <f t="shared" si="64"/>
        <v>0</v>
      </c>
      <c r="K901" s="29"/>
    </row>
    <row r="902" spans="1:11" ht="31.2">
      <c r="A902" s="26" t="s">
        <v>485</v>
      </c>
      <c r="B902" s="95" t="s">
        <v>751</v>
      </c>
      <c r="C902" s="108" t="s">
        <v>312</v>
      </c>
      <c r="D902" s="111">
        <v>73.75</v>
      </c>
      <c r="E902" s="27">
        <v>0</v>
      </c>
      <c r="F902" s="27">
        <v>0</v>
      </c>
      <c r="G902" s="27">
        <f t="shared" si="61"/>
        <v>0</v>
      </c>
      <c r="H902" s="28">
        <f t="shared" si="62"/>
        <v>0</v>
      </c>
      <c r="I902" s="28">
        <f t="shared" si="63"/>
        <v>0</v>
      </c>
      <c r="J902" s="28">
        <f t="shared" si="64"/>
        <v>0</v>
      </c>
      <c r="K902" s="29"/>
    </row>
    <row r="903" spans="1:11" ht="31.2">
      <c r="A903" s="26" t="s">
        <v>486</v>
      </c>
      <c r="B903" s="95" t="s">
        <v>752</v>
      </c>
      <c r="C903" s="108" t="s">
        <v>312</v>
      </c>
      <c r="D903" s="111">
        <v>3.47</v>
      </c>
      <c r="E903" s="27">
        <v>0</v>
      </c>
      <c r="F903" s="27">
        <v>0</v>
      </c>
      <c r="G903" s="27">
        <f t="shared" si="61"/>
        <v>0</v>
      </c>
      <c r="H903" s="28">
        <f t="shared" si="62"/>
        <v>0</v>
      </c>
      <c r="I903" s="28">
        <f t="shared" si="63"/>
        <v>0</v>
      </c>
      <c r="J903" s="28">
        <f t="shared" si="64"/>
        <v>0</v>
      </c>
      <c r="K903" s="29"/>
    </row>
    <row r="904" spans="1:11" ht="31.2">
      <c r="A904" s="26" t="s">
        <v>487</v>
      </c>
      <c r="B904" s="95" t="s">
        <v>753</v>
      </c>
      <c r="C904" s="108" t="s">
        <v>312</v>
      </c>
      <c r="D904" s="111">
        <v>279.98</v>
      </c>
      <c r="E904" s="27">
        <v>0</v>
      </c>
      <c r="F904" s="27">
        <v>0</v>
      </c>
      <c r="G904" s="27">
        <f t="shared" si="61"/>
        <v>0</v>
      </c>
      <c r="H904" s="28">
        <f t="shared" si="62"/>
        <v>0</v>
      </c>
      <c r="I904" s="28">
        <f t="shared" si="63"/>
        <v>0</v>
      </c>
      <c r="J904" s="28">
        <f t="shared" si="64"/>
        <v>0</v>
      </c>
      <c r="K904" s="29"/>
    </row>
    <row r="905" spans="1:11" ht="31.2">
      <c r="A905" s="26" t="s">
        <v>488</v>
      </c>
      <c r="B905" s="95" t="s">
        <v>897</v>
      </c>
      <c r="C905" s="108" t="s">
        <v>312</v>
      </c>
      <c r="D905" s="111">
        <v>52.17</v>
      </c>
      <c r="E905" s="27">
        <v>0</v>
      </c>
      <c r="F905" s="27">
        <v>0</v>
      </c>
      <c r="G905" s="27">
        <f t="shared" si="61"/>
        <v>0</v>
      </c>
      <c r="H905" s="28">
        <f t="shared" si="62"/>
        <v>0</v>
      </c>
      <c r="I905" s="28">
        <f t="shared" si="63"/>
        <v>0</v>
      </c>
      <c r="J905" s="28">
        <f t="shared" si="64"/>
        <v>0</v>
      </c>
      <c r="K905" s="29"/>
    </row>
    <row r="906" spans="1:11" ht="31.2">
      <c r="A906" s="26" t="s">
        <v>489</v>
      </c>
      <c r="B906" s="95" t="s">
        <v>898</v>
      </c>
      <c r="C906" s="108" t="s">
        <v>312</v>
      </c>
      <c r="D906" s="111">
        <v>1.39</v>
      </c>
      <c r="E906" s="27">
        <v>0</v>
      </c>
      <c r="F906" s="27">
        <v>0</v>
      </c>
      <c r="G906" s="27">
        <f t="shared" si="61"/>
        <v>0</v>
      </c>
      <c r="H906" s="28">
        <f t="shared" si="62"/>
        <v>0</v>
      </c>
      <c r="I906" s="28">
        <f t="shared" si="63"/>
        <v>0</v>
      </c>
      <c r="J906" s="28">
        <f t="shared" si="64"/>
        <v>0</v>
      </c>
      <c r="K906" s="29"/>
    </row>
    <row r="907" spans="1:11" ht="31.2">
      <c r="A907" s="26" t="s">
        <v>490</v>
      </c>
      <c r="B907" s="95" t="s">
        <v>776</v>
      </c>
      <c r="C907" s="108" t="s">
        <v>312</v>
      </c>
      <c r="D907" s="111">
        <v>47.44</v>
      </c>
      <c r="E907" s="27">
        <v>0</v>
      </c>
      <c r="F907" s="27">
        <v>0</v>
      </c>
      <c r="G907" s="27">
        <f t="shared" si="61"/>
        <v>0</v>
      </c>
      <c r="H907" s="28">
        <f t="shared" si="62"/>
        <v>0</v>
      </c>
      <c r="I907" s="28">
        <f t="shared" si="63"/>
        <v>0</v>
      </c>
      <c r="J907" s="28">
        <f t="shared" si="64"/>
        <v>0</v>
      </c>
      <c r="K907" s="29"/>
    </row>
    <row r="908" spans="1:11" ht="31.2">
      <c r="A908" s="26" t="s">
        <v>491</v>
      </c>
      <c r="B908" s="95" t="s">
        <v>777</v>
      </c>
      <c r="C908" s="108" t="s">
        <v>312</v>
      </c>
      <c r="D908" s="111">
        <v>97.14</v>
      </c>
      <c r="E908" s="27">
        <v>0</v>
      </c>
      <c r="F908" s="27">
        <v>0</v>
      </c>
      <c r="G908" s="27">
        <f t="shared" si="61"/>
        <v>0</v>
      </c>
      <c r="H908" s="28">
        <f t="shared" si="62"/>
        <v>0</v>
      </c>
      <c r="I908" s="28">
        <f t="shared" si="63"/>
        <v>0</v>
      </c>
      <c r="J908" s="28">
        <f t="shared" si="64"/>
        <v>0</v>
      </c>
      <c r="K908" s="29"/>
    </row>
    <row r="909" spans="1:11" ht="31.2">
      <c r="A909" s="26" t="s">
        <v>492</v>
      </c>
      <c r="B909" s="95" t="s">
        <v>778</v>
      </c>
      <c r="C909" s="108" t="s">
        <v>312</v>
      </c>
      <c r="D909" s="111">
        <v>28.73</v>
      </c>
      <c r="E909" s="27">
        <v>0</v>
      </c>
      <c r="F909" s="27">
        <v>0</v>
      </c>
      <c r="G909" s="27">
        <f t="shared" si="61"/>
        <v>0</v>
      </c>
      <c r="H909" s="28">
        <f t="shared" si="62"/>
        <v>0</v>
      </c>
      <c r="I909" s="28">
        <f t="shared" si="63"/>
        <v>0</v>
      </c>
      <c r="J909" s="28">
        <f t="shared" si="64"/>
        <v>0</v>
      </c>
      <c r="K909" s="29"/>
    </row>
    <row r="910" spans="1:11" ht="31.2">
      <c r="A910" s="26" t="s">
        <v>493</v>
      </c>
      <c r="B910" s="95" t="s">
        <v>899</v>
      </c>
      <c r="C910" s="108" t="s">
        <v>312</v>
      </c>
      <c r="D910" s="111">
        <v>30.88</v>
      </c>
      <c r="E910" s="27">
        <v>0</v>
      </c>
      <c r="F910" s="27">
        <v>0</v>
      </c>
      <c r="G910" s="27">
        <f t="shared" si="61"/>
        <v>0</v>
      </c>
      <c r="H910" s="28">
        <f t="shared" si="62"/>
        <v>0</v>
      </c>
      <c r="I910" s="28">
        <f t="shared" si="63"/>
        <v>0</v>
      </c>
      <c r="J910" s="28">
        <f t="shared" si="64"/>
        <v>0</v>
      </c>
      <c r="K910" s="29"/>
    </row>
    <row r="911" spans="1:11" ht="31.2">
      <c r="A911" s="26" t="s">
        <v>494</v>
      </c>
      <c r="B911" s="95" t="s">
        <v>754</v>
      </c>
      <c r="C911" s="108" t="s">
        <v>312</v>
      </c>
      <c r="D911" s="111">
        <v>51.31</v>
      </c>
      <c r="E911" s="27">
        <v>0</v>
      </c>
      <c r="F911" s="27">
        <v>0</v>
      </c>
      <c r="G911" s="27">
        <f t="shared" si="61"/>
        <v>0</v>
      </c>
      <c r="H911" s="28">
        <f t="shared" si="62"/>
        <v>0</v>
      </c>
      <c r="I911" s="28">
        <f t="shared" si="63"/>
        <v>0</v>
      </c>
      <c r="J911" s="28">
        <f t="shared" si="64"/>
        <v>0</v>
      </c>
      <c r="K911" s="29"/>
    </row>
    <row r="912" spans="1:11" ht="31.2">
      <c r="A912" s="26" t="s">
        <v>495</v>
      </c>
      <c r="B912" s="95" t="s">
        <v>755</v>
      </c>
      <c r="C912" s="108" t="s">
        <v>312</v>
      </c>
      <c r="D912" s="111">
        <v>3.81</v>
      </c>
      <c r="E912" s="27">
        <v>0</v>
      </c>
      <c r="F912" s="27">
        <v>0</v>
      </c>
      <c r="G912" s="27">
        <f t="shared" si="61"/>
        <v>0</v>
      </c>
      <c r="H912" s="28">
        <f t="shared" si="62"/>
        <v>0</v>
      </c>
      <c r="I912" s="28">
        <f t="shared" si="63"/>
        <v>0</v>
      </c>
      <c r="J912" s="28">
        <f t="shared" si="64"/>
        <v>0</v>
      </c>
      <c r="K912" s="29"/>
    </row>
    <row r="913" spans="1:162" ht="31.2">
      <c r="A913" s="26" t="s">
        <v>496</v>
      </c>
      <c r="B913" s="95" t="s">
        <v>756</v>
      </c>
      <c r="C913" s="108" t="s">
        <v>312</v>
      </c>
      <c r="D913" s="111">
        <v>77.61</v>
      </c>
      <c r="E913" s="27">
        <v>0</v>
      </c>
      <c r="F913" s="27">
        <v>0</v>
      </c>
      <c r="G913" s="27">
        <f t="shared" si="61"/>
        <v>0</v>
      </c>
      <c r="H913" s="28">
        <f t="shared" si="62"/>
        <v>0</v>
      </c>
      <c r="I913" s="28">
        <f t="shared" si="63"/>
        <v>0</v>
      </c>
      <c r="J913" s="28">
        <f t="shared" si="64"/>
        <v>0</v>
      </c>
      <c r="K913" s="29"/>
    </row>
    <row r="914" spans="1:162" ht="31.2">
      <c r="A914" s="26" t="s">
        <v>497</v>
      </c>
      <c r="B914" s="95" t="s">
        <v>900</v>
      </c>
      <c r="C914" s="108" t="s">
        <v>312</v>
      </c>
      <c r="D914" s="111">
        <v>57.39</v>
      </c>
      <c r="E914" s="27">
        <v>0</v>
      </c>
      <c r="F914" s="27">
        <v>0</v>
      </c>
      <c r="G914" s="27">
        <f t="shared" si="61"/>
        <v>0</v>
      </c>
      <c r="H914" s="28">
        <f t="shared" si="62"/>
        <v>0</v>
      </c>
      <c r="I914" s="28">
        <f t="shared" si="63"/>
        <v>0</v>
      </c>
      <c r="J914" s="28">
        <f t="shared" si="64"/>
        <v>0</v>
      </c>
      <c r="K914" s="29"/>
    </row>
    <row r="915" spans="1:162" ht="31.2">
      <c r="A915" s="26" t="s">
        <v>498</v>
      </c>
      <c r="B915" s="95" t="s">
        <v>901</v>
      </c>
      <c r="C915" s="108" t="s">
        <v>312</v>
      </c>
      <c r="D915" s="111">
        <v>57.7</v>
      </c>
      <c r="E915" s="27">
        <v>0</v>
      </c>
      <c r="F915" s="27">
        <v>0</v>
      </c>
      <c r="G915" s="27">
        <f t="shared" si="61"/>
        <v>0</v>
      </c>
      <c r="H915" s="28">
        <f t="shared" si="62"/>
        <v>0</v>
      </c>
      <c r="I915" s="28">
        <f t="shared" si="63"/>
        <v>0</v>
      </c>
      <c r="J915" s="28">
        <f t="shared" si="64"/>
        <v>0</v>
      </c>
      <c r="K915" s="29"/>
    </row>
    <row r="916" spans="1:162" ht="31.2">
      <c r="A916" s="26" t="s">
        <v>499</v>
      </c>
      <c r="B916" s="95" t="s">
        <v>779</v>
      </c>
      <c r="C916" s="108" t="s">
        <v>312</v>
      </c>
      <c r="D916" s="111">
        <v>105.95</v>
      </c>
      <c r="E916" s="27">
        <v>0</v>
      </c>
      <c r="F916" s="27">
        <v>0</v>
      </c>
      <c r="G916" s="27">
        <f t="shared" si="61"/>
        <v>0</v>
      </c>
      <c r="H916" s="28">
        <f t="shared" si="62"/>
        <v>0</v>
      </c>
      <c r="I916" s="28">
        <f t="shared" si="63"/>
        <v>0</v>
      </c>
      <c r="J916" s="28">
        <f t="shared" si="64"/>
        <v>0</v>
      </c>
      <c r="K916" s="29"/>
    </row>
    <row r="917" spans="1:162" ht="31.2">
      <c r="A917" s="26" t="s">
        <v>500</v>
      </c>
      <c r="B917" s="95" t="s">
        <v>902</v>
      </c>
      <c r="C917" s="108" t="s">
        <v>312</v>
      </c>
      <c r="D917" s="111">
        <v>12.3</v>
      </c>
      <c r="E917" s="27">
        <v>0</v>
      </c>
      <c r="F917" s="27">
        <v>0</v>
      </c>
      <c r="G917" s="27">
        <f t="shared" si="61"/>
        <v>0</v>
      </c>
      <c r="H917" s="28">
        <f t="shared" si="62"/>
        <v>0</v>
      </c>
      <c r="I917" s="28">
        <f t="shared" si="63"/>
        <v>0</v>
      </c>
      <c r="J917" s="28">
        <f t="shared" si="64"/>
        <v>0</v>
      </c>
      <c r="K917" s="29"/>
    </row>
    <row r="918" spans="1:162" ht="31.2">
      <c r="A918" s="26" t="s">
        <v>501</v>
      </c>
      <c r="B918" s="95" t="s">
        <v>903</v>
      </c>
      <c r="C918" s="108" t="s">
        <v>312</v>
      </c>
      <c r="D918" s="111">
        <v>12.42</v>
      </c>
      <c r="E918" s="27">
        <v>0</v>
      </c>
      <c r="F918" s="27">
        <v>0</v>
      </c>
      <c r="G918" s="27">
        <f t="shared" si="61"/>
        <v>0</v>
      </c>
      <c r="H918" s="28">
        <f t="shared" si="62"/>
        <v>0</v>
      </c>
      <c r="I918" s="28">
        <f t="shared" si="63"/>
        <v>0</v>
      </c>
      <c r="J918" s="28">
        <f t="shared" si="64"/>
        <v>0</v>
      </c>
      <c r="K918" s="29"/>
    </row>
    <row r="919" spans="1:162" ht="31.2">
      <c r="A919" s="26" t="s">
        <v>502</v>
      </c>
      <c r="B919" s="95" t="s">
        <v>904</v>
      </c>
      <c r="C919" s="108" t="s">
        <v>312</v>
      </c>
      <c r="D919" s="111">
        <v>29.81</v>
      </c>
      <c r="E919" s="27">
        <v>0</v>
      </c>
      <c r="F919" s="27">
        <v>0</v>
      </c>
      <c r="G919" s="27">
        <f t="shared" si="61"/>
        <v>0</v>
      </c>
      <c r="H919" s="28">
        <f t="shared" si="62"/>
        <v>0</v>
      </c>
      <c r="I919" s="28">
        <f t="shared" si="63"/>
        <v>0</v>
      </c>
      <c r="J919" s="28">
        <f t="shared" si="64"/>
        <v>0</v>
      </c>
      <c r="K919" s="29"/>
    </row>
    <row r="920" spans="1:162" ht="31.2">
      <c r="A920" s="26" t="s">
        <v>503</v>
      </c>
      <c r="B920" s="95" t="s">
        <v>881</v>
      </c>
      <c r="C920" s="108" t="s">
        <v>312</v>
      </c>
      <c r="D920" s="111">
        <v>230.37</v>
      </c>
      <c r="E920" s="27">
        <v>0</v>
      </c>
      <c r="F920" s="27">
        <v>0</v>
      </c>
      <c r="G920" s="27">
        <f t="shared" si="61"/>
        <v>0</v>
      </c>
      <c r="H920" s="28">
        <f t="shared" si="62"/>
        <v>0</v>
      </c>
      <c r="I920" s="28">
        <f t="shared" si="63"/>
        <v>0</v>
      </c>
      <c r="J920" s="28">
        <f t="shared" si="64"/>
        <v>0</v>
      </c>
      <c r="K920" s="29"/>
    </row>
    <row r="921" spans="1:162">
      <c r="A921" s="26" t="s">
        <v>504</v>
      </c>
      <c r="B921" s="95" t="s">
        <v>913</v>
      </c>
      <c r="C921" s="108" t="s">
        <v>311</v>
      </c>
      <c r="D921" s="111">
        <v>1</v>
      </c>
      <c r="E921" s="27">
        <v>0</v>
      </c>
      <c r="F921" s="27">
        <v>0</v>
      </c>
      <c r="G921" s="27">
        <f t="shared" si="61"/>
        <v>0</v>
      </c>
      <c r="H921" s="28">
        <f t="shared" si="62"/>
        <v>0</v>
      </c>
      <c r="I921" s="28">
        <f t="shared" si="63"/>
        <v>0</v>
      </c>
      <c r="J921" s="28">
        <f t="shared" si="64"/>
        <v>0</v>
      </c>
      <c r="K921" s="29"/>
    </row>
    <row r="922" spans="1:162">
      <c r="A922" s="59"/>
      <c r="B922" s="127" t="s">
        <v>348</v>
      </c>
      <c r="C922" s="127"/>
      <c r="D922" s="127"/>
      <c r="E922" s="127"/>
      <c r="F922" s="127"/>
      <c r="G922" s="127"/>
      <c r="H922" s="107">
        <f>SUM(H464:H921)</f>
        <v>0</v>
      </c>
      <c r="I922" s="107">
        <f>SUM(I464:I921)</f>
        <v>0</v>
      </c>
      <c r="J922" s="48">
        <f>H922+I922</f>
        <v>0</v>
      </c>
      <c r="K922" s="29"/>
    </row>
    <row r="923" spans="1:162">
      <c r="A923" s="26"/>
      <c r="B923" s="128" t="s">
        <v>914</v>
      </c>
      <c r="C923" s="128"/>
      <c r="D923" s="128"/>
      <c r="E923" s="128"/>
      <c r="F923" s="128"/>
      <c r="G923" s="128"/>
      <c r="H923" s="106">
        <f>H922-H922/1.22</f>
        <v>0</v>
      </c>
      <c r="I923" s="106">
        <f t="shared" ref="I923:J923" si="65">I922-I922/1.22</f>
        <v>0</v>
      </c>
      <c r="J923" s="106">
        <f t="shared" si="65"/>
        <v>0</v>
      </c>
      <c r="K923" s="29"/>
    </row>
    <row r="924" spans="1:162" s="61" customFormat="1">
      <c r="A924" s="131" t="s">
        <v>168</v>
      </c>
      <c r="B924" s="131"/>
      <c r="C924" s="131"/>
      <c r="D924" s="131"/>
      <c r="E924" s="131"/>
      <c r="F924" s="131"/>
      <c r="G924" s="131"/>
      <c r="H924" s="109">
        <f>SUM(H922+H457)</f>
        <v>0</v>
      </c>
      <c r="I924" s="109">
        <f>SUM(I922+I457)</f>
        <v>0</v>
      </c>
      <c r="J924" s="109">
        <f>H924+I924</f>
        <v>0</v>
      </c>
      <c r="K924" s="60"/>
      <c r="O924" s="62"/>
      <c r="P924" s="63"/>
      <c r="Q924" s="63"/>
      <c r="R924" s="63"/>
      <c r="S924" s="63"/>
      <c r="T924" s="63"/>
      <c r="U924" s="63"/>
      <c r="V924" s="63"/>
      <c r="W924" s="63"/>
      <c r="X924" s="64"/>
    </row>
    <row r="925" spans="1:162" s="6" customFormat="1">
      <c r="A925" s="128" t="s">
        <v>914</v>
      </c>
      <c r="B925" s="128"/>
      <c r="C925" s="128"/>
      <c r="D925" s="128"/>
      <c r="E925" s="128"/>
      <c r="F925" s="128"/>
      <c r="G925" s="128"/>
      <c r="H925" s="106">
        <f>H924-H924/1.22</f>
        <v>0</v>
      </c>
      <c r="I925" s="106">
        <f t="shared" ref="I925:J925" si="66">I924-I924/1.22</f>
        <v>0</v>
      </c>
      <c r="J925" s="106">
        <f t="shared" si="66"/>
        <v>0</v>
      </c>
      <c r="K925" s="74"/>
      <c r="L925" s="16"/>
      <c r="M925" s="16"/>
      <c r="N925" s="16"/>
      <c r="O925" s="17"/>
      <c r="P925" s="17"/>
      <c r="Q925" s="17"/>
      <c r="R925" s="17"/>
      <c r="S925" s="17"/>
      <c r="T925" s="17"/>
      <c r="U925" s="17"/>
      <c r="V925" s="17"/>
      <c r="W925" s="17"/>
      <c r="X925" s="15"/>
    </row>
    <row r="926" spans="1:162" s="19" customFormat="1" ht="25.5" customHeight="1">
      <c r="A926" s="82"/>
      <c r="B926" s="96"/>
      <c r="C926" s="93"/>
      <c r="D926" s="103"/>
      <c r="E926" s="18"/>
      <c r="F926" s="18"/>
      <c r="G926" s="18"/>
      <c r="H926" s="18"/>
      <c r="I926" s="18"/>
      <c r="J926" s="18"/>
      <c r="K926" s="75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  <c r="BX926" s="18"/>
      <c r="BY926" s="18"/>
      <c r="BZ926" s="18"/>
      <c r="CA926" s="18"/>
      <c r="CB926" s="18"/>
      <c r="CC926" s="18"/>
      <c r="CD926" s="18"/>
      <c r="CE926" s="18"/>
      <c r="CF926" s="18"/>
      <c r="CG926" s="18"/>
      <c r="CH926" s="18"/>
      <c r="CI926" s="18"/>
      <c r="CJ926" s="18"/>
      <c r="CK926" s="18"/>
      <c r="CL926" s="18"/>
      <c r="CM926" s="18"/>
      <c r="CN926" s="18"/>
      <c r="CO926" s="18"/>
      <c r="CP926" s="18"/>
      <c r="CQ926" s="18"/>
      <c r="CR926" s="18"/>
      <c r="CS926" s="18"/>
      <c r="CT926" s="18"/>
      <c r="CU926" s="18"/>
      <c r="CV926" s="18"/>
      <c r="CW926" s="18"/>
      <c r="CX926" s="18"/>
      <c r="CY926" s="18"/>
      <c r="CZ926" s="18"/>
      <c r="DA926" s="18"/>
      <c r="DB926" s="18"/>
      <c r="DC926" s="18"/>
      <c r="DD926" s="18"/>
      <c r="DE926" s="18"/>
      <c r="DF926" s="18"/>
      <c r="DG926" s="18"/>
      <c r="DH926" s="18"/>
      <c r="DI926" s="18"/>
      <c r="DJ926" s="18"/>
      <c r="DK926" s="18"/>
      <c r="DL926" s="18"/>
      <c r="DM926" s="18"/>
      <c r="DN926" s="18"/>
      <c r="DO926" s="18"/>
      <c r="DP926" s="18"/>
      <c r="DQ926" s="18"/>
      <c r="DR926" s="18"/>
      <c r="DS926" s="18"/>
      <c r="DT926" s="18"/>
      <c r="DU926" s="18"/>
      <c r="DV926" s="18"/>
      <c r="DW926" s="18"/>
      <c r="DX926" s="18"/>
      <c r="DY926" s="18"/>
      <c r="DZ926" s="18"/>
      <c r="EA926" s="18"/>
      <c r="EB926" s="18"/>
      <c r="EC926" s="18"/>
      <c r="ED926" s="18"/>
      <c r="EE926" s="18"/>
      <c r="EF926" s="18"/>
      <c r="EG926" s="18"/>
      <c r="EH926" s="18"/>
      <c r="EI926" s="18"/>
      <c r="EJ926" s="18"/>
      <c r="EK926" s="18"/>
      <c r="EL926" s="18"/>
      <c r="EM926" s="18"/>
      <c r="EN926" s="18"/>
      <c r="EO926" s="18"/>
      <c r="EP926" s="18"/>
      <c r="EQ926" s="18"/>
      <c r="ER926" s="18"/>
      <c r="ES926" s="18"/>
      <c r="ET926" s="18"/>
      <c r="EU926" s="18"/>
      <c r="EV926" s="18"/>
      <c r="EW926" s="18"/>
      <c r="EX926" s="18"/>
      <c r="EY926" s="18"/>
      <c r="EZ926" s="18"/>
      <c r="FA926" s="18"/>
      <c r="FB926" s="18"/>
      <c r="FC926" s="18"/>
      <c r="FD926" s="18"/>
      <c r="FE926" s="18"/>
      <c r="FF926" s="18"/>
    </row>
    <row r="927" spans="1:162" s="51" customFormat="1" ht="176.25" customHeight="1">
      <c r="A927" s="132" t="s">
        <v>167</v>
      </c>
      <c r="B927" s="132"/>
      <c r="C927" s="132"/>
      <c r="D927" s="132"/>
      <c r="E927" s="132"/>
      <c r="F927" s="132"/>
      <c r="G927" s="132"/>
      <c r="H927" s="132"/>
      <c r="I927" s="132"/>
      <c r="J927" s="132"/>
      <c r="K927" s="132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</row>
    <row r="928" spans="1:162" s="51" customFormat="1" ht="47.25" customHeight="1">
      <c r="A928" s="132" t="s">
        <v>165</v>
      </c>
      <c r="B928" s="132"/>
      <c r="C928" s="132"/>
      <c r="D928" s="132"/>
      <c r="E928" s="132"/>
      <c r="F928" s="132"/>
      <c r="G928" s="132"/>
      <c r="H928" s="132"/>
      <c r="I928" s="132"/>
      <c r="J928" s="132"/>
      <c r="K928" s="132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</row>
    <row r="929" spans="1:162" s="51" customFormat="1" ht="27" customHeight="1">
      <c r="A929" s="132" t="s">
        <v>174</v>
      </c>
      <c r="B929" s="132"/>
      <c r="C929" s="132"/>
      <c r="D929" s="132"/>
      <c r="E929" s="132"/>
      <c r="F929" s="132"/>
      <c r="G929" s="132"/>
      <c r="H929" s="132"/>
      <c r="I929" s="132"/>
      <c r="J929" s="132"/>
      <c r="K929" s="132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</row>
    <row r="930" spans="1:162" s="51" customFormat="1" ht="27" customHeight="1">
      <c r="A930" s="130" t="s">
        <v>166</v>
      </c>
      <c r="B930" s="130"/>
      <c r="C930" s="130"/>
      <c r="D930" s="130"/>
      <c r="E930" s="130"/>
      <c r="F930" s="130"/>
      <c r="G930" s="130"/>
      <c r="H930" s="130"/>
      <c r="I930" s="130"/>
      <c r="J930" s="130"/>
      <c r="K930" s="130"/>
    </row>
    <row r="931" spans="1:162" s="51" customFormat="1" ht="27" customHeight="1">
      <c r="A931" s="113" t="s">
        <v>339</v>
      </c>
      <c r="B931" s="114"/>
      <c r="C931" s="115"/>
      <c r="D931" s="116"/>
      <c r="E931" s="117"/>
      <c r="F931" s="117"/>
      <c r="G931" s="117"/>
      <c r="H931" s="117"/>
      <c r="I931" s="117"/>
      <c r="J931" s="117"/>
      <c r="K931" s="117"/>
    </row>
    <row r="932" spans="1:162" s="51" customFormat="1" ht="27" customHeight="1">
      <c r="A932" s="113" t="s">
        <v>340</v>
      </c>
      <c r="B932" s="114"/>
      <c r="C932" s="115"/>
      <c r="D932" s="116"/>
      <c r="E932" s="117"/>
      <c r="F932" s="117"/>
      <c r="G932" s="117"/>
      <c r="H932" s="117"/>
      <c r="I932" s="117"/>
      <c r="J932" s="117"/>
      <c r="K932" s="117"/>
    </row>
    <row r="933" spans="1:162" s="51" customFormat="1" ht="27" customHeight="1">
      <c r="A933" s="122" t="s">
        <v>341</v>
      </c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</row>
    <row r="934" spans="1:162" s="51" customFormat="1" ht="27" customHeight="1">
      <c r="A934" s="124" t="s">
        <v>317</v>
      </c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</row>
    <row r="935" spans="1:162" s="6" customFormat="1" ht="30.75" customHeight="1">
      <c r="A935" s="122" t="s">
        <v>342</v>
      </c>
      <c r="B935" s="123"/>
      <c r="C935" s="123"/>
      <c r="D935" s="123"/>
      <c r="E935" s="123"/>
      <c r="F935" s="123"/>
      <c r="G935" s="123"/>
      <c r="H935" s="123"/>
      <c r="I935" s="123"/>
      <c r="J935" s="123"/>
      <c r="K935" s="123"/>
      <c r="O935" s="7"/>
    </row>
    <row r="936" spans="1:162" s="6" customFormat="1" ht="30" customHeight="1">
      <c r="A936" s="124" t="s">
        <v>318</v>
      </c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O936" s="7"/>
    </row>
    <row r="937" spans="1:162" s="6" customFormat="1" ht="23.25" customHeight="1">
      <c r="A937" s="123" t="s">
        <v>347</v>
      </c>
      <c r="B937" s="123"/>
      <c r="C937" s="123"/>
      <c r="D937" s="123"/>
      <c r="E937" s="123"/>
      <c r="F937" s="123"/>
      <c r="G937" s="123"/>
      <c r="H937" s="123"/>
      <c r="I937" s="123"/>
      <c r="J937" s="123"/>
      <c r="K937" s="123"/>
      <c r="O937" s="7"/>
    </row>
    <row r="938" spans="1:162" s="6" customFormat="1" ht="23.25" customHeight="1">
      <c r="A938" s="123" t="s">
        <v>912</v>
      </c>
      <c r="B938" s="123"/>
      <c r="C938" s="123"/>
      <c r="D938" s="123"/>
      <c r="E938" s="123"/>
      <c r="F938" s="123"/>
      <c r="G938" s="123"/>
      <c r="H938" s="123"/>
      <c r="I938" s="123"/>
      <c r="J938" s="123"/>
      <c r="K938" s="123"/>
      <c r="O938" s="7"/>
    </row>
    <row r="939" spans="1:162" s="9" customFormat="1" ht="39.75" customHeight="1">
      <c r="A939" s="83" t="s">
        <v>169</v>
      </c>
      <c r="B939" s="97"/>
      <c r="C939" s="94"/>
      <c r="D939" s="104"/>
      <c r="E939" s="8"/>
      <c r="F939" s="8"/>
      <c r="G939" s="8" t="s">
        <v>316</v>
      </c>
      <c r="H939" s="8"/>
      <c r="I939" s="8"/>
      <c r="J939" s="8"/>
      <c r="K939" s="76"/>
    </row>
    <row r="940" spans="1:162" s="9" customFormat="1" ht="39.75" customHeight="1">
      <c r="A940" s="83" t="s">
        <v>170</v>
      </c>
      <c r="B940" s="97"/>
      <c r="C940" s="94"/>
      <c r="D940" s="104"/>
      <c r="E940" s="8"/>
      <c r="F940" s="8"/>
      <c r="G940" s="8" t="s">
        <v>906</v>
      </c>
      <c r="H940" s="8"/>
      <c r="I940" s="8"/>
      <c r="J940" s="8"/>
      <c r="K940" s="76"/>
    </row>
    <row r="941" spans="1:162" s="9" customFormat="1" ht="20.100000000000001" customHeight="1">
      <c r="A941" s="83" t="s">
        <v>171</v>
      </c>
      <c r="B941" s="97"/>
      <c r="C941" s="94"/>
      <c r="D941" s="104"/>
      <c r="E941" s="8"/>
      <c r="F941" s="8"/>
      <c r="G941" s="8" t="s">
        <v>171</v>
      </c>
      <c r="H941" s="8"/>
      <c r="I941" s="8"/>
      <c r="J941" s="8"/>
      <c r="K941" s="76"/>
    </row>
    <row r="942" spans="1:162" s="19" customFormat="1" ht="69" customHeight="1">
      <c r="A942" s="82"/>
      <c r="B942" s="96"/>
      <c r="C942" s="93"/>
      <c r="D942" s="103"/>
      <c r="E942" s="18"/>
      <c r="F942" s="18"/>
      <c r="G942" s="18"/>
      <c r="H942" s="18"/>
      <c r="I942" s="18"/>
      <c r="J942" s="18"/>
      <c r="K942" s="75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  <c r="BX942" s="18"/>
      <c r="BY942" s="18"/>
      <c r="BZ942" s="18"/>
      <c r="CA942" s="18"/>
      <c r="CB942" s="18"/>
      <c r="CC942" s="18"/>
      <c r="CD942" s="18"/>
      <c r="CE942" s="18"/>
      <c r="CF942" s="18"/>
      <c r="CG942" s="18"/>
      <c r="CH942" s="18"/>
      <c r="CI942" s="18"/>
      <c r="CJ942" s="18"/>
      <c r="CK942" s="18"/>
      <c r="CL942" s="18"/>
      <c r="CM942" s="18"/>
      <c r="CN942" s="18"/>
      <c r="CO942" s="18"/>
      <c r="CP942" s="18"/>
      <c r="CQ942" s="18"/>
      <c r="CR942" s="18"/>
      <c r="CS942" s="18"/>
      <c r="CT942" s="18"/>
      <c r="CU942" s="18"/>
      <c r="CV942" s="18"/>
      <c r="CW942" s="18"/>
      <c r="CX942" s="18"/>
      <c r="CY942" s="18"/>
      <c r="CZ942" s="18"/>
      <c r="DA942" s="18"/>
      <c r="DB942" s="18"/>
      <c r="DC942" s="18"/>
      <c r="DD942" s="18"/>
      <c r="DE942" s="18"/>
      <c r="DF942" s="18"/>
      <c r="DG942" s="18"/>
      <c r="DH942" s="18"/>
      <c r="DI942" s="18"/>
      <c r="DJ942" s="18"/>
      <c r="DK942" s="18"/>
      <c r="DL942" s="18"/>
      <c r="DM942" s="18"/>
      <c r="DN942" s="18"/>
      <c r="DO942" s="18"/>
      <c r="DP942" s="18"/>
      <c r="DQ942" s="18"/>
      <c r="DR942" s="18"/>
      <c r="DS942" s="18"/>
      <c r="DT942" s="18"/>
      <c r="DU942" s="18"/>
      <c r="DV942" s="18"/>
      <c r="DW942" s="18"/>
      <c r="DX942" s="18"/>
      <c r="DY942" s="18"/>
      <c r="DZ942" s="18"/>
      <c r="EA942" s="18"/>
      <c r="EB942" s="18"/>
      <c r="EC942" s="18"/>
      <c r="ED942" s="18"/>
      <c r="EE942" s="18"/>
      <c r="EF942" s="18"/>
      <c r="EG942" s="18"/>
      <c r="EH942" s="18"/>
      <c r="EI942" s="18"/>
      <c r="EJ942" s="18"/>
      <c r="EK942" s="18"/>
      <c r="EL942" s="18"/>
      <c r="EM942" s="18"/>
      <c r="EN942" s="18"/>
      <c r="EO942" s="18"/>
      <c r="EP942" s="18"/>
      <c r="EQ942" s="18"/>
      <c r="ER942" s="18"/>
      <c r="ES942" s="18"/>
      <c r="ET942" s="18"/>
      <c r="EU942" s="18"/>
      <c r="EV942" s="18"/>
      <c r="EW942" s="18"/>
      <c r="EX942" s="18"/>
      <c r="EY942" s="18"/>
      <c r="EZ942" s="18"/>
      <c r="FA942" s="18"/>
      <c r="FB942" s="18"/>
      <c r="FC942" s="18"/>
      <c r="FD942" s="18"/>
      <c r="FE942" s="18"/>
      <c r="FF942" s="18"/>
    </row>
    <row r="943" spans="1:162" s="19" customFormat="1" ht="69" customHeight="1">
      <c r="A943" s="82"/>
      <c r="B943" s="96"/>
      <c r="C943" s="93"/>
      <c r="D943" s="103"/>
      <c r="E943" s="18"/>
      <c r="F943" s="18"/>
      <c r="G943" s="18"/>
      <c r="H943" s="18"/>
      <c r="I943" s="18"/>
      <c r="J943" s="18"/>
      <c r="K943" s="75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  <c r="BX943" s="18"/>
      <c r="BY943" s="18"/>
      <c r="BZ943" s="18"/>
      <c r="CA943" s="18"/>
      <c r="CB943" s="18"/>
      <c r="CC943" s="18"/>
      <c r="CD943" s="18"/>
      <c r="CE943" s="18"/>
      <c r="CF943" s="18"/>
      <c r="CG943" s="18"/>
      <c r="CH943" s="18"/>
      <c r="CI943" s="18"/>
      <c r="CJ943" s="18"/>
      <c r="CK943" s="18"/>
      <c r="CL943" s="18"/>
      <c r="CM943" s="18"/>
      <c r="CN943" s="18"/>
      <c r="CO943" s="18"/>
      <c r="CP943" s="18"/>
      <c r="CQ943" s="18"/>
      <c r="CR943" s="18"/>
      <c r="CS943" s="18"/>
      <c r="CT943" s="18"/>
      <c r="CU943" s="18"/>
      <c r="CV943" s="18"/>
      <c r="CW943" s="18"/>
      <c r="CX943" s="18"/>
      <c r="CY943" s="18"/>
      <c r="CZ943" s="18"/>
      <c r="DA943" s="18"/>
      <c r="DB943" s="18"/>
      <c r="DC943" s="18"/>
      <c r="DD943" s="18"/>
      <c r="DE943" s="18"/>
      <c r="DF943" s="18"/>
      <c r="DG943" s="18"/>
      <c r="DH943" s="18"/>
      <c r="DI943" s="18"/>
      <c r="DJ943" s="18"/>
      <c r="DK943" s="18"/>
      <c r="DL943" s="18"/>
      <c r="DM943" s="18"/>
      <c r="DN943" s="18"/>
      <c r="DO943" s="18"/>
      <c r="DP943" s="18"/>
      <c r="DQ943" s="18"/>
      <c r="DR943" s="18"/>
      <c r="DS943" s="18"/>
      <c r="DT943" s="18"/>
      <c r="DU943" s="18"/>
      <c r="DV943" s="18"/>
      <c r="DW943" s="18"/>
      <c r="DX943" s="18"/>
      <c r="DY943" s="18"/>
      <c r="DZ943" s="18"/>
      <c r="EA943" s="18"/>
      <c r="EB943" s="18"/>
      <c r="EC943" s="18"/>
      <c r="ED943" s="18"/>
      <c r="EE943" s="18"/>
      <c r="EF943" s="18"/>
      <c r="EG943" s="18"/>
      <c r="EH943" s="18"/>
      <c r="EI943" s="18"/>
      <c r="EJ943" s="18"/>
      <c r="EK943" s="18"/>
      <c r="EL943" s="18"/>
      <c r="EM943" s="18"/>
      <c r="EN943" s="18"/>
      <c r="EO943" s="18"/>
      <c r="EP943" s="18"/>
      <c r="EQ943" s="18"/>
      <c r="ER943" s="18"/>
      <c r="ES943" s="18"/>
      <c r="ET943" s="18"/>
      <c r="EU943" s="18"/>
      <c r="EV943" s="18"/>
      <c r="EW943" s="18"/>
      <c r="EX943" s="18"/>
      <c r="EY943" s="18"/>
      <c r="EZ943" s="18"/>
      <c r="FA943" s="18"/>
      <c r="FB943" s="18"/>
      <c r="FC943" s="18"/>
      <c r="FD943" s="18"/>
      <c r="FE943" s="18"/>
      <c r="FF943" s="18"/>
    </row>
    <row r="944" spans="1:162" s="19" customFormat="1" ht="69" customHeight="1">
      <c r="A944" s="82"/>
      <c r="B944" s="96"/>
      <c r="C944" s="93"/>
      <c r="D944" s="103"/>
      <c r="E944" s="18"/>
      <c r="F944" s="18"/>
      <c r="G944" s="18"/>
      <c r="H944" s="18"/>
      <c r="I944" s="18"/>
      <c r="J944" s="18"/>
      <c r="K944" s="75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  <c r="BX944" s="18"/>
      <c r="BY944" s="18"/>
      <c r="BZ944" s="18"/>
      <c r="CA944" s="18"/>
      <c r="CB944" s="18"/>
      <c r="CC944" s="18"/>
      <c r="CD944" s="18"/>
      <c r="CE944" s="18"/>
      <c r="CF944" s="18"/>
      <c r="CG944" s="18"/>
      <c r="CH944" s="18"/>
      <c r="CI944" s="18"/>
      <c r="CJ944" s="18"/>
      <c r="CK944" s="18"/>
      <c r="CL944" s="18"/>
      <c r="CM944" s="18"/>
      <c r="CN944" s="18"/>
      <c r="CO944" s="18"/>
      <c r="CP944" s="18"/>
      <c r="CQ944" s="18"/>
      <c r="CR944" s="18"/>
      <c r="CS944" s="18"/>
      <c r="CT944" s="18"/>
      <c r="CU944" s="18"/>
      <c r="CV944" s="18"/>
      <c r="CW944" s="18"/>
      <c r="CX944" s="18"/>
      <c r="CY944" s="18"/>
      <c r="CZ944" s="18"/>
      <c r="DA944" s="18"/>
      <c r="DB944" s="18"/>
      <c r="DC944" s="18"/>
      <c r="DD944" s="18"/>
      <c r="DE944" s="18"/>
      <c r="DF944" s="18"/>
      <c r="DG944" s="18"/>
      <c r="DH944" s="18"/>
      <c r="DI944" s="18"/>
      <c r="DJ944" s="18"/>
      <c r="DK944" s="18"/>
      <c r="DL944" s="18"/>
      <c r="DM944" s="18"/>
      <c r="DN944" s="18"/>
      <c r="DO944" s="18"/>
      <c r="DP944" s="18"/>
      <c r="DQ944" s="18"/>
      <c r="DR944" s="18"/>
      <c r="DS944" s="18"/>
      <c r="DT944" s="18"/>
      <c r="DU944" s="18"/>
      <c r="DV944" s="18"/>
      <c r="DW944" s="18"/>
      <c r="DX944" s="18"/>
      <c r="DY944" s="18"/>
      <c r="DZ944" s="18"/>
      <c r="EA944" s="18"/>
      <c r="EB944" s="18"/>
      <c r="EC944" s="18"/>
      <c r="ED944" s="18"/>
      <c r="EE944" s="18"/>
      <c r="EF944" s="18"/>
      <c r="EG944" s="18"/>
      <c r="EH944" s="18"/>
      <c r="EI944" s="18"/>
      <c r="EJ944" s="18"/>
      <c r="EK944" s="18"/>
      <c r="EL944" s="18"/>
      <c r="EM944" s="18"/>
      <c r="EN944" s="18"/>
      <c r="EO944" s="18"/>
      <c r="EP944" s="18"/>
      <c r="EQ944" s="18"/>
      <c r="ER944" s="18"/>
      <c r="ES944" s="18"/>
      <c r="ET944" s="18"/>
      <c r="EU944" s="18"/>
      <c r="EV944" s="18"/>
      <c r="EW944" s="18"/>
      <c r="EX944" s="18"/>
      <c r="EY944" s="18"/>
      <c r="EZ944" s="18"/>
      <c r="FA944" s="18"/>
      <c r="FB944" s="18"/>
      <c r="FC944" s="18"/>
      <c r="FD944" s="18"/>
      <c r="FE944" s="18"/>
      <c r="FF944" s="18"/>
    </row>
    <row r="945" spans="1:162" s="19" customFormat="1" ht="79.5" customHeight="1">
      <c r="A945" s="82"/>
      <c r="B945" s="96"/>
      <c r="C945" s="93"/>
      <c r="D945" s="103"/>
      <c r="E945" s="18"/>
      <c r="F945" s="18"/>
      <c r="G945" s="18"/>
      <c r="H945" s="18"/>
      <c r="I945" s="18"/>
      <c r="J945" s="18"/>
      <c r="K945" s="75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  <c r="BX945" s="18"/>
      <c r="BY945" s="18"/>
      <c r="BZ945" s="18"/>
      <c r="CA945" s="18"/>
      <c r="CB945" s="18"/>
      <c r="CC945" s="18"/>
      <c r="CD945" s="18"/>
      <c r="CE945" s="18"/>
      <c r="CF945" s="18"/>
      <c r="CG945" s="18"/>
      <c r="CH945" s="18"/>
      <c r="CI945" s="18"/>
      <c r="CJ945" s="18"/>
      <c r="CK945" s="18"/>
      <c r="CL945" s="18"/>
      <c r="CM945" s="18"/>
      <c r="CN945" s="18"/>
      <c r="CO945" s="18"/>
      <c r="CP945" s="18"/>
      <c r="CQ945" s="18"/>
      <c r="CR945" s="18"/>
      <c r="CS945" s="18"/>
      <c r="CT945" s="18"/>
      <c r="CU945" s="18"/>
      <c r="CV945" s="18"/>
      <c r="CW945" s="18"/>
      <c r="CX945" s="18"/>
      <c r="CY945" s="18"/>
      <c r="CZ945" s="18"/>
      <c r="DA945" s="18"/>
      <c r="DB945" s="18"/>
      <c r="DC945" s="18"/>
      <c r="DD945" s="18"/>
      <c r="DE945" s="18"/>
      <c r="DF945" s="18"/>
      <c r="DG945" s="18"/>
      <c r="DH945" s="18"/>
      <c r="DI945" s="18"/>
      <c r="DJ945" s="18"/>
      <c r="DK945" s="18"/>
      <c r="DL945" s="18"/>
      <c r="DM945" s="18"/>
      <c r="DN945" s="18"/>
      <c r="DO945" s="18"/>
      <c r="DP945" s="18"/>
      <c r="DQ945" s="18"/>
      <c r="DR945" s="18"/>
      <c r="DS945" s="18"/>
      <c r="DT945" s="18"/>
      <c r="DU945" s="18"/>
      <c r="DV945" s="18"/>
      <c r="DW945" s="18"/>
      <c r="DX945" s="18"/>
      <c r="DY945" s="18"/>
      <c r="DZ945" s="18"/>
      <c r="EA945" s="18"/>
      <c r="EB945" s="18"/>
      <c r="EC945" s="18"/>
      <c r="ED945" s="18"/>
      <c r="EE945" s="18"/>
      <c r="EF945" s="18"/>
      <c r="EG945" s="18"/>
      <c r="EH945" s="18"/>
      <c r="EI945" s="18"/>
      <c r="EJ945" s="18"/>
      <c r="EK945" s="18"/>
      <c r="EL945" s="18"/>
      <c r="EM945" s="18"/>
      <c r="EN945" s="18"/>
      <c r="EO945" s="18"/>
      <c r="EP945" s="18"/>
      <c r="EQ945" s="18"/>
      <c r="ER945" s="18"/>
      <c r="ES945" s="18"/>
      <c r="ET945" s="18"/>
      <c r="EU945" s="18"/>
      <c r="EV945" s="18"/>
      <c r="EW945" s="18"/>
      <c r="EX945" s="18"/>
      <c r="EY945" s="18"/>
      <c r="EZ945" s="18"/>
      <c r="FA945" s="18"/>
      <c r="FB945" s="18"/>
      <c r="FC945" s="18"/>
      <c r="FD945" s="18"/>
      <c r="FE945" s="18"/>
      <c r="FF945" s="18"/>
    </row>
    <row r="946" spans="1:162" s="19" customFormat="1" ht="58.5" customHeight="1">
      <c r="A946" s="82"/>
      <c r="B946" s="96"/>
      <c r="C946" s="93"/>
      <c r="D946" s="103"/>
      <c r="E946" s="18"/>
      <c r="F946" s="18"/>
      <c r="G946" s="18"/>
      <c r="H946" s="18"/>
      <c r="I946" s="18"/>
      <c r="J946" s="18"/>
      <c r="K946" s="75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  <c r="BX946" s="18"/>
      <c r="BY946" s="18"/>
      <c r="BZ946" s="18"/>
      <c r="CA946" s="18"/>
      <c r="CB946" s="18"/>
      <c r="CC946" s="18"/>
      <c r="CD946" s="18"/>
      <c r="CE946" s="18"/>
      <c r="CF946" s="18"/>
      <c r="CG946" s="18"/>
      <c r="CH946" s="18"/>
      <c r="CI946" s="18"/>
      <c r="CJ946" s="18"/>
      <c r="CK946" s="18"/>
      <c r="CL946" s="18"/>
      <c r="CM946" s="18"/>
      <c r="CN946" s="18"/>
      <c r="CO946" s="18"/>
      <c r="CP946" s="18"/>
      <c r="CQ946" s="18"/>
      <c r="CR946" s="18"/>
      <c r="CS946" s="18"/>
      <c r="CT946" s="18"/>
      <c r="CU946" s="18"/>
      <c r="CV946" s="18"/>
      <c r="CW946" s="18"/>
      <c r="CX946" s="18"/>
      <c r="CY946" s="18"/>
      <c r="CZ946" s="18"/>
      <c r="DA946" s="18"/>
      <c r="DB946" s="18"/>
      <c r="DC946" s="18"/>
      <c r="DD946" s="18"/>
      <c r="DE946" s="18"/>
      <c r="DF946" s="18"/>
      <c r="DG946" s="18"/>
      <c r="DH946" s="18"/>
      <c r="DI946" s="18"/>
      <c r="DJ946" s="18"/>
      <c r="DK946" s="18"/>
      <c r="DL946" s="18"/>
      <c r="DM946" s="18"/>
      <c r="DN946" s="18"/>
      <c r="DO946" s="18"/>
      <c r="DP946" s="18"/>
      <c r="DQ946" s="18"/>
      <c r="DR946" s="18"/>
      <c r="DS946" s="18"/>
      <c r="DT946" s="18"/>
      <c r="DU946" s="18"/>
      <c r="DV946" s="18"/>
      <c r="DW946" s="18"/>
      <c r="DX946" s="18"/>
      <c r="DY946" s="18"/>
      <c r="DZ946" s="18"/>
      <c r="EA946" s="18"/>
      <c r="EB946" s="18"/>
      <c r="EC946" s="18"/>
      <c r="ED946" s="18"/>
      <c r="EE946" s="18"/>
      <c r="EF946" s="18"/>
      <c r="EG946" s="18"/>
      <c r="EH946" s="18"/>
      <c r="EI946" s="18"/>
      <c r="EJ946" s="18"/>
      <c r="EK946" s="18"/>
      <c r="EL946" s="18"/>
      <c r="EM946" s="18"/>
      <c r="EN946" s="18"/>
      <c r="EO946" s="18"/>
      <c r="EP946" s="18"/>
      <c r="EQ946" s="18"/>
      <c r="ER946" s="18"/>
      <c r="ES946" s="18"/>
      <c r="ET946" s="18"/>
      <c r="EU946" s="18"/>
      <c r="EV946" s="18"/>
      <c r="EW946" s="18"/>
      <c r="EX946" s="18"/>
      <c r="EY946" s="18"/>
      <c r="EZ946" s="18"/>
      <c r="FA946" s="18"/>
      <c r="FB946" s="18"/>
      <c r="FC946" s="18"/>
      <c r="FD946" s="18"/>
      <c r="FE946" s="18"/>
      <c r="FF946" s="18"/>
    </row>
    <row r="947" spans="1:162" s="19" customFormat="1" ht="58.5" customHeight="1">
      <c r="A947" s="82"/>
      <c r="B947" s="96"/>
      <c r="C947" s="93"/>
      <c r="D947" s="103"/>
      <c r="E947" s="18"/>
      <c r="F947" s="18"/>
      <c r="G947" s="18"/>
      <c r="H947" s="18"/>
      <c r="I947" s="18"/>
      <c r="J947" s="18"/>
      <c r="K947" s="75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  <c r="BX947" s="18"/>
      <c r="BY947" s="18"/>
      <c r="BZ947" s="18"/>
      <c r="CA947" s="18"/>
      <c r="CB947" s="18"/>
      <c r="CC947" s="18"/>
      <c r="CD947" s="18"/>
      <c r="CE947" s="18"/>
      <c r="CF947" s="18"/>
      <c r="CG947" s="18"/>
      <c r="CH947" s="18"/>
      <c r="CI947" s="18"/>
      <c r="CJ947" s="18"/>
      <c r="CK947" s="18"/>
      <c r="CL947" s="18"/>
      <c r="CM947" s="18"/>
      <c r="CN947" s="18"/>
      <c r="CO947" s="18"/>
      <c r="CP947" s="18"/>
      <c r="CQ947" s="18"/>
      <c r="CR947" s="18"/>
      <c r="CS947" s="18"/>
      <c r="CT947" s="18"/>
      <c r="CU947" s="18"/>
      <c r="CV947" s="18"/>
      <c r="CW947" s="18"/>
      <c r="CX947" s="18"/>
      <c r="CY947" s="18"/>
      <c r="CZ947" s="18"/>
      <c r="DA947" s="18"/>
      <c r="DB947" s="18"/>
      <c r="DC947" s="18"/>
      <c r="DD947" s="18"/>
      <c r="DE947" s="18"/>
      <c r="DF947" s="18"/>
      <c r="DG947" s="18"/>
      <c r="DH947" s="18"/>
      <c r="DI947" s="18"/>
      <c r="DJ947" s="18"/>
      <c r="DK947" s="18"/>
      <c r="DL947" s="18"/>
      <c r="DM947" s="18"/>
      <c r="DN947" s="18"/>
      <c r="DO947" s="18"/>
      <c r="DP947" s="18"/>
      <c r="DQ947" s="18"/>
      <c r="DR947" s="18"/>
      <c r="DS947" s="18"/>
      <c r="DT947" s="18"/>
      <c r="DU947" s="18"/>
      <c r="DV947" s="18"/>
      <c r="DW947" s="18"/>
      <c r="DX947" s="18"/>
      <c r="DY947" s="18"/>
      <c r="DZ947" s="18"/>
      <c r="EA947" s="18"/>
      <c r="EB947" s="18"/>
      <c r="EC947" s="18"/>
      <c r="ED947" s="18"/>
      <c r="EE947" s="18"/>
      <c r="EF947" s="18"/>
      <c r="EG947" s="18"/>
      <c r="EH947" s="18"/>
      <c r="EI947" s="18"/>
      <c r="EJ947" s="18"/>
      <c r="EK947" s="18"/>
      <c r="EL947" s="18"/>
      <c r="EM947" s="18"/>
      <c r="EN947" s="18"/>
      <c r="EO947" s="18"/>
      <c r="EP947" s="18"/>
      <c r="EQ947" s="18"/>
      <c r="ER947" s="18"/>
      <c r="ES947" s="18"/>
      <c r="ET947" s="18"/>
      <c r="EU947" s="18"/>
      <c r="EV947" s="18"/>
      <c r="EW947" s="18"/>
      <c r="EX947" s="18"/>
      <c r="EY947" s="18"/>
      <c r="EZ947" s="18"/>
      <c r="FA947" s="18"/>
      <c r="FB947" s="18"/>
      <c r="FC947" s="18"/>
      <c r="FD947" s="18"/>
      <c r="FE947" s="18"/>
      <c r="FF947" s="18"/>
    </row>
    <row r="948" spans="1:162" s="19" customFormat="1" ht="58.5" customHeight="1">
      <c r="A948" s="82"/>
      <c r="B948" s="96"/>
      <c r="C948" s="93"/>
      <c r="D948" s="103"/>
      <c r="E948" s="18"/>
      <c r="F948" s="18"/>
      <c r="G948" s="18"/>
      <c r="H948" s="18"/>
      <c r="I948" s="18"/>
      <c r="J948" s="18"/>
      <c r="K948" s="75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  <c r="BX948" s="18"/>
      <c r="BY948" s="18"/>
      <c r="BZ948" s="18"/>
      <c r="CA948" s="18"/>
      <c r="CB948" s="18"/>
      <c r="CC948" s="18"/>
      <c r="CD948" s="18"/>
      <c r="CE948" s="18"/>
      <c r="CF948" s="18"/>
      <c r="CG948" s="18"/>
      <c r="CH948" s="18"/>
      <c r="CI948" s="18"/>
      <c r="CJ948" s="18"/>
      <c r="CK948" s="18"/>
      <c r="CL948" s="18"/>
      <c r="CM948" s="18"/>
      <c r="CN948" s="18"/>
      <c r="CO948" s="18"/>
      <c r="CP948" s="18"/>
      <c r="CQ948" s="18"/>
      <c r="CR948" s="18"/>
      <c r="CS948" s="18"/>
      <c r="CT948" s="18"/>
      <c r="CU948" s="18"/>
      <c r="CV948" s="18"/>
      <c r="CW948" s="18"/>
      <c r="CX948" s="18"/>
      <c r="CY948" s="18"/>
      <c r="CZ948" s="18"/>
      <c r="DA948" s="18"/>
      <c r="DB948" s="18"/>
      <c r="DC948" s="18"/>
      <c r="DD948" s="18"/>
      <c r="DE948" s="18"/>
      <c r="DF948" s="18"/>
      <c r="DG948" s="18"/>
      <c r="DH948" s="18"/>
      <c r="DI948" s="18"/>
      <c r="DJ948" s="18"/>
      <c r="DK948" s="18"/>
      <c r="DL948" s="18"/>
      <c r="DM948" s="18"/>
      <c r="DN948" s="18"/>
      <c r="DO948" s="18"/>
      <c r="DP948" s="18"/>
      <c r="DQ948" s="18"/>
      <c r="DR948" s="18"/>
      <c r="DS948" s="18"/>
      <c r="DT948" s="18"/>
      <c r="DU948" s="18"/>
      <c r="DV948" s="18"/>
      <c r="DW948" s="18"/>
      <c r="DX948" s="18"/>
      <c r="DY948" s="18"/>
      <c r="DZ948" s="18"/>
      <c r="EA948" s="18"/>
      <c r="EB948" s="18"/>
      <c r="EC948" s="18"/>
      <c r="ED948" s="18"/>
      <c r="EE948" s="18"/>
      <c r="EF948" s="18"/>
      <c r="EG948" s="18"/>
      <c r="EH948" s="18"/>
      <c r="EI948" s="18"/>
      <c r="EJ948" s="18"/>
      <c r="EK948" s="18"/>
      <c r="EL948" s="18"/>
      <c r="EM948" s="18"/>
      <c r="EN948" s="18"/>
      <c r="EO948" s="18"/>
      <c r="EP948" s="18"/>
      <c r="EQ948" s="18"/>
      <c r="ER948" s="18"/>
      <c r="ES948" s="18"/>
      <c r="ET948" s="18"/>
      <c r="EU948" s="18"/>
      <c r="EV948" s="18"/>
      <c r="EW948" s="18"/>
      <c r="EX948" s="18"/>
      <c r="EY948" s="18"/>
      <c r="EZ948" s="18"/>
      <c r="FA948" s="18"/>
      <c r="FB948" s="18"/>
      <c r="FC948" s="18"/>
      <c r="FD948" s="18"/>
      <c r="FE948" s="18"/>
      <c r="FF948" s="18"/>
    </row>
    <row r="949" spans="1:162" s="19" customFormat="1">
      <c r="A949" s="82"/>
      <c r="B949" s="96"/>
      <c r="C949" s="93"/>
      <c r="D949" s="103"/>
      <c r="E949" s="18"/>
      <c r="F949" s="18"/>
      <c r="G949" s="18"/>
      <c r="H949" s="18"/>
      <c r="I949" s="18"/>
      <c r="J949" s="18"/>
      <c r="K949" s="75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  <c r="BX949" s="18"/>
      <c r="BY949" s="18"/>
      <c r="BZ949" s="18"/>
      <c r="CA949" s="18"/>
      <c r="CB949" s="18"/>
      <c r="CC949" s="18"/>
      <c r="CD949" s="18"/>
      <c r="CE949" s="18"/>
      <c r="CF949" s="18"/>
      <c r="CG949" s="18"/>
      <c r="CH949" s="18"/>
      <c r="CI949" s="18"/>
      <c r="CJ949" s="18"/>
      <c r="CK949" s="18"/>
      <c r="CL949" s="18"/>
      <c r="CM949" s="18"/>
      <c r="CN949" s="18"/>
      <c r="CO949" s="18"/>
      <c r="CP949" s="18"/>
      <c r="CQ949" s="18"/>
      <c r="CR949" s="18"/>
      <c r="CS949" s="18"/>
      <c r="CT949" s="18"/>
      <c r="CU949" s="18"/>
      <c r="CV949" s="18"/>
      <c r="CW949" s="18"/>
      <c r="CX949" s="18"/>
      <c r="CY949" s="18"/>
      <c r="CZ949" s="18"/>
      <c r="DA949" s="18"/>
      <c r="DB949" s="18"/>
      <c r="DC949" s="18"/>
      <c r="DD949" s="18"/>
      <c r="DE949" s="18"/>
      <c r="DF949" s="18"/>
      <c r="DG949" s="18"/>
      <c r="DH949" s="18"/>
      <c r="DI949" s="18"/>
      <c r="DJ949" s="18"/>
      <c r="DK949" s="18"/>
      <c r="DL949" s="18"/>
      <c r="DM949" s="18"/>
      <c r="DN949" s="18"/>
      <c r="DO949" s="18"/>
      <c r="DP949" s="18"/>
      <c r="DQ949" s="18"/>
      <c r="DR949" s="18"/>
      <c r="DS949" s="18"/>
      <c r="DT949" s="18"/>
      <c r="DU949" s="18"/>
      <c r="DV949" s="18"/>
      <c r="DW949" s="18"/>
      <c r="DX949" s="18"/>
      <c r="DY949" s="18"/>
      <c r="DZ949" s="18"/>
      <c r="EA949" s="18"/>
      <c r="EB949" s="18"/>
      <c r="EC949" s="18"/>
      <c r="ED949" s="18"/>
      <c r="EE949" s="18"/>
      <c r="EF949" s="18"/>
      <c r="EG949" s="18"/>
      <c r="EH949" s="18"/>
      <c r="EI949" s="18"/>
      <c r="EJ949" s="18"/>
      <c r="EK949" s="18"/>
      <c r="EL949" s="18"/>
      <c r="EM949" s="18"/>
      <c r="EN949" s="18"/>
      <c r="EO949" s="18"/>
      <c r="EP949" s="18"/>
      <c r="EQ949" s="18"/>
      <c r="ER949" s="18"/>
      <c r="ES949" s="18"/>
      <c r="ET949" s="18"/>
      <c r="EU949" s="18"/>
      <c r="EV949" s="18"/>
      <c r="EW949" s="18"/>
      <c r="EX949" s="18"/>
      <c r="EY949" s="18"/>
      <c r="EZ949" s="18"/>
      <c r="FA949" s="18"/>
      <c r="FB949" s="18"/>
      <c r="FC949" s="18"/>
      <c r="FD949" s="18"/>
      <c r="FE949" s="18"/>
      <c r="FF949" s="18"/>
    </row>
    <row r="950" spans="1:162" s="19" customFormat="1">
      <c r="A950" s="82"/>
      <c r="B950" s="96"/>
      <c r="C950" s="93"/>
      <c r="D950" s="103"/>
      <c r="E950" s="18"/>
      <c r="F950" s="18"/>
      <c r="G950" s="18"/>
      <c r="H950" s="18"/>
      <c r="I950" s="18"/>
      <c r="J950" s="18"/>
      <c r="K950" s="75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  <c r="BX950" s="18"/>
      <c r="BY950" s="18"/>
      <c r="BZ950" s="18"/>
      <c r="CA950" s="18"/>
      <c r="CB950" s="18"/>
      <c r="CC950" s="18"/>
      <c r="CD950" s="18"/>
      <c r="CE950" s="18"/>
      <c r="CF950" s="18"/>
      <c r="CG950" s="18"/>
      <c r="CH950" s="18"/>
      <c r="CI950" s="18"/>
      <c r="CJ950" s="18"/>
      <c r="CK950" s="18"/>
      <c r="CL950" s="18"/>
      <c r="CM950" s="18"/>
      <c r="CN950" s="18"/>
      <c r="CO950" s="18"/>
      <c r="CP950" s="18"/>
      <c r="CQ950" s="18"/>
      <c r="CR950" s="18"/>
      <c r="CS950" s="18"/>
      <c r="CT950" s="18"/>
      <c r="CU950" s="18"/>
      <c r="CV950" s="18"/>
      <c r="CW950" s="18"/>
      <c r="CX950" s="18"/>
      <c r="CY950" s="18"/>
      <c r="CZ950" s="18"/>
      <c r="DA950" s="18"/>
      <c r="DB950" s="18"/>
      <c r="DC950" s="18"/>
      <c r="DD950" s="18"/>
      <c r="DE950" s="18"/>
      <c r="DF950" s="18"/>
      <c r="DG950" s="18"/>
      <c r="DH950" s="18"/>
      <c r="DI950" s="18"/>
      <c r="DJ950" s="18"/>
      <c r="DK950" s="18"/>
      <c r="DL950" s="18"/>
      <c r="DM950" s="18"/>
      <c r="DN950" s="18"/>
      <c r="DO950" s="18"/>
      <c r="DP950" s="18"/>
      <c r="DQ950" s="18"/>
      <c r="DR950" s="18"/>
      <c r="DS950" s="18"/>
      <c r="DT950" s="18"/>
      <c r="DU950" s="18"/>
      <c r="DV950" s="18"/>
      <c r="DW950" s="18"/>
      <c r="DX950" s="18"/>
      <c r="DY950" s="18"/>
      <c r="DZ950" s="18"/>
      <c r="EA950" s="18"/>
      <c r="EB950" s="18"/>
      <c r="EC950" s="18"/>
      <c r="ED950" s="18"/>
      <c r="EE950" s="18"/>
      <c r="EF950" s="18"/>
      <c r="EG950" s="18"/>
      <c r="EH950" s="18"/>
      <c r="EI950" s="18"/>
      <c r="EJ950" s="18"/>
      <c r="EK950" s="18"/>
      <c r="EL950" s="18"/>
      <c r="EM950" s="18"/>
      <c r="EN950" s="18"/>
      <c r="EO950" s="18"/>
      <c r="EP950" s="18"/>
      <c r="EQ950" s="18"/>
      <c r="ER950" s="18"/>
      <c r="ES950" s="18"/>
      <c r="ET950" s="18"/>
      <c r="EU950" s="18"/>
      <c r="EV950" s="18"/>
      <c r="EW950" s="18"/>
      <c r="EX950" s="18"/>
      <c r="EY950" s="18"/>
      <c r="EZ950" s="18"/>
      <c r="FA950" s="18"/>
      <c r="FB950" s="18"/>
      <c r="FC950" s="18"/>
      <c r="FD950" s="18"/>
      <c r="FE950" s="18"/>
      <c r="FF950" s="18"/>
    </row>
    <row r="951" spans="1:162" s="19" customFormat="1">
      <c r="A951" s="82"/>
      <c r="B951" s="96"/>
      <c r="C951" s="93"/>
      <c r="D951" s="103"/>
      <c r="E951" s="18"/>
      <c r="F951" s="18"/>
      <c r="G951" s="18"/>
      <c r="H951" s="18"/>
      <c r="I951" s="18"/>
      <c r="J951" s="18"/>
      <c r="K951" s="75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  <c r="BU951" s="18"/>
      <c r="BV951" s="18"/>
      <c r="BW951" s="18"/>
      <c r="BX951" s="18"/>
      <c r="BY951" s="18"/>
      <c r="BZ951" s="18"/>
      <c r="CA951" s="18"/>
      <c r="CB951" s="18"/>
      <c r="CC951" s="18"/>
      <c r="CD951" s="18"/>
      <c r="CE951" s="18"/>
      <c r="CF951" s="18"/>
      <c r="CG951" s="18"/>
      <c r="CH951" s="18"/>
      <c r="CI951" s="18"/>
      <c r="CJ951" s="18"/>
      <c r="CK951" s="18"/>
      <c r="CL951" s="18"/>
      <c r="CM951" s="18"/>
      <c r="CN951" s="18"/>
      <c r="CO951" s="18"/>
      <c r="CP951" s="18"/>
      <c r="CQ951" s="18"/>
      <c r="CR951" s="18"/>
      <c r="CS951" s="18"/>
      <c r="CT951" s="18"/>
      <c r="CU951" s="18"/>
      <c r="CV951" s="18"/>
      <c r="CW951" s="18"/>
      <c r="CX951" s="18"/>
      <c r="CY951" s="18"/>
      <c r="CZ951" s="18"/>
      <c r="DA951" s="18"/>
      <c r="DB951" s="18"/>
      <c r="DC951" s="18"/>
      <c r="DD951" s="18"/>
      <c r="DE951" s="18"/>
      <c r="DF951" s="18"/>
      <c r="DG951" s="18"/>
      <c r="DH951" s="18"/>
      <c r="DI951" s="18"/>
      <c r="DJ951" s="18"/>
      <c r="DK951" s="18"/>
      <c r="DL951" s="18"/>
      <c r="DM951" s="18"/>
      <c r="DN951" s="18"/>
      <c r="DO951" s="18"/>
      <c r="DP951" s="18"/>
      <c r="DQ951" s="18"/>
      <c r="DR951" s="18"/>
      <c r="DS951" s="18"/>
      <c r="DT951" s="18"/>
      <c r="DU951" s="18"/>
      <c r="DV951" s="18"/>
      <c r="DW951" s="18"/>
      <c r="DX951" s="18"/>
      <c r="DY951" s="18"/>
      <c r="DZ951" s="18"/>
      <c r="EA951" s="18"/>
      <c r="EB951" s="18"/>
      <c r="EC951" s="18"/>
      <c r="ED951" s="18"/>
      <c r="EE951" s="18"/>
      <c r="EF951" s="18"/>
      <c r="EG951" s="18"/>
      <c r="EH951" s="18"/>
      <c r="EI951" s="18"/>
      <c r="EJ951" s="18"/>
      <c r="EK951" s="18"/>
      <c r="EL951" s="18"/>
      <c r="EM951" s="18"/>
      <c r="EN951" s="18"/>
      <c r="EO951" s="18"/>
      <c r="EP951" s="18"/>
      <c r="EQ951" s="18"/>
      <c r="ER951" s="18"/>
      <c r="ES951" s="18"/>
      <c r="ET951" s="18"/>
      <c r="EU951" s="18"/>
      <c r="EV951" s="18"/>
      <c r="EW951" s="18"/>
      <c r="EX951" s="18"/>
      <c r="EY951" s="18"/>
      <c r="EZ951" s="18"/>
      <c r="FA951" s="18"/>
      <c r="FB951" s="18"/>
      <c r="FC951" s="18"/>
      <c r="FD951" s="18"/>
      <c r="FE951" s="18"/>
      <c r="FF951" s="18"/>
    </row>
    <row r="952" spans="1:162" s="19" customFormat="1">
      <c r="A952" s="82"/>
      <c r="B952" s="96"/>
      <c r="C952" s="93"/>
      <c r="D952" s="103"/>
      <c r="E952" s="18"/>
      <c r="F952" s="18"/>
      <c r="G952" s="18"/>
      <c r="H952" s="18"/>
      <c r="I952" s="18"/>
      <c r="J952" s="18"/>
      <c r="K952" s="75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  <c r="BU952" s="18"/>
      <c r="BV952" s="18"/>
      <c r="BW952" s="18"/>
      <c r="BX952" s="18"/>
      <c r="BY952" s="18"/>
      <c r="BZ952" s="18"/>
      <c r="CA952" s="18"/>
      <c r="CB952" s="18"/>
      <c r="CC952" s="18"/>
      <c r="CD952" s="18"/>
      <c r="CE952" s="18"/>
      <c r="CF952" s="18"/>
      <c r="CG952" s="18"/>
      <c r="CH952" s="18"/>
      <c r="CI952" s="18"/>
      <c r="CJ952" s="18"/>
      <c r="CK952" s="18"/>
      <c r="CL952" s="18"/>
      <c r="CM952" s="18"/>
      <c r="CN952" s="18"/>
      <c r="CO952" s="18"/>
      <c r="CP952" s="18"/>
      <c r="CQ952" s="18"/>
      <c r="CR952" s="18"/>
      <c r="CS952" s="18"/>
      <c r="CT952" s="18"/>
      <c r="CU952" s="18"/>
      <c r="CV952" s="18"/>
      <c r="CW952" s="18"/>
      <c r="CX952" s="18"/>
      <c r="CY952" s="18"/>
      <c r="CZ952" s="18"/>
      <c r="DA952" s="18"/>
      <c r="DB952" s="18"/>
      <c r="DC952" s="18"/>
      <c r="DD952" s="18"/>
      <c r="DE952" s="18"/>
      <c r="DF952" s="18"/>
      <c r="DG952" s="18"/>
      <c r="DH952" s="18"/>
      <c r="DI952" s="18"/>
      <c r="DJ952" s="18"/>
      <c r="DK952" s="18"/>
      <c r="DL952" s="18"/>
      <c r="DM952" s="18"/>
      <c r="DN952" s="18"/>
      <c r="DO952" s="18"/>
      <c r="DP952" s="18"/>
      <c r="DQ952" s="18"/>
      <c r="DR952" s="18"/>
      <c r="DS952" s="18"/>
      <c r="DT952" s="18"/>
      <c r="DU952" s="18"/>
      <c r="DV952" s="18"/>
      <c r="DW952" s="18"/>
      <c r="DX952" s="18"/>
      <c r="DY952" s="18"/>
      <c r="DZ952" s="18"/>
      <c r="EA952" s="18"/>
      <c r="EB952" s="18"/>
      <c r="EC952" s="18"/>
      <c r="ED952" s="18"/>
      <c r="EE952" s="18"/>
      <c r="EF952" s="18"/>
      <c r="EG952" s="18"/>
      <c r="EH952" s="18"/>
      <c r="EI952" s="18"/>
      <c r="EJ952" s="18"/>
      <c r="EK952" s="18"/>
      <c r="EL952" s="18"/>
      <c r="EM952" s="18"/>
      <c r="EN952" s="18"/>
      <c r="EO952" s="18"/>
      <c r="EP952" s="18"/>
      <c r="EQ952" s="18"/>
      <c r="ER952" s="18"/>
      <c r="ES952" s="18"/>
      <c r="ET952" s="18"/>
      <c r="EU952" s="18"/>
      <c r="EV952" s="18"/>
      <c r="EW952" s="18"/>
      <c r="EX952" s="18"/>
      <c r="EY952" s="18"/>
      <c r="EZ952" s="18"/>
      <c r="FA952" s="18"/>
      <c r="FB952" s="18"/>
      <c r="FC952" s="18"/>
      <c r="FD952" s="18"/>
      <c r="FE952" s="18"/>
      <c r="FF952" s="18"/>
    </row>
    <row r="953" spans="1:162" s="19" customFormat="1">
      <c r="A953" s="82"/>
      <c r="B953" s="96"/>
      <c r="C953" s="93"/>
      <c r="D953" s="103"/>
      <c r="E953" s="18"/>
      <c r="F953" s="18"/>
      <c r="G953" s="18"/>
      <c r="H953" s="18"/>
      <c r="I953" s="18"/>
      <c r="J953" s="18"/>
      <c r="K953" s="75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  <c r="BU953" s="18"/>
      <c r="BV953" s="18"/>
      <c r="BW953" s="18"/>
      <c r="BX953" s="18"/>
      <c r="BY953" s="18"/>
      <c r="BZ953" s="18"/>
      <c r="CA953" s="18"/>
      <c r="CB953" s="18"/>
      <c r="CC953" s="18"/>
      <c r="CD953" s="18"/>
      <c r="CE953" s="18"/>
      <c r="CF953" s="18"/>
      <c r="CG953" s="18"/>
      <c r="CH953" s="18"/>
      <c r="CI953" s="18"/>
      <c r="CJ953" s="18"/>
      <c r="CK953" s="18"/>
      <c r="CL953" s="18"/>
      <c r="CM953" s="18"/>
      <c r="CN953" s="18"/>
      <c r="CO953" s="18"/>
      <c r="CP953" s="18"/>
      <c r="CQ953" s="18"/>
      <c r="CR953" s="18"/>
      <c r="CS953" s="18"/>
      <c r="CT953" s="18"/>
      <c r="CU953" s="18"/>
      <c r="CV953" s="18"/>
      <c r="CW953" s="18"/>
      <c r="CX953" s="18"/>
      <c r="CY953" s="18"/>
      <c r="CZ953" s="18"/>
      <c r="DA953" s="18"/>
      <c r="DB953" s="18"/>
      <c r="DC953" s="18"/>
      <c r="DD953" s="18"/>
      <c r="DE953" s="18"/>
      <c r="DF953" s="18"/>
      <c r="DG953" s="18"/>
      <c r="DH953" s="18"/>
      <c r="DI953" s="18"/>
      <c r="DJ953" s="18"/>
      <c r="DK953" s="18"/>
      <c r="DL953" s="18"/>
      <c r="DM953" s="18"/>
      <c r="DN953" s="18"/>
      <c r="DO953" s="18"/>
      <c r="DP953" s="18"/>
      <c r="DQ953" s="18"/>
      <c r="DR953" s="18"/>
      <c r="DS953" s="18"/>
      <c r="DT953" s="18"/>
      <c r="DU953" s="18"/>
      <c r="DV953" s="18"/>
      <c r="DW953" s="18"/>
      <c r="DX953" s="18"/>
      <c r="DY953" s="18"/>
      <c r="DZ953" s="18"/>
      <c r="EA953" s="18"/>
      <c r="EB953" s="18"/>
      <c r="EC953" s="18"/>
      <c r="ED953" s="18"/>
      <c r="EE953" s="18"/>
      <c r="EF953" s="18"/>
      <c r="EG953" s="18"/>
      <c r="EH953" s="18"/>
      <c r="EI953" s="18"/>
      <c r="EJ953" s="18"/>
      <c r="EK953" s="18"/>
      <c r="EL953" s="18"/>
      <c r="EM953" s="18"/>
      <c r="EN953" s="18"/>
      <c r="EO953" s="18"/>
      <c r="EP953" s="18"/>
      <c r="EQ953" s="18"/>
      <c r="ER953" s="18"/>
      <c r="ES953" s="18"/>
      <c r="ET953" s="18"/>
      <c r="EU953" s="18"/>
      <c r="EV953" s="18"/>
      <c r="EW953" s="18"/>
      <c r="EX953" s="18"/>
      <c r="EY953" s="18"/>
      <c r="EZ953" s="18"/>
      <c r="FA953" s="18"/>
      <c r="FB953" s="18"/>
      <c r="FC953" s="18"/>
      <c r="FD953" s="18"/>
      <c r="FE953" s="18"/>
      <c r="FF953" s="18"/>
    </row>
    <row r="954" spans="1:162">
      <c r="A954" s="84"/>
      <c r="B954" s="98"/>
      <c r="C954" s="13"/>
      <c r="D954" s="14"/>
      <c r="E954" s="14"/>
    </row>
    <row r="955" spans="1:162">
      <c r="A955" s="84"/>
      <c r="B955" s="98"/>
      <c r="C955" s="13"/>
      <c r="D955" s="14"/>
      <c r="E955" s="14"/>
    </row>
    <row r="956" spans="1:162">
      <c r="A956" s="84"/>
      <c r="B956" s="98"/>
      <c r="C956" s="13"/>
      <c r="D956" s="14"/>
      <c r="E956" s="14"/>
    </row>
    <row r="957" spans="1:162">
      <c r="A957" s="84"/>
      <c r="B957" s="98"/>
      <c r="C957" s="13"/>
      <c r="D957" s="14"/>
      <c r="E957" s="14"/>
    </row>
    <row r="958" spans="1:162">
      <c r="A958" s="84"/>
      <c r="B958" s="98"/>
      <c r="C958" s="13"/>
      <c r="D958" s="14"/>
      <c r="E958" s="14"/>
    </row>
    <row r="959" spans="1:162">
      <c r="A959" s="84"/>
      <c r="B959" s="98"/>
      <c r="C959" s="13"/>
      <c r="D959" s="14"/>
      <c r="E959" s="14"/>
    </row>
    <row r="960" spans="1:162" s="52" customFormat="1">
      <c r="A960" s="84"/>
      <c r="B960" s="98"/>
      <c r="C960" s="13"/>
      <c r="D960" s="14"/>
      <c r="E960" s="14"/>
      <c r="K960" s="77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  <c r="BV960" s="11"/>
      <c r="BW960" s="11"/>
      <c r="BX960" s="11"/>
      <c r="BY960" s="11"/>
      <c r="BZ960" s="11"/>
      <c r="CA960" s="11"/>
      <c r="CB960" s="11"/>
      <c r="CC960" s="11"/>
      <c r="CD960" s="11"/>
      <c r="CE960" s="11"/>
      <c r="CF960" s="11"/>
      <c r="CG960" s="11"/>
      <c r="CH960" s="11"/>
      <c r="CI960" s="11"/>
      <c r="CJ960" s="11"/>
      <c r="CK960" s="11"/>
      <c r="CL960" s="11"/>
      <c r="CM960" s="11"/>
      <c r="CN960" s="11"/>
      <c r="CO960" s="11"/>
      <c r="CP960" s="11"/>
      <c r="CQ960" s="11"/>
      <c r="CR960" s="11"/>
      <c r="CS960" s="11"/>
      <c r="CT960" s="11"/>
      <c r="CU960" s="11"/>
      <c r="CV960" s="11"/>
      <c r="CW960" s="11"/>
      <c r="CX960" s="11"/>
      <c r="CY960" s="11"/>
      <c r="CZ960" s="11"/>
      <c r="DA960" s="11"/>
      <c r="DB960" s="11"/>
      <c r="DC960" s="11"/>
      <c r="DD960" s="11"/>
      <c r="DE960" s="11"/>
      <c r="DF960" s="11"/>
      <c r="DG960" s="11"/>
      <c r="DH960" s="11"/>
      <c r="DI960" s="11"/>
      <c r="DJ960" s="11"/>
      <c r="DK960" s="11"/>
      <c r="DL960" s="11"/>
      <c r="DM960" s="11"/>
      <c r="DN960" s="11"/>
      <c r="DO960" s="11"/>
      <c r="DP960" s="11"/>
      <c r="DQ960" s="11"/>
      <c r="DR960" s="11"/>
      <c r="DS960" s="11"/>
      <c r="DT960" s="11"/>
      <c r="DU960" s="11"/>
      <c r="DV960" s="11"/>
      <c r="DW960" s="11"/>
      <c r="DX960" s="11"/>
      <c r="DY960" s="11"/>
      <c r="DZ960" s="11"/>
      <c r="EA960" s="11"/>
      <c r="EB960" s="11"/>
      <c r="EC960" s="11"/>
      <c r="ED960" s="11"/>
      <c r="EE960" s="11"/>
      <c r="EF960" s="11"/>
      <c r="EG960" s="11"/>
      <c r="EH960" s="11"/>
      <c r="EI960" s="11"/>
    </row>
    <row r="961" spans="1:139" s="52" customFormat="1">
      <c r="A961" s="84"/>
      <c r="B961" s="98"/>
      <c r="C961" s="13"/>
      <c r="D961" s="14"/>
      <c r="E961" s="14"/>
      <c r="K961" s="77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  <c r="BX961" s="11"/>
      <c r="BY961" s="11"/>
      <c r="BZ961" s="11"/>
      <c r="CA961" s="11"/>
      <c r="CB961" s="11"/>
      <c r="CC961" s="11"/>
      <c r="CD961" s="11"/>
      <c r="CE961" s="11"/>
      <c r="CF961" s="11"/>
      <c r="CG961" s="11"/>
      <c r="CH961" s="11"/>
      <c r="CI961" s="11"/>
      <c r="CJ961" s="11"/>
      <c r="CK961" s="11"/>
      <c r="CL961" s="11"/>
      <c r="CM961" s="11"/>
      <c r="CN961" s="11"/>
      <c r="CO961" s="11"/>
      <c r="CP961" s="11"/>
      <c r="CQ961" s="11"/>
      <c r="CR961" s="11"/>
      <c r="CS961" s="11"/>
      <c r="CT961" s="11"/>
      <c r="CU961" s="11"/>
      <c r="CV961" s="11"/>
      <c r="CW961" s="11"/>
      <c r="CX961" s="11"/>
      <c r="CY961" s="11"/>
      <c r="CZ961" s="11"/>
      <c r="DA961" s="11"/>
      <c r="DB961" s="11"/>
      <c r="DC961" s="11"/>
      <c r="DD961" s="11"/>
      <c r="DE961" s="11"/>
      <c r="DF961" s="11"/>
      <c r="DG961" s="11"/>
      <c r="DH961" s="11"/>
      <c r="DI961" s="11"/>
      <c r="DJ961" s="11"/>
      <c r="DK961" s="11"/>
      <c r="DL961" s="11"/>
      <c r="DM961" s="11"/>
      <c r="DN961" s="11"/>
      <c r="DO961" s="11"/>
      <c r="DP961" s="11"/>
      <c r="DQ961" s="11"/>
      <c r="DR961" s="11"/>
      <c r="DS961" s="11"/>
      <c r="DT961" s="11"/>
      <c r="DU961" s="11"/>
      <c r="DV961" s="11"/>
      <c r="DW961" s="11"/>
      <c r="DX961" s="11"/>
      <c r="DY961" s="11"/>
      <c r="DZ961" s="11"/>
      <c r="EA961" s="11"/>
      <c r="EB961" s="11"/>
      <c r="EC961" s="11"/>
      <c r="ED961" s="11"/>
      <c r="EE961" s="11"/>
      <c r="EF961" s="11"/>
      <c r="EG961" s="11"/>
      <c r="EH961" s="11"/>
      <c r="EI961" s="11"/>
    </row>
    <row r="962" spans="1:139" s="52" customFormat="1">
      <c r="A962" s="84"/>
      <c r="B962" s="98"/>
      <c r="C962" s="13"/>
      <c r="D962" s="14"/>
      <c r="E962" s="14"/>
      <c r="K962" s="77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  <c r="BX962" s="11"/>
      <c r="BY962" s="11"/>
      <c r="BZ962" s="11"/>
      <c r="CA962" s="11"/>
      <c r="CB962" s="11"/>
      <c r="CC962" s="11"/>
      <c r="CD962" s="11"/>
      <c r="CE962" s="11"/>
      <c r="CF962" s="11"/>
      <c r="CG962" s="11"/>
      <c r="CH962" s="11"/>
      <c r="CI962" s="11"/>
      <c r="CJ962" s="11"/>
      <c r="CK962" s="11"/>
      <c r="CL962" s="11"/>
      <c r="CM962" s="11"/>
      <c r="CN962" s="11"/>
      <c r="CO962" s="11"/>
      <c r="CP962" s="11"/>
      <c r="CQ962" s="11"/>
      <c r="CR962" s="11"/>
      <c r="CS962" s="11"/>
      <c r="CT962" s="11"/>
      <c r="CU962" s="11"/>
      <c r="CV962" s="11"/>
      <c r="CW962" s="11"/>
      <c r="CX962" s="11"/>
      <c r="CY962" s="11"/>
      <c r="CZ962" s="11"/>
      <c r="DA962" s="11"/>
      <c r="DB962" s="11"/>
      <c r="DC962" s="11"/>
      <c r="DD962" s="11"/>
      <c r="DE962" s="11"/>
      <c r="DF962" s="11"/>
      <c r="DG962" s="11"/>
      <c r="DH962" s="11"/>
      <c r="DI962" s="11"/>
      <c r="DJ962" s="11"/>
      <c r="DK962" s="11"/>
      <c r="DL962" s="11"/>
      <c r="DM962" s="11"/>
      <c r="DN962" s="11"/>
      <c r="DO962" s="11"/>
      <c r="DP962" s="11"/>
      <c r="DQ962" s="11"/>
      <c r="DR962" s="11"/>
      <c r="DS962" s="11"/>
      <c r="DT962" s="11"/>
      <c r="DU962" s="11"/>
      <c r="DV962" s="11"/>
      <c r="DW962" s="11"/>
      <c r="DX962" s="11"/>
      <c r="DY962" s="11"/>
      <c r="DZ962" s="11"/>
      <c r="EA962" s="11"/>
      <c r="EB962" s="11"/>
      <c r="EC962" s="11"/>
      <c r="ED962" s="11"/>
      <c r="EE962" s="11"/>
      <c r="EF962" s="11"/>
      <c r="EG962" s="11"/>
      <c r="EH962" s="11"/>
      <c r="EI962" s="11"/>
    </row>
    <row r="963" spans="1:139" s="52" customFormat="1">
      <c r="A963" s="84"/>
      <c r="B963" s="98"/>
      <c r="C963" s="13"/>
      <c r="D963" s="14"/>
      <c r="E963" s="14"/>
      <c r="K963" s="77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  <c r="BV963" s="11"/>
      <c r="BW963" s="11"/>
      <c r="BX963" s="11"/>
      <c r="BY963" s="11"/>
      <c r="BZ963" s="11"/>
      <c r="CA963" s="11"/>
      <c r="CB963" s="11"/>
      <c r="CC963" s="11"/>
      <c r="CD963" s="11"/>
      <c r="CE963" s="11"/>
      <c r="CF963" s="11"/>
      <c r="CG963" s="11"/>
      <c r="CH963" s="11"/>
      <c r="CI963" s="11"/>
      <c r="CJ963" s="11"/>
      <c r="CK963" s="11"/>
      <c r="CL963" s="11"/>
      <c r="CM963" s="11"/>
      <c r="CN963" s="11"/>
      <c r="CO963" s="11"/>
      <c r="CP963" s="11"/>
      <c r="CQ963" s="11"/>
      <c r="CR963" s="11"/>
      <c r="CS963" s="11"/>
      <c r="CT963" s="11"/>
      <c r="CU963" s="11"/>
      <c r="CV963" s="11"/>
      <c r="CW963" s="11"/>
      <c r="CX963" s="11"/>
      <c r="CY963" s="11"/>
      <c r="CZ963" s="11"/>
      <c r="DA963" s="11"/>
      <c r="DB963" s="11"/>
      <c r="DC963" s="11"/>
      <c r="DD963" s="11"/>
      <c r="DE963" s="11"/>
      <c r="DF963" s="11"/>
      <c r="DG963" s="11"/>
      <c r="DH963" s="11"/>
      <c r="DI963" s="11"/>
      <c r="DJ963" s="11"/>
      <c r="DK963" s="11"/>
      <c r="DL963" s="11"/>
      <c r="DM963" s="11"/>
      <c r="DN963" s="11"/>
      <c r="DO963" s="11"/>
      <c r="DP963" s="11"/>
      <c r="DQ963" s="11"/>
      <c r="DR963" s="11"/>
      <c r="DS963" s="11"/>
      <c r="DT963" s="11"/>
      <c r="DU963" s="11"/>
      <c r="DV963" s="11"/>
      <c r="DW963" s="11"/>
      <c r="DX963" s="11"/>
      <c r="DY963" s="11"/>
      <c r="DZ963" s="11"/>
      <c r="EA963" s="11"/>
      <c r="EB963" s="11"/>
      <c r="EC963" s="11"/>
      <c r="ED963" s="11"/>
      <c r="EE963" s="11"/>
      <c r="EF963" s="11"/>
      <c r="EG963" s="11"/>
      <c r="EH963" s="11"/>
      <c r="EI963" s="11"/>
    </row>
    <row r="964" spans="1:139" s="52" customFormat="1">
      <c r="A964" s="84"/>
      <c r="B964" s="98"/>
      <c r="C964" s="13"/>
      <c r="D964" s="14"/>
      <c r="E964" s="14"/>
      <c r="K964" s="77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  <c r="BV964" s="11"/>
      <c r="BW964" s="11"/>
      <c r="BX964" s="11"/>
      <c r="BY964" s="11"/>
      <c r="BZ964" s="11"/>
      <c r="CA964" s="11"/>
      <c r="CB964" s="11"/>
      <c r="CC964" s="11"/>
      <c r="CD964" s="11"/>
      <c r="CE964" s="11"/>
      <c r="CF964" s="11"/>
      <c r="CG964" s="11"/>
      <c r="CH964" s="11"/>
      <c r="CI964" s="11"/>
      <c r="CJ964" s="11"/>
      <c r="CK964" s="11"/>
      <c r="CL964" s="11"/>
      <c r="CM964" s="11"/>
      <c r="CN964" s="11"/>
      <c r="CO964" s="11"/>
      <c r="CP964" s="11"/>
      <c r="CQ964" s="11"/>
      <c r="CR964" s="11"/>
      <c r="CS964" s="11"/>
      <c r="CT964" s="11"/>
      <c r="CU964" s="11"/>
      <c r="CV964" s="11"/>
      <c r="CW964" s="11"/>
      <c r="CX964" s="11"/>
      <c r="CY964" s="11"/>
      <c r="CZ964" s="11"/>
      <c r="DA964" s="11"/>
      <c r="DB964" s="11"/>
      <c r="DC964" s="11"/>
      <c r="DD964" s="11"/>
      <c r="DE964" s="11"/>
      <c r="DF964" s="11"/>
      <c r="DG964" s="11"/>
      <c r="DH964" s="11"/>
      <c r="DI964" s="11"/>
      <c r="DJ964" s="11"/>
      <c r="DK964" s="11"/>
      <c r="DL964" s="11"/>
      <c r="DM964" s="11"/>
      <c r="DN964" s="11"/>
      <c r="DO964" s="11"/>
      <c r="DP964" s="11"/>
      <c r="DQ964" s="11"/>
      <c r="DR964" s="11"/>
      <c r="DS964" s="11"/>
      <c r="DT964" s="11"/>
      <c r="DU964" s="11"/>
      <c r="DV964" s="11"/>
      <c r="DW964" s="11"/>
      <c r="DX964" s="11"/>
      <c r="DY964" s="11"/>
      <c r="DZ964" s="11"/>
      <c r="EA964" s="11"/>
      <c r="EB964" s="11"/>
      <c r="EC964" s="11"/>
      <c r="ED964" s="11"/>
      <c r="EE964" s="11"/>
      <c r="EF964" s="11"/>
      <c r="EG964" s="11"/>
      <c r="EH964" s="11"/>
      <c r="EI964" s="11"/>
    </row>
    <row r="965" spans="1:139" s="52" customFormat="1">
      <c r="A965" s="84"/>
      <c r="B965" s="98"/>
      <c r="C965" s="13"/>
      <c r="D965" s="14"/>
      <c r="E965" s="14"/>
      <c r="K965" s="77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  <c r="BX965" s="11"/>
      <c r="BY965" s="11"/>
      <c r="BZ965" s="11"/>
      <c r="CA965" s="11"/>
      <c r="CB965" s="11"/>
      <c r="CC965" s="11"/>
      <c r="CD965" s="11"/>
      <c r="CE965" s="11"/>
      <c r="CF965" s="11"/>
      <c r="CG965" s="11"/>
      <c r="CH965" s="11"/>
      <c r="CI965" s="11"/>
      <c r="CJ965" s="11"/>
      <c r="CK965" s="11"/>
      <c r="CL965" s="11"/>
      <c r="CM965" s="11"/>
      <c r="CN965" s="11"/>
      <c r="CO965" s="11"/>
      <c r="CP965" s="11"/>
      <c r="CQ965" s="11"/>
      <c r="CR965" s="11"/>
      <c r="CS965" s="11"/>
      <c r="CT965" s="11"/>
      <c r="CU965" s="11"/>
      <c r="CV965" s="11"/>
      <c r="CW965" s="11"/>
      <c r="CX965" s="11"/>
      <c r="CY965" s="11"/>
      <c r="CZ965" s="11"/>
      <c r="DA965" s="11"/>
      <c r="DB965" s="11"/>
      <c r="DC965" s="11"/>
      <c r="DD965" s="11"/>
      <c r="DE965" s="11"/>
      <c r="DF965" s="11"/>
      <c r="DG965" s="11"/>
      <c r="DH965" s="11"/>
      <c r="DI965" s="11"/>
      <c r="DJ965" s="11"/>
      <c r="DK965" s="11"/>
      <c r="DL965" s="11"/>
      <c r="DM965" s="11"/>
      <c r="DN965" s="11"/>
      <c r="DO965" s="11"/>
      <c r="DP965" s="11"/>
      <c r="DQ965" s="11"/>
      <c r="DR965" s="11"/>
      <c r="DS965" s="11"/>
      <c r="DT965" s="11"/>
      <c r="DU965" s="11"/>
      <c r="DV965" s="11"/>
      <c r="DW965" s="11"/>
      <c r="DX965" s="11"/>
      <c r="DY965" s="11"/>
      <c r="DZ965" s="11"/>
      <c r="EA965" s="11"/>
      <c r="EB965" s="11"/>
      <c r="EC965" s="11"/>
      <c r="ED965" s="11"/>
      <c r="EE965" s="11"/>
      <c r="EF965" s="11"/>
      <c r="EG965" s="11"/>
      <c r="EH965" s="11"/>
      <c r="EI965" s="11"/>
    </row>
    <row r="966" spans="1:139" s="52" customFormat="1">
      <c r="A966" s="84"/>
      <c r="B966" s="98"/>
      <c r="C966" s="13"/>
      <c r="D966" s="14"/>
      <c r="E966" s="14"/>
      <c r="K966" s="77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  <c r="BV966" s="11"/>
      <c r="BW966" s="11"/>
      <c r="BX966" s="11"/>
      <c r="BY966" s="11"/>
      <c r="BZ966" s="11"/>
      <c r="CA966" s="11"/>
      <c r="CB966" s="11"/>
      <c r="CC966" s="11"/>
      <c r="CD966" s="11"/>
      <c r="CE966" s="11"/>
      <c r="CF966" s="11"/>
      <c r="CG966" s="11"/>
      <c r="CH966" s="11"/>
      <c r="CI966" s="11"/>
      <c r="CJ966" s="11"/>
      <c r="CK966" s="11"/>
      <c r="CL966" s="11"/>
      <c r="CM966" s="11"/>
      <c r="CN966" s="11"/>
      <c r="CO966" s="11"/>
      <c r="CP966" s="11"/>
      <c r="CQ966" s="11"/>
      <c r="CR966" s="11"/>
      <c r="CS966" s="11"/>
      <c r="CT966" s="11"/>
      <c r="CU966" s="11"/>
      <c r="CV966" s="11"/>
      <c r="CW966" s="11"/>
      <c r="CX966" s="11"/>
      <c r="CY966" s="11"/>
      <c r="CZ966" s="11"/>
      <c r="DA966" s="11"/>
      <c r="DB966" s="11"/>
      <c r="DC966" s="11"/>
      <c r="DD966" s="11"/>
      <c r="DE966" s="11"/>
      <c r="DF966" s="11"/>
      <c r="DG966" s="11"/>
      <c r="DH966" s="11"/>
      <c r="DI966" s="11"/>
      <c r="DJ966" s="11"/>
      <c r="DK966" s="11"/>
      <c r="DL966" s="11"/>
      <c r="DM966" s="11"/>
      <c r="DN966" s="11"/>
      <c r="DO966" s="11"/>
      <c r="DP966" s="11"/>
      <c r="DQ966" s="11"/>
      <c r="DR966" s="11"/>
      <c r="DS966" s="11"/>
      <c r="DT966" s="11"/>
      <c r="DU966" s="11"/>
      <c r="DV966" s="11"/>
      <c r="DW966" s="11"/>
      <c r="DX966" s="11"/>
      <c r="DY966" s="11"/>
      <c r="DZ966" s="11"/>
      <c r="EA966" s="11"/>
      <c r="EB966" s="11"/>
      <c r="EC966" s="11"/>
      <c r="ED966" s="11"/>
      <c r="EE966" s="11"/>
      <c r="EF966" s="11"/>
      <c r="EG966" s="11"/>
      <c r="EH966" s="11"/>
      <c r="EI966" s="11"/>
    </row>
    <row r="967" spans="1:139" s="52" customFormat="1">
      <c r="A967" s="84"/>
      <c r="B967" s="98"/>
      <c r="C967" s="13"/>
      <c r="D967" s="14"/>
      <c r="E967" s="14"/>
      <c r="K967" s="77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  <c r="BV967" s="11"/>
      <c r="BW967" s="11"/>
      <c r="BX967" s="11"/>
      <c r="BY967" s="11"/>
      <c r="BZ967" s="11"/>
      <c r="CA967" s="11"/>
      <c r="CB967" s="11"/>
      <c r="CC967" s="11"/>
      <c r="CD967" s="11"/>
      <c r="CE967" s="11"/>
      <c r="CF967" s="11"/>
      <c r="CG967" s="11"/>
      <c r="CH967" s="11"/>
      <c r="CI967" s="11"/>
      <c r="CJ967" s="11"/>
      <c r="CK967" s="11"/>
      <c r="CL967" s="11"/>
      <c r="CM967" s="11"/>
      <c r="CN967" s="11"/>
      <c r="CO967" s="11"/>
      <c r="CP967" s="11"/>
      <c r="CQ967" s="11"/>
      <c r="CR967" s="11"/>
      <c r="CS967" s="11"/>
      <c r="CT967" s="11"/>
      <c r="CU967" s="11"/>
      <c r="CV967" s="11"/>
      <c r="CW967" s="11"/>
      <c r="CX967" s="11"/>
      <c r="CY967" s="11"/>
      <c r="CZ967" s="11"/>
      <c r="DA967" s="11"/>
      <c r="DB967" s="11"/>
      <c r="DC967" s="11"/>
      <c r="DD967" s="11"/>
      <c r="DE967" s="11"/>
      <c r="DF967" s="11"/>
      <c r="DG967" s="11"/>
      <c r="DH967" s="11"/>
      <c r="DI967" s="11"/>
      <c r="DJ967" s="11"/>
      <c r="DK967" s="11"/>
      <c r="DL967" s="11"/>
      <c r="DM967" s="11"/>
      <c r="DN967" s="11"/>
      <c r="DO967" s="11"/>
      <c r="DP967" s="11"/>
      <c r="DQ967" s="11"/>
      <c r="DR967" s="11"/>
      <c r="DS967" s="11"/>
      <c r="DT967" s="11"/>
      <c r="DU967" s="11"/>
      <c r="DV967" s="11"/>
      <c r="DW967" s="11"/>
      <c r="DX967" s="11"/>
      <c r="DY967" s="11"/>
      <c r="DZ967" s="11"/>
      <c r="EA967" s="11"/>
      <c r="EB967" s="11"/>
      <c r="EC967" s="11"/>
      <c r="ED967" s="11"/>
      <c r="EE967" s="11"/>
      <c r="EF967" s="11"/>
      <c r="EG967" s="11"/>
      <c r="EH967" s="11"/>
      <c r="EI967" s="11"/>
    </row>
    <row r="968" spans="1:139" s="52" customFormat="1">
      <c r="A968" s="84"/>
      <c r="B968" s="98"/>
      <c r="C968" s="13"/>
      <c r="D968" s="14"/>
      <c r="E968" s="14"/>
      <c r="K968" s="77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  <c r="BX968" s="11"/>
      <c r="BY968" s="11"/>
      <c r="BZ968" s="11"/>
      <c r="CA968" s="11"/>
      <c r="CB968" s="11"/>
      <c r="CC968" s="11"/>
      <c r="CD968" s="11"/>
      <c r="CE968" s="11"/>
      <c r="CF968" s="11"/>
      <c r="CG968" s="11"/>
      <c r="CH968" s="11"/>
      <c r="CI968" s="11"/>
      <c r="CJ968" s="11"/>
      <c r="CK968" s="11"/>
      <c r="CL968" s="11"/>
      <c r="CM968" s="11"/>
      <c r="CN968" s="11"/>
      <c r="CO968" s="11"/>
      <c r="CP968" s="11"/>
      <c r="CQ968" s="11"/>
      <c r="CR968" s="11"/>
      <c r="CS968" s="11"/>
      <c r="CT968" s="11"/>
      <c r="CU968" s="11"/>
      <c r="CV968" s="11"/>
      <c r="CW968" s="11"/>
      <c r="CX968" s="11"/>
      <c r="CY968" s="11"/>
      <c r="CZ968" s="11"/>
      <c r="DA968" s="11"/>
      <c r="DB968" s="11"/>
      <c r="DC968" s="11"/>
      <c r="DD968" s="11"/>
      <c r="DE968" s="11"/>
      <c r="DF968" s="11"/>
      <c r="DG968" s="11"/>
      <c r="DH968" s="11"/>
      <c r="DI968" s="11"/>
      <c r="DJ968" s="11"/>
      <c r="DK968" s="11"/>
      <c r="DL968" s="11"/>
      <c r="DM968" s="11"/>
      <c r="DN968" s="11"/>
      <c r="DO968" s="11"/>
      <c r="DP968" s="11"/>
      <c r="DQ968" s="11"/>
      <c r="DR968" s="11"/>
      <c r="DS968" s="11"/>
      <c r="DT968" s="11"/>
      <c r="DU968" s="11"/>
      <c r="DV968" s="11"/>
      <c r="DW968" s="11"/>
      <c r="DX968" s="11"/>
      <c r="DY968" s="11"/>
      <c r="DZ968" s="11"/>
      <c r="EA968" s="11"/>
      <c r="EB968" s="11"/>
      <c r="EC968" s="11"/>
      <c r="ED968" s="11"/>
      <c r="EE968" s="11"/>
      <c r="EF968" s="11"/>
      <c r="EG968" s="11"/>
      <c r="EH968" s="11"/>
      <c r="EI968" s="11"/>
    </row>
    <row r="969" spans="1:139" s="52" customFormat="1">
      <c r="A969" s="84"/>
      <c r="B969" s="98"/>
      <c r="C969" s="13"/>
      <c r="D969" s="14"/>
      <c r="E969" s="14"/>
      <c r="K969" s="77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  <c r="BX969" s="11"/>
      <c r="BY969" s="11"/>
      <c r="BZ969" s="11"/>
      <c r="CA969" s="11"/>
      <c r="CB969" s="11"/>
      <c r="CC969" s="11"/>
      <c r="CD969" s="11"/>
      <c r="CE969" s="11"/>
      <c r="CF969" s="11"/>
      <c r="CG969" s="11"/>
      <c r="CH969" s="11"/>
      <c r="CI969" s="11"/>
      <c r="CJ969" s="11"/>
      <c r="CK969" s="11"/>
      <c r="CL969" s="11"/>
      <c r="CM969" s="11"/>
      <c r="CN969" s="11"/>
      <c r="CO969" s="11"/>
      <c r="CP969" s="11"/>
      <c r="CQ969" s="11"/>
      <c r="CR969" s="11"/>
      <c r="CS969" s="11"/>
      <c r="CT969" s="11"/>
      <c r="CU969" s="11"/>
      <c r="CV969" s="11"/>
      <c r="CW969" s="11"/>
      <c r="CX969" s="11"/>
      <c r="CY969" s="11"/>
      <c r="CZ969" s="11"/>
      <c r="DA969" s="11"/>
      <c r="DB969" s="11"/>
      <c r="DC969" s="11"/>
      <c r="DD969" s="11"/>
      <c r="DE969" s="11"/>
      <c r="DF969" s="11"/>
      <c r="DG969" s="11"/>
      <c r="DH969" s="11"/>
      <c r="DI969" s="11"/>
      <c r="DJ969" s="11"/>
      <c r="DK969" s="11"/>
      <c r="DL969" s="11"/>
      <c r="DM969" s="11"/>
      <c r="DN969" s="11"/>
      <c r="DO969" s="11"/>
      <c r="DP969" s="11"/>
      <c r="DQ969" s="11"/>
      <c r="DR969" s="11"/>
      <c r="DS969" s="11"/>
      <c r="DT969" s="11"/>
      <c r="DU969" s="11"/>
      <c r="DV969" s="11"/>
      <c r="DW969" s="11"/>
      <c r="DX969" s="11"/>
      <c r="DY969" s="11"/>
      <c r="DZ969" s="11"/>
      <c r="EA969" s="11"/>
      <c r="EB969" s="11"/>
      <c r="EC969" s="11"/>
      <c r="ED969" s="11"/>
      <c r="EE969" s="11"/>
      <c r="EF969" s="11"/>
      <c r="EG969" s="11"/>
      <c r="EH969" s="11"/>
      <c r="EI969" s="11"/>
    </row>
    <row r="970" spans="1:139" s="52" customFormat="1">
      <c r="A970" s="84"/>
      <c r="B970" s="98"/>
      <c r="C970" s="13"/>
      <c r="D970" s="14"/>
      <c r="E970" s="14"/>
      <c r="K970" s="77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  <c r="BV970" s="11"/>
      <c r="BW970" s="11"/>
      <c r="BX970" s="11"/>
      <c r="BY970" s="11"/>
      <c r="BZ970" s="11"/>
      <c r="CA970" s="11"/>
      <c r="CB970" s="11"/>
      <c r="CC970" s="11"/>
      <c r="CD970" s="11"/>
      <c r="CE970" s="11"/>
      <c r="CF970" s="11"/>
      <c r="CG970" s="11"/>
      <c r="CH970" s="11"/>
      <c r="CI970" s="11"/>
      <c r="CJ970" s="11"/>
      <c r="CK970" s="11"/>
      <c r="CL970" s="11"/>
      <c r="CM970" s="11"/>
      <c r="CN970" s="11"/>
      <c r="CO970" s="11"/>
      <c r="CP970" s="11"/>
      <c r="CQ970" s="11"/>
      <c r="CR970" s="11"/>
      <c r="CS970" s="11"/>
      <c r="CT970" s="11"/>
      <c r="CU970" s="11"/>
      <c r="CV970" s="11"/>
      <c r="CW970" s="11"/>
      <c r="CX970" s="11"/>
      <c r="CY970" s="11"/>
      <c r="CZ970" s="11"/>
      <c r="DA970" s="11"/>
      <c r="DB970" s="11"/>
      <c r="DC970" s="11"/>
      <c r="DD970" s="11"/>
      <c r="DE970" s="11"/>
      <c r="DF970" s="11"/>
      <c r="DG970" s="11"/>
      <c r="DH970" s="11"/>
      <c r="DI970" s="11"/>
      <c r="DJ970" s="11"/>
      <c r="DK970" s="11"/>
      <c r="DL970" s="11"/>
      <c r="DM970" s="11"/>
      <c r="DN970" s="11"/>
      <c r="DO970" s="11"/>
      <c r="DP970" s="11"/>
      <c r="DQ970" s="11"/>
      <c r="DR970" s="11"/>
      <c r="DS970" s="11"/>
      <c r="DT970" s="11"/>
      <c r="DU970" s="11"/>
      <c r="DV970" s="11"/>
      <c r="DW970" s="11"/>
      <c r="DX970" s="11"/>
      <c r="DY970" s="11"/>
      <c r="DZ970" s="11"/>
      <c r="EA970" s="11"/>
      <c r="EB970" s="11"/>
      <c r="EC970" s="11"/>
      <c r="ED970" s="11"/>
      <c r="EE970" s="11"/>
      <c r="EF970" s="11"/>
      <c r="EG970" s="11"/>
      <c r="EH970" s="11"/>
      <c r="EI970" s="11"/>
    </row>
    <row r="971" spans="1:139" s="52" customFormat="1">
      <c r="A971" s="85"/>
      <c r="B971" s="99"/>
      <c r="C971" s="11"/>
      <c r="K971" s="77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11"/>
      <c r="BX971" s="11"/>
      <c r="BY971" s="11"/>
      <c r="BZ971" s="11"/>
      <c r="CA971" s="11"/>
      <c r="CB971" s="11"/>
      <c r="CC971" s="11"/>
      <c r="CD971" s="11"/>
      <c r="CE971" s="11"/>
      <c r="CF971" s="11"/>
      <c r="CG971" s="11"/>
      <c r="CH971" s="11"/>
      <c r="CI971" s="11"/>
      <c r="CJ971" s="11"/>
      <c r="CK971" s="11"/>
      <c r="CL971" s="11"/>
      <c r="CM971" s="11"/>
      <c r="CN971" s="11"/>
      <c r="CO971" s="11"/>
      <c r="CP971" s="11"/>
      <c r="CQ971" s="11"/>
      <c r="CR971" s="11"/>
      <c r="CS971" s="11"/>
      <c r="CT971" s="11"/>
      <c r="CU971" s="11"/>
      <c r="CV971" s="11"/>
      <c r="CW971" s="11"/>
      <c r="CX971" s="11"/>
      <c r="CY971" s="11"/>
      <c r="CZ971" s="11"/>
      <c r="DA971" s="11"/>
      <c r="DB971" s="11"/>
      <c r="DC971" s="11"/>
      <c r="DD971" s="11"/>
      <c r="DE971" s="11"/>
      <c r="DF971" s="11"/>
      <c r="DG971" s="11"/>
      <c r="DH971" s="11"/>
      <c r="DI971" s="11"/>
      <c r="DJ971" s="11"/>
      <c r="DK971" s="11"/>
      <c r="DL971" s="11"/>
      <c r="DM971" s="11"/>
      <c r="DN971" s="11"/>
      <c r="DO971" s="11"/>
      <c r="DP971" s="11"/>
      <c r="DQ971" s="11"/>
      <c r="DR971" s="11"/>
      <c r="DS971" s="11"/>
      <c r="DT971" s="11"/>
      <c r="DU971" s="11"/>
      <c r="DV971" s="11"/>
      <c r="DW971" s="11"/>
      <c r="DX971" s="11"/>
      <c r="DY971" s="11"/>
      <c r="DZ971" s="11"/>
      <c r="EA971" s="11"/>
      <c r="EB971" s="11"/>
      <c r="EC971" s="11"/>
      <c r="ED971" s="11"/>
      <c r="EE971" s="11"/>
      <c r="EF971" s="11"/>
      <c r="EG971" s="11"/>
      <c r="EH971" s="11"/>
      <c r="EI971" s="11"/>
    </row>
    <row r="972" spans="1:139" s="52" customFormat="1">
      <c r="A972" s="85"/>
      <c r="B972" s="99"/>
      <c r="C972" s="11"/>
      <c r="K972" s="77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  <c r="BV972" s="11"/>
      <c r="BW972" s="11"/>
      <c r="BX972" s="11"/>
      <c r="BY972" s="11"/>
      <c r="BZ972" s="11"/>
      <c r="CA972" s="11"/>
      <c r="CB972" s="11"/>
      <c r="CC972" s="11"/>
      <c r="CD972" s="11"/>
      <c r="CE972" s="11"/>
      <c r="CF972" s="11"/>
      <c r="CG972" s="11"/>
      <c r="CH972" s="11"/>
      <c r="CI972" s="11"/>
      <c r="CJ972" s="11"/>
      <c r="CK972" s="11"/>
      <c r="CL972" s="11"/>
      <c r="CM972" s="11"/>
      <c r="CN972" s="11"/>
      <c r="CO972" s="11"/>
      <c r="CP972" s="11"/>
      <c r="CQ972" s="11"/>
      <c r="CR972" s="11"/>
      <c r="CS972" s="11"/>
      <c r="CT972" s="11"/>
      <c r="CU972" s="11"/>
      <c r="CV972" s="11"/>
      <c r="CW972" s="11"/>
      <c r="CX972" s="11"/>
      <c r="CY972" s="11"/>
      <c r="CZ972" s="11"/>
      <c r="DA972" s="11"/>
      <c r="DB972" s="11"/>
      <c r="DC972" s="11"/>
      <c r="DD972" s="11"/>
      <c r="DE972" s="11"/>
      <c r="DF972" s="11"/>
      <c r="DG972" s="11"/>
      <c r="DH972" s="11"/>
      <c r="DI972" s="11"/>
      <c r="DJ972" s="11"/>
      <c r="DK972" s="11"/>
      <c r="DL972" s="11"/>
      <c r="DM972" s="11"/>
      <c r="DN972" s="11"/>
      <c r="DO972" s="11"/>
      <c r="DP972" s="11"/>
      <c r="DQ972" s="11"/>
      <c r="DR972" s="11"/>
      <c r="DS972" s="11"/>
      <c r="DT972" s="11"/>
      <c r="DU972" s="11"/>
      <c r="DV972" s="11"/>
      <c r="DW972" s="11"/>
      <c r="DX972" s="11"/>
      <c r="DY972" s="11"/>
      <c r="DZ972" s="11"/>
      <c r="EA972" s="11"/>
      <c r="EB972" s="11"/>
      <c r="EC972" s="11"/>
      <c r="ED972" s="11"/>
      <c r="EE972" s="11"/>
      <c r="EF972" s="11"/>
      <c r="EG972" s="11"/>
      <c r="EH972" s="11"/>
      <c r="EI972" s="11"/>
    </row>
    <row r="973" spans="1:139" s="52" customFormat="1">
      <c r="A973" s="85"/>
      <c r="B973" s="99"/>
      <c r="C973" s="11"/>
      <c r="K973" s="77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  <c r="BU973" s="11"/>
      <c r="BV973" s="11"/>
      <c r="BW973" s="11"/>
      <c r="BX973" s="11"/>
      <c r="BY973" s="11"/>
      <c r="BZ973" s="11"/>
      <c r="CA973" s="11"/>
      <c r="CB973" s="11"/>
      <c r="CC973" s="11"/>
      <c r="CD973" s="11"/>
      <c r="CE973" s="11"/>
      <c r="CF973" s="11"/>
      <c r="CG973" s="11"/>
      <c r="CH973" s="11"/>
      <c r="CI973" s="11"/>
      <c r="CJ973" s="11"/>
      <c r="CK973" s="11"/>
      <c r="CL973" s="11"/>
      <c r="CM973" s="11"/>
      <c r="CN973" s="11"/>
      <c r="CO973" s="11"/>
      <c r="CP973" s="11"/>
      <c r="CQ973" s="11"/>
      <c r="CR973" s="11"/>
      <c r="CS973" s="11"/>
      <c r="CT973" s="11"/>
      <c r="CU973" s="11"/>
      <c r="CV973" s="11"/>
      <c r="CW973" s="11"/>
      <c r="CX973" s="11"/>
      <c r="CY973" s="11"/>
      <c r="CZ973" s="11"/>
      <c r="DA973" s="11"/>
      <c r="DB973" s="11"/>
      <c r="DC973" s="11"/>
      <c r="DD973" s="11"/>
      <c r="DE973" s="11"/>
      <c r="DF973" s="11"/>
      <c r="DG973" s="11"/>
      <c r="DH973" s="11"/>
      <c r="DI973" s="11"/>
      <c r="DJ973" s="11"/>
      <c r="DK973" s="11"/>
      <c r="DL973" s="11"/>
      <c r="DM973" s="11"/>
      <c r="DN973" s="11"/>
      <c r="DO973" s="11"/>
      <c r="DP973" s="11"/>
      <c r="DQ973" s="11"/>
      <c r="DR973" s="11"/>
      <c r="DS973" s="11"/>
      <c r="DT973" s="11"/>
      <c r="DU973" s="11"/>
      <c r="DV973" s="11"/>
      <c r="DW973" s="11"/>
      <c r="DX973" s="11"/>
      <c r="DY973" s="11"/>
      <c r="DZ973" s="11"/>
      <c r="EA973" s="11"/>
      <c r="EB973" s="11"/>
      <c r="EC973" s="11"/>
      <c r="ED973" s="11"/>
      <c r="EE973" s="11"/>
      <c r="EF973" s="11"/>
      <c r="EG973" s="11"/>
      <c r="EH973" s="11"/>
      <c r="EI973" s="11"/>
    </row>
    <row r="974" spans="1:139" s="52" customFormat="1">
      <c r="A974" s="85"/>
      <c r="B974" s="99"/>
      <c r="C974" s="11"/>
      <c r="K974" s="77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  <c r="BV974" s="11"/>
      <c r="BW974" s="11"/>
      <c r="BX974" s="11"/>
      <c r="BY974" s="11"/>
      <c r="BZ974" s="11"/>
      <c r="CA974" s="11"/>
      <c r="CB974" s="11"/>
      <c r="CC974" s="11"/>
      <c r="CD974" s="11"/>
      <c r="CE974" s="11"/>
      <c r="CF974" s="11"/>
      <c r="CG974" s="11"/>
      <c r="CH974" s="11"/>
      <c r="CI974" s="11"/>
      <c r="CJ974" s="11"/>
      <c r="CK974" s="11"/>
      <c r="CL974" s="11"/>
      <c r="CM974" s="11"/>
      <c r="CN974" s="11"/>
      <c r="CO974" s="11"/>
      <c r="CP974" s="11"/>
      <c r="CQ974" s="11"/>
      <c r="CR974" s="11"/>
      <c r="CS974" s="11"/>
      <c r="CT974" s="11"/>
      <c r="CU974" s="11"/>
      <c r="CV974" s="11"/>
      <c r="CW974" s="11"/>
      <c r="CX974" s="11"/>
      <c r="CY974" s="11"/>
      <c r="CZ974" s="11"/>
      <c r="DA974" s="11"/>
      <c r="DB974" s="11"/>
      <c r="DC974" s="11"/>
      <c r="DD974" s="11"/>
      <c r="DE974" s="11"/>
      <c r="DF974" s="11"/>
      <c r="DG974" s="11"/>
      <c r="DH974" s="11"/>
      <c r="DI974" s="11"/>
      <c r="DJ974" s="11"/>
      <c r="DK974" s="11"/>
      <c r="DL974" s="11"/>
      <c r="DM974" s="11"/>
      <c r="DN974" s="11"/>
      <c r="DO974" s="11"/>
      <c r="DP974" s="11"/>
      <c r="DQ974" s="11"/>
      <c r="DR974" s="11"/>
      <c r="DS974" s="11"/>
      <c r="DT974" s="11"/>
      <c r="DU974" s="11"/>
      <c r="DV974" s="11"/>
      <c r="DW974" s="11"/>
      <c r="DX974" s="11"/>
      <c r="DY974" s="11"/>
      <c r="DZ974" s="11"/>
      <c r="EA974" s="11"/>
      <c r="EB974" s="11"/>
      <c r="EC974" s="11"/>
      <c r="ED974" s="11"/>
      <c r="EE974" s="11"/>
      <c r="EF974" s="11"/>
      <c r="EG974" s="11"/>
      <c r="EH974" s="11"/>
      <c r="EI974" s="11"/>
    </row>
    <row r="975" spans="1:139" s="52" customFormat="1">
      <c r="A975" s="85"/>
      <c r="B975" s="99"/>
      <c r="C975" s="11"/>
      <c r="K975" s="77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</row>
    <row r="976" spans="1:139" s="52" customFormat="1">
      <c r="A976" s="85"/>
      <c r="B976" s="99"/>
      <c r="C976" s="11"/>
      <c r="K976" s="77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  <c r="BV976" s="11"/>
      <c r="BW976" s="11"/>
      <c r="BX976" s="11"/>
      <c r="BY976" s="11"/>
      <c r="BZ976" s="11"/>
      <c r="CA976" s="11"/>
      <c r="CB976" s="11"/>
      <c r="CC976" s="11"/>
      <c r="CD976" s="11"/>
      <c r="CE976" s="11"/>
      <c r="CF976" s="11"/>
      <c r="CG976" s="11"/>
      <c r="CH976" s="11"/>
      <c r="CI976" s="11"/>
      <c r="CJ976" s="11"/>
      <c r="CK976" s="11"/>
      <c r="CL976" s="11"/>
      <c r="CM976" s="11"/>
      <c r="CN976" s="11"/>
      <c r="CO976" s="11"/>
      <c r="CP976" s="11"/>
      <c r="CQ976" s="11"/>
      <c r="CR976" s="11"/>
      <c r="CS976" s="11"/>
      <c r="CT976" s="11"/>
      <c r="CU976" s="11"/>
      <c r="CV976" s="11"/>
      <c r="CW976" s="11"/>
      <c r="CX976" s="11"/>
      <c r="CY976" s="11"/>
      <c r="CZ976" s="11"/>
      <c r="DA976" s="11"/>
      <c r="DB976" s="11"/>
      <c r="DC976" s="11"/>
      <c r="DD976" s="11"/>
      <c r="DE976" s="11"/>
      <c r="DF976" s="11"/>
      <c r="DG976" s="11"/>
      <c r="DH976" s="11"/>
      <c r="DI976" s="11"/>
      <c r="DJ976" s="11"/>
      <c r="DK976" s="11"/>
      <c r="DL976" s="11"/>
      <c r="DM976" s="11"/>
      <c r="DN976" s="11"/>
      <c r="DO976" s="11"/>
      <c r="DP976" s="11"/>
      <c r="DQ976" s="11"/>
      <c r="DR976" s="11"/>
      <c r="DS976" s="11"/>
      <c r="DT976" s="11"/>
      <c r="DU976" s="11"/>
      <c r="DV976" s="11"/>
      <c r="DW976" s="11"/>
      <c r="DX976" s="11"/>
      <c r="DY976" s="11"/>
      <c r="DZ976" s="11"/>
      <c r="EA976" s="11"/>
      <c r="EB976" s="11"/>
      <c r="EC976" s="11"/>
      <c r="ED976" s="11"/>
      <c r="EE976" s="11"/>
      <c r="EF976" s="11"/>
      <c r="EG976" s="11"/>
      <c r="EH976" s="11"/>
      <c r="EI976" s="11"/>
    </row>
    <row r="977" spans="1:139" s="52" customFormat="1">
      <c r="A977" s="85"/>
      <c r="B977" s="99"/>
      <c r="C977" s="11"/>
      <c r="K977" s="77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  <c r="BV977" s="11"/>
      <c r="BW977" s="11"/>
      <c r="BX977" s="11"/>
      <c r="BY977" s="11"/>
      <c r="BZ977" s="11"/>
      <c r="CA977" s="11"/>
      <c r="CB977" s="11"/>
      <c r="CC977" s="11"/>
      <c r="CD977" s="11"/>
      <c r="CE977" s="11"/>
      <c r="CF977" s="11"/>
      <c r="CG977" s="11"/>
      <c r="CH977" s="11"/>
      <c r="CI977" s="11"/>
      <c r="CJ977" s="11"/>
      <c r="CK977" s="11"/>
      <c r="CL977" s="11"/>
      <c r="CM977" s="11"/>
      <c r="CN977" s="11"/>
      <c r="CO977" s="11"/>
      <c r="CP977" s="11"/>
      <c r="CQ977" s="11"/>
      <c r="CR977" s="11"/>
      <c r="CS977" s="11"/>
      <c r="CT977" s="11"/>
      <c r="CU977" s="11"/>
      <c r="CV977" s="11"/>
      <c r="CW977" s="11"/>
      <c r="CX977" s="11"/>
      <c r="CY977" s="11"/>
      <c r="CZ977" s="11"/>
      <c r="DA977" s="11"/>
      <c r="DB977" s="11"/>
      <c r="DC977" s="11"/>
      <c r="DD977" s="11"/>
      <c r="DE977" s="11"/>
      <c r="DF977" s="11"/>
      <c r="DG977" s="11"/>
      <c r="DH977" s="11"/>
      <c r="DI977" s="11"/>
      <c r="DJ977" s="11"/>
      <c r="DK977" s="11"/>
      <c r="DL977" s="11"/>
      <c r="DM977" s="11"/>
      <c r="DN977" s="11"/>
      <c r="DO977" s="11"/>
      <c r="DP977" s="11"/>
      <c r="DQ977" s="11"/>
      <c r="DR977" s="11"/>
      <c r="DS977" s="11"/>
      <c r="DT977" s="11"/>
      <c r="DU977" s="11"/>
      <c r="DV977" s="11"/>
      <c r="DW977" s="11"/>
      <c r="DX977" s="11"/>
      <c r="DY977" s="11"/>
      <c r="DZ977" s="11"/>
      <c r="EA977" s="11"/>
      <c r="EB977" s="11"/>
      <c r="EC977" s="11"/>
      <c r="ED977" s="11"/>
      <c r="EE977" s="11"/>
      <c r="EF977" s="11"/>
      <c r="EG977" s="11"/>
      <c r="EH977" s="11"/>
      <c r="EI977" s="11"/>
    </row>
    <row r="978" spans="1:139" s="52" customFormat="1">
      <c r="A978" s="85"/>
      <c r="B978" s="99"/>
      <c r="C978" s="11"/>
      <c r="K978" s="77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  <c r="BV978" s="11"/>
      <c r="BW978" s="11"/>
      <c r="BX978" s="11"/>
      <c r="BY978" s="11"/>
      <c r="BZ978" s="11"/>
      <c r="CA978" s="11"/>
      <c r="CB978" s="11"/>
      <c r="CC978" s="11"/>
      <c r="CD978" s="11"/>
      <c r="CE978" s="11"/>
      <c r="CF978" s="11"/>
      <c r="CG978" s="11"/>
      <c r="CH978" s="11"/>
      <c r="CI978" s="11"/>
      <c r="CJ978" s="11"/>
      <c r="CK978" s="11"/>
      <c r="CL978" s="11"/>
      <c r="CM978" s="11"/>
      <c r="CN978" s="11"/>
      <c r="CO978" s="11"/>
      <c r="CP978" s="11"/>
      <c r="CQ978" s="11"/>
      <c r="CR978" s="11"/>
      <c r="CS978" s="11"/>
      <c r="CT978" s="11"/>
      <c r="CU978" s="11"/>
      <c r="CV978" s="11"/>
      <c r="CW978" s="11"/>
      <c r="CX978" s="11"/>
      <c r="CY978" s="11"/>
      <c r="CZ978" s="11"/>
      <c r="DA978" s="11"/>
      <c r="DB978" s="11"/>
      <c r="DC978" s="11"/>
      <c r="DD978" s="11"/>
      <c r="DE978" s="11"/>
      <c r="DF978" s="11"/>
      <c r="DG978" s="11"/>
      <c r="DH978" s="11"/>
      <c r="DI978" s="11"/>
      <c r="DJ978" s="11"/>
      <c r="DK978" s="11"/>
      <c r="DL978" s="11"/>
      <c r="DM978" s="11"/>
      <c r="DN978" s="11"/>
      <c r="DO978" s="11"/>
      <c r="DP978" s="11"/>
      <c r="DQ978" s="11"/>
      <c r="DR978" s="11"/>
      <c r="DS978" s="11"/>
      <c r="DT978" s="11"/>
      <c r="DU978" s="11"/>
      <c r="DV978" s="11"/>
      <c r="DW978" s="11"/>
      <c r="DX978" s="11"/>
      <c r="DY978" s="11"/>
      <c r="DZ978" s="11"/>
      <c r="EA978" s="11"/>
      <c r="EB978" s="11"/>
      <c r="EC978" s="11"/>
      <c r="ED978" s="11"/>
      <c r="EE978" s="11"/>
      <c r="EF978" s="11"/>
      <c r="EG978" s="11"/>
      <c r="EH978" s="11"/>
      <c r="EI978" s="11"/>
    </row>
    <row r="979" spans="1:139" s="52" customFormat="1">
      <c r="A979" s="85"/>
      <c r="B979" s="99"/>
      <c r="C979" s="11"/>
      <c r="K979" s="77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  <c r="BV979" s="11"/>
      <c r="BW979" s="11"/>
      <c r="BX979" s="11"/>
      <c r="BY979" s="11"/>
      <c r="BZ979" s="11"/>
      <c r="CA979" s="11"/>
      <c r="CB979" s="11"/>
      <c r="CC979" s="11"/>
      <c r="CD979" s="11"/>
      <c r="CE979" s="11"/>
      <c r="CF979" s="11"/>
      <c r="CG979" s="11"/>
      <c r="CH979" s="11"/>
      <c r="CI979" s="11"/>
      <c r="CJ979" s="11"/>
      <c r="CK979" s="11"/>
      <c r="CL979" s="11"/>
      <c r="CM979" s="11"/>
      <c r="CN979" s="11"/>
      <c r="CO979" s="11"/>
      <c r="CP979" s="11"/>
      <c r="CQ979" s="11"/>
      <c r="CR979" s="11"/>
      <c r="CS979" s="11"/>
      <c r="CT979" s="11"/>
      <c r="CU979" s="11"/>
      <c r="CV979" s="11"/>
      <c r="CW979" s="11"/>
      <c r="CX979" s="11"/>
      <c r="CY979" s="11"/>
      <c r="CZ979" s="11"/>
      <c r="DA979" s="11"/>
      <c r="DB979" s="11"/>
      <c r="DC979" s="11"/>
      <c r="DD979" s="11"/>
      <c r="DE979" s="11"/>
      <c r="DF979" s="11"/>
      <c r="DG979" s="11"/>
      <c r="DH979" s="11"/>
      <c r="DI979" s="11"/>
      <c r="DJ979" s="11"/>
      <c r="DK979" s="11"/>
      <c r="DL979" s="11"/>
      <c r="DM979" s="11"/>
      <c r="DN979" s="11"/>
      <c r="DO979" s="11"/>
      <c r="DP979" s="11"/>
      <c r="DQ979" s="11"/>
      <c r="DR979" s="11"/>
      <c r="DS979" s="11"/>
      <c r="DT979" s="11"/>
      <c r="DU979" s="11"/>
      <c r="DV979" s="11"/>
      <c r="DW979" s="11"/>
      <c r="DX979" s="11"/>
      <c r="DY979" s="11"/>
      <c r="DZ979" s="11"/>
      <c r="EA979" s="11"/>
      <c r="EB979" s="11"/>
      <c r="EC979" s="11"/>
      <c r="ED979" s="11"/>
      <c r="EE979" s="11"/>
      <c r="EF979" s="11"/>
      <c r="EG979" s="11"/>
      <c r="EH979" s="11"/>
      <c r="EI979" s="11"/>
    </row>
    <row r="980" spans="1:139" s="52" customFormat="1">
      <c r="A980" s="85"/>
      <c r="B980" s="99"/>
      <c r="C980" s="11"/>
      <c r="K980" s="77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  <c r="BV980" s="11"/>
      <c r="BW980" s="11"/>
      <c r="BX980" s="11"/>
      <c r="BY980" s="11"/>
      <c r="BZ980" s="11"/>
      <c r="CA980" s="11"/>
      <c r="CB980" s="11"/>
      <c r="CC980" s="11"/>
      <c r="CD980" s="11"/>
      <c r="CE980" s="11"/>
      <c r="CF980" s="11"/>
      <c r="CG980" s="11"/>
      <c r="CH980" s="11"/>
      <c r="CI980" s="11"/>
      <c r="CJ980" s="11"/>
      <c r="CK980" s="11"/>
      <c r="CL980" s="11"/>
      <c r="CM980" s="11"/>
      <c r="CN980" s="11"/>
      <c r="CO980" s="11"/>
      <c r="CP980" s="11"/>
      <c r="CQ980" s="11"/>
      <c r="CR980" s="11"/>
      <c r="CS980" s="11"/>
      <c r="CT980" s="11"/>
      <c r="CU980" s="11"/>
      <c r="CV980" s="11"/>
      <c r="CW980" s="11"/>
      <c r="CX980" s="11"/>
      <c r="CY980" s="11"/>
      <c r="CZ980" s="11"/>
      <c r="DA980" s="11"/>
      <c r="DB980" s="11"/>
      <c r="DC980" s="11"/>
      <c r="DD980" s="11"/>
      <c r="DE980" s="11"/>
      <c r="DF980" s="11"/>
      <c r="DG980" s="11"/>
      <c r="DH980" s="11"/>
      <c r="DI980" s="11"/>
      <c r="DJ980" s="11"/>
      <c r="DK980" s="11"/>
      <c r="DL980" s="11"/>
      <c r="DM980" s="11"/>
      <c r="DN980" s="11"/>
      <c r="DO980" s="11"/>
      <c r="DP980" s="11"/>
      <c r="DQ980" s="11"/>
      <c r="DR980" s="11"/>
      <c r="DS980" s="11"/>
      <c r="DT980" s="11"/>
      <c r="DU980" s="11"/>
      <c r="DV980" s="11"/>
      <c r="DW980" s="11"/>
      <c r="DX980" s="11"/>
      <c r="DY980" s="11"/>
      <c r="DZ980" s="11"/>
      <c r="EA980" s="11"/>
      <c r="EB980" s="11"/>
      <c r="EC980" s="11"/>
      <c r="ED980" s="11"/>
      <c r="EE980" s="11"/>
      <c r="EF980" s="11"/>
      <c r="EG980" s="11"/>
      <c r="EH980" s="11"/>
      <c r="EI980" s="11"/>
    </row>
    <row r="981" spans="1:139" s="52" customFormat="1">
      <c r="A981" s="85"/>
      <c r="B981" s="99"/>
      <c r="C981" s="11"/>
      <c r="K981" s="77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  <c r="BV981" s="11"/>
      <c r="BW981" s="11"/>
      <c r="BX981" s="11"/>
      <c r="BY981" s="11"/>
      <c r="BZ981" s="11"/>
      <c r="CA981" s="11"/>
      <c r="CB981" s="11"/>
      <c r="CC981" s="11"/>
      <c r="CD981" s="11"/>
      <c r="CE981" s="11"/>
      <c r="CF981" s="11"/>
      <c r="CG981" s="11"/>
      <c r="CH981" s="11"/>
      <c r="CI981" s="11"/>
      <c r="CJ981" s="11"/>
      <c r="CK981" s="11"/>
      <c r="CL981" s="11"/>
      <c r="CM981" s="11"/>
      <c r="CN981" s="11"/>
      <c r="CO981" s="11"/>
      <c r="CP981" s="11"/>
      <c r="CQ981" s="11"/>
      <c r="CR981" s="11"/>
      <c r="CS981" s="11"/>
      <c r="CT981" s="11"/>
      <c r="CU981" s="11"/>
      <c r="CV981" s="11"/>
      <c r="CW981" s="11"/>
      <c r="CX981" s="11"/>
      <c r="CY981" s="11"/>
      <c r="CZ981" s="11"/>
      <c r="DA981" s="11"/>
      <c r="DB981" s="11"/>
      <c r="DC981" s="11"/>
      <c r="DD981" s="11"/>
      <c r="DE981" s="11"/>
      <c r="DF981" s="11"/>
      <c r="DG981" s="11"/>
      <c r="DH981" s="11"/>
      <c r="DI981" s="11"/>
      <c r="DJ981" s="11"/>
      <c r="DK981" s="11"/>
      <c r="DL981" s="11"/>
      <c r="DM981" s="11"/>
      <c r="DN981" s="11"/>
      <c r="DO981" s="11"/>
      <c r="DP981" s="11"/>
      <c r="DQ981" s="11"/>
      <c r="DR981" s="11"/>
      <c r="DS981" s="11"/>
      <c r="DT981" s="11"/>
      <c r="DU981" s="11"/>
      <c r="DV981" s="11"/>
      <c r="DW981" s="11"/>
      <c r="DX981" s="11"/>
      <c r="DY981" s="11"/>
      <c r="DZ981" s="11"/>
      <c r="EA981" s="11"/>
      <c r="EB981" s="11"/>
      <c r="EC981" s="11"/>
      <c r="ED981" s="11"/>
      <c r="EE981" s="11"/>
      <c r="EF981" s="11"/>
      <c r="EG981" s="11"/>
      <c r="EH981" s="11"/>
      <c r="EI981" s="11"/>
    </row>
    <row r="982" spans="1:139" s="52" customFormat="1">
      <c r="A982" s="85"/>
      <c r="B982" s="99"/>
      <c r="C982" s="11"/>
      <c r="K982" s="77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  <c r="BX982" s="11"/>
      <c r="BY982" s="11"/>
      <c r="BZ982" s="11"/>
      <c r="CA982" s="11"/>
      <c r="CB982" s="11"/>
      <c r="CC982" s="11"/>
      <c r="CD982" s="11"/>
      <c r="CE982" s="11"/>
      <c r="CF982" s="11"/>
      <c r="CG982" s="11"/>
      <c r="CH982" s="11"/>
      <c r="CI982" s="11"/>
      <c r="CJ982" s="11"/>
      <c r="CK982" s="11"/>
      <c r="CL982" s="11"/>
      <c r="CM982" s="11"/>
      <c r="CN982" s="11"/>
      <c r="CO982" s="11"/>
      <c r="CP982" s="11"/>
      <c r="CQ982" s="11"/>
      <c r="CR982" s="11"/>
      <c r="CS982" s="11"/>
      <c r="CT982" s="11"/>
      <c r="CU982" s="11"/>
      <c r="CV982" s="11"/>
      <c r="CW982" s="11"/>
      <c r="CX982" s="11"/>
      <c r="CY982" s="11"/>
      <c r="CZ982" s="11"/>
      <c r="DA982" s="11"/>
      <c r="DB982" s="11"/>
      <c r="DC982" s="11"/>
      <c r="DD982" s="11"/>
      <c r="DE982" s="11"/>
      <c r="DF982" s="11"/>
      <c r="DG982" s="11"/>
      <c r="DH982" s="11"/>
      <c r="DI982" s="11"/>
      <c r="DJ982" s="11"/>
      <c r="DK982" s="11"/>
      <c r="DL982" s="11"/>
      <c r="DM982" s="11"/>
      <c r="DN982" s="11"/>
      <c r="DO982" s="11"/>
      <c r="DP982" s="11"/>
      <c r="DQ982" s="11"/>
      <c r="DR982" s="11"/>
      <c r="DS982" s="11"/>
      <c r="DT982" s="11"/>
      <c r="DU982" s="11"/>
      <c r="DV982" s="11"/>
      <c r="DW982" s="11"/>
      <c r="DX982" s="11"/>
      <c r="DY982" s="11"/>
      <c r="DZ982" s="11"/>
      <c r="EA982" s="11"/>
      <c r="EB982" s="11"/>
      <c r="EC982" s="11"/>
      <c r="ED982" s="11"/>
      <c r="EE982" s="11"/>
      <c r="EF982" s="11"/>
      <c r="EG982" s="11"/>
      <c r="EH982" s="11"/>
      <c r="EI982" s="11"/>
    </row>
    <row r="983" spans="1:139" s="52" customFormat="1">
      <c r="A983" s="85"/>
      <c r="B983" s="99"/>
      <c r="C983" s="11"/>
      <c r="K983" s="77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  <c r="BV983" s="11"/>
      <c r="BW983" s="11"/>
      <c r="BX983" s="11"/>
      <c r="BY983" s="11"/>
      <c r="BZ983" s="11"/>
      <c r="CA983" s="11"/>
      <c r="CB983" s="11"/>
      <c r="CC983" s="11"/>
      <c r="CD983" s="11"/>
      <c r="CE983" s="11"/>
      <c r="CF983" s="11"/>
      <c r="CG983" s="11"/>
      <c r="CH983" s="11"/>
      <c r="CI983" s="11"/>
      <c r="CJ983" s="11"/>
      <c r="CK983" s="11"/>
      <c r="CL983" s="11"/>
      <c r="CM983" s="11"/>
      <c r="CN983" s="11"/>
      <c r="CO983" s="11"/>
      <c r="CP983" s="11"/>
      <c r="CQ983" s="11"/>
      <c r="CR983" s="11"/>
      <c r="CS983" s="11"/>
      <c r="CT983" s="11"/>
      <c r="CU983" s="11"/>
      <c r="CV983" s="11"/>
      <c r="CW983" s="11"/>
      <c r="CX983" s="11"/>
      <c r="CY983" s="11"/>
      <c r="CZ983" s="11"/>
      <c r="DA983" s="11"/>
      <c r="DB983" s="11"/>
      <c r="DC983" s="11"/>
      <c r="DD983" s="11"/>
      <c r="DE983" s="11"/>
      <c r="DF983" s="11"/>
      <c r="DG983" s="11"/>
      <c r="DH983" s="11"/>
      <c r="DI983" s="11"/>
      <c r="DJ983" s="11"/>
      <c r="DK983" s="11"/>
      <c r="DL983" s="11"/>
      <c r="DM983" s="11"/>
      <c r="DN983" s="11"/>
      <c r="DO983" s="11"/>
      <c r="DP983" s="11"/>
      <c r="DQ983" s="11"/>
      <c r="DR983" s="11"/>
      <c r="DS983" s="11"/>
      <c r="DT983" s="11"/>
      <c r="DU983" s="11"/>
      <c r="DV983" s="11"/>
      <c r="DW983" s="11"/>
      <c r="DX983" s="11"/>
      <c r="DY983" s="11"/>
      <c r="DZ983" s="11"/>
      <c r="EA983" s="11"/>
      <c r="EB983" s="11"/>
      <c r="EC983" s="11"/>
      <c r="ED983" s="11"/>
      <c r="EE983" s="11"/>
      <c r="EF983" s="11"/>
      <c r="EG983" s="11"/>
      <c r="EH983" s="11"/>
      <c r="EI983" s="11"/>
    </row>
    <row r="984" spans="1:139" s="52" customFormat="1">
      <c r="A984" s="85"/>
      <c r="B984" s="99"/>
      <c r="C984" s="11"/>
      <c r="K984" s="77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  <c r="BX984" s="11"/>
      <c r="BY984" s="11"/>
      <c r="BZ984" s="11"/>
      <c r="CA984" s="11"/>
      <c r="CB984" s="11"/>
      <c r="CC984" s="11"/>
      <c r="CD984" s="11"/>
      <c r="CE984" s="11"/>
      <c r="CF984" s="11"/>
      <c r="CG984" s="11"/>
      <c r="CH984" s="11"/>
      <c r="CI984" s="11"/>
      <c r="CJ984" s="11"/>
      <c r="CK984" s="11"/>
      <c r="CL984" s="11"/>
      <c r="CM984" s="11"/>
      <c r="CN984" s="11"/>
      <c r="CO984" s="11"/>
      <c r="CP984" s="11"/>
      <c r="CQ984" s="11"/>
      <c r="CR984" s="11"/>
      <c r="CS984" s="11"/>
      <c r="CT984" s="11"/>
      <c r="CU984" s="11"/>
      <c r="CV984" s="11"/>
      <c r="CW984" s="11"/>
      <c r="CX984" s="11"/>
      <c r="CY984" s="11"/>
      <c r="CZ984" s="11"/>
      <c r="DA984" s="11"/>
      <c r="DB984" s="11"/>
      <c r="DC984" s="11"/>
      <c r="DD984" s="11"/>
      <c r="DE984" s="11"/>
      <c r="DF984" s="11"/>
      <c r="DG984" s="11"/>
      <c r="DH984" s="11"/>
      <c r="DI984" s="11"/>
      <c r="DJ984" s="11"/>
      <c r="DK984" s="11"/>
      <c r="DL984" s="11"/>
      <c r="DM984" s="11"/>
      <c r="DN984" s="11"/>
      <c r="DO984" s="11"/>
      <c r="DP984" s="11"/>
      <c r="DQ984" s="11"/>
      <c r="DR984" s="11"/>
      <c r="DS984" s="11"/>
      <c r="DT984" s="11"/>
      <c r="DU984" s="11"/>
      <c r="DV984" s="11"/>
      <c r="DW984" s="11"/>
      <c r="DX984" s="11"/>
      <c r="DY984" s="11"/>
      <c r="DZ984" s="11"/>
      <c r="EA984" s="11"/>
      <c r="EB984" s="11"/>
      <c r="EC984" s="11"/>
      <c r="ED984" s="11"/>
      <c r="EE984" s="11"/>
      <c r="EF984" s="11"/>
      <c r="EG984" s="11"/>
      <c r="EH984" s="11"/>
      <c r="EI984" s="11"/>
    </row>
    <row r="985" spans="1:139" s="52" customFormat="1">
      <c r="A985" s="85"/>
      <c r="B985" s="99"/>
      <c r="C985" s="11"/>
      <c r="K985" s="77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  <c r="BX985" s="11"/>
      <c r="BY985" s="11"/>
      <c r="BZ985" s="11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</row>
    <row r="986" spans="1:139" s="52" customFormat="1">
      <c r="A986" s="85"/>
      <c r="B986" s="99"/>
      <c r="C986" s="11"/>
      <c r="K986" s="77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  <c r="BX986" s="11"/>
      <c r="BY986" s="11"/>
      <c r="BZ986" s="11"/>
      <c r="CA986" s="11"/>
      <c r="CB986" s="11"/>
      <c r="CC986" s="11"/>
      <c r="CD986" s="11"/>
      <c r="CE986" s="11"/>
      <c r="CF986" s="11"/>
      <c r="CG986" s="11"/>
      <c r="CH986" s="11"/>
      <c r="CI986" s="11"/>
      <c r="CJ986" s="11"/>
      <c r="CK986" s="11"/>
      <c r="CL986" s="11"/>
      <c r="CM986" s="11"/>
      <c r="CN986" s="11"/>
      <c r="CO986" s="11"/>
      <c r="CP986" s="11"/>
      <c r="CQ986" s="11"/>
      <c r="CR986" s="11"/>
      <c r="CS986" s="11"/>
      <c r="CT986" s="11"/>
      <c r="CU986" s="11"/>
      <c r="CV986" s="11"/>
      <c r="CW986" s="11"/>
      <c r="CX986" s="11"/>
      <c r="CY986" s="11"/>
      <c r="CZ986" s="11"/>
      <c r="DA986" s="11"/>
      <c r="DB986" s="11"/>
      <c r="DC986" s="11"/>
      <c r="DD986" s="11"/>
      <c r="DE986" s="11"/>
      <c r="DF986" s="11"/>
      <c r="DG986" s="11"/>
      <c r="DH986" s="11"/>
      <c r="DI986" s="11"/>
      <c r="DJ986" s="11"/>
      <c r="DK986" s="11"/>
      <c r="DL986" s="11"/>
      <c r="DM986" s="11"/>
      <c r="DN986" s="11"/>
      <c r="DO986" s="11"/>
      <c r="DP986" s="11"/>
      <c r="DQ986" s="11"/>
      <c r="DR986" s="11"/>
      <c r="DS986" s="11"/>
      <c r="DT986" s="11"/>
      <c r="DU986" s="11"/>
      <c r="DV986" s="11"/>
      <c r="DW986" s="11"/>
      <c r="DX986" s="11"/>
      <c r="DY986" s="11"/>
      <c r="DZ986" s="11"/>
      <c r="EA986" s="11"/>
      <c r="EB986" s="11"/>
      <c r="EC986" s="11"/>
      <c r="ED986" s="11"/>
      <c r="EE986" s="11"/>
      <c r="EF986" s="11"/>
      <c r="EG986" s="11"/>
      <c r="EH986" s="11"/>
      <c r="EI986" s="11"/>
    </row>
    <row r="987" spans="1:139" s="52" customFormat="1">
      <c r="A987" s="85"/>
      <c r="B987" s="99"/>
      <c r="C987" s="11"/>
      <c r="K987" s="77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  <c r="BV987" s="11"/>
      <c r="BW987" s="11"/>
      <c r="BX987" s="11"/>
      <c r="BY987" s="11"/>
      <c r="BZ987" s="11"/>
      <c r="CA987" s="11"/>
      <c r="CB987" s="11"/>
      <c r="CC987" s="11"/>
      <c r="CD987" s="11"/>
      <c r="CE987" s="11"/>
      <c r="CF987" s="11"/>
      <c r="CG987" s="11"/>
      <c r="CH987" s="11"/>
      <c r="CI987" s="11"/>
      <c r="CJ987" s="11"/>
      <c r="CK987" s="11"/>
      <c r="CL987" s="11"/>
      <c r="CM987" s="11"/>
      <c r="CN987" s="11"/>
      <c r="CO987" s="11"/>
      <c r="CP987" s="11"/>
      <c r="CQ987" s="11"/>
      <c r="CR987" s="11"/>
      <c r="CS987" s="11"/>
      <c r="CT987" s="11"/>
      <c r="CU987" s="11"/>
      <c r="CV987" s="11"/>
      <c r="CW987" s="11"/>
      <c r="CX987" s="11"/>
      <c r="CY987" s="11"/>
      <c r="CZ987" s="11"/>
      <c r="DA987" s="11"/>
      <c r="DB987" s="11"/>
      <c r="DC987" s="11"/>
      <c r="DD987" s="11"/>
      <c r="DE987" s="11"/>
      <c r="DF987" s="11"/>
      <c r="DG987" s="11"/>
      <c r="DH987" s="11"/>
      <c r="DI987" s="11"/>
      <c r="DJ987" s="11"/>
      <c r="DK987" s="11"/>
      <c r="DL987" s="11"/>
      <c r="DM987" s="11"/>
      <c r="DN987" s="11"/>
      <c r="DO987" s="11"/>
      <c r="DP987" s="11"/>
      <c r="DQ987" s="11"/>
      <c r="DR987" s="11"/>
      <c r="DS987" s="11"/>
      <c r="DT987" s="11"/>
      <c r="DU987" s="11"/>
      <c r="DV987" s="11"/>
      <c r="DW987" s="11"/>
      <c r="DX987" s="11"/>
      <c r="DY987" s="11"/>
      <c r="DZ987" s="11"/>
      <c r="EA987" s="11"/>
      <c r="EB987" s="11"/>
      <c r="EC987" s="11"/>
      <c r="ED987" s="11"/>
      <c r="EE987" s="11"/>
      <c r="EF987" s="11"/>
      <c r="EG987" s="11"/>
      <c r="EH987" s="11"/>
      <c r="EI987" s="11"/>
    </row>
    <row r="988" spans="1:139" s="52" customFormat="1">
      <c r="A988" s="85"/>
      <c r="B988" s="99"/>
      <c r="C988" s="11"/>
      <c r="K988" s="77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  <c r="BX988" s="11"/>
      <c r="BY988" s="11"/>
      <c r="BZ988" s="11"/>
      <c r="CA988" s="11"/>
      <c r="CB988" s="11"/>
      <c r="CC988" s="11"/>
      <c r="CD988" s="11"/>
      <c r="CE988" s="11"/>
      <c r="CF988" s="11"/>
      <c r="CG988" s="11"/>
      <c r="CH988" s="11"/>
      <c r="CI988" s="11"/>
      <c r="CJ988" s="11"/>
      <c r="CK988" s="11"/>
      <c r="CL988" s="11"/>
      <c r="CM988" s="11"/>
      <c r="CN988" s="11"/>
      <c r="CO988" s="11"/>
      <c r="CP988" s="11"/>
      <c r="CQ988" s="11"/>
      <c r="CR988" s="11"/>
      <c r="CS988" s="11"/>
      <c r="CT988" s="11"/>
      <c r="CU988" s="11"/>
      <c r="CV988" s="11"/>
      <c r="CW988" s="11"/>
      <c r="CX988" s="11"/>
      <c r="CY988" s="11"/>
      <c r="CZ988" s="11"/>
      <c r="DA988" s="11"/>
      <c r="DB988" s="11"/>
      <c r="DC988" s="11"/>
      <c r="DD988" s="11"/>
      <c r="DE988" s="11"/>
      <c r="DF988" s="11"/>
      <c r="DG988" s="11"/>
      <c r="DH988" s="11"/>
      <c r="DI988" s="11"/>
      <c r="DJ988" s="11"/>
      <c r="DK988" s="11"/>
      <c r="DL988" s="11"/>
      <c r="DM988" s="11"/>
      <c r="DN988" s="11"/>
      <c r="DO988" s="11"/>
      <c r="DP988" s="11"/>
      <c r="DQ988" s="11"/>
      <c r="DR988" s="11"/>
      <c r="DS988" s="11"/>
      <c r="DT988" s="11"/>
      <c r="DU988" s="11"/>
      <c r="DV988" s="11"/>
      <c r="DW988" s="11"/>
      <c r="DX988" s="11"/>
      <c r="DY988" s="11"/>
      <c r="DZ988" s="11"/>
      <c r="EA988" s="11"/>
      <c r="EB988" s="11"/>
      <c r="EC988" s="11"/>
      <c r="ED988" s="11"/>
      <c r="EE988" s="11"/>
      <c r="EF988" s="11"/>
      <c r="EG988" s="11"/>
      <c r="EH988" s="11"/>
      <c r="EI988" s="11"/>
    </row>
    <row r="989" spans="1:139" s="52" customFormat="1">
      <c r="A989" s="85"/>
      <c r="B989" s="99"/>
      <c r="C989" s="11"/>
      <c r="K989" s="77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  <c r="BV989" s="11"/>
      <c r="BW989" s="11"/>
      <c r="BX989" s="11"/>
      <c r="BY989" s="11"/>
      <c r="BZ989" s="11"/>
      <c r="CA989" s="11"/>
      <c r="CB989" s="11"/>
      <c r="CC989" s="11"/>
      <c r="CD989" s="11"/>
      <c r="CE989" s="11"/>
      <c r="CF989" s="11"/>
      <c r="CG989" s="11"/>
      <c r="CH989" s="11"/>
      <c r="CI989" s="11"/>
      <c r="CJ989" s="11"/>
      <c r="CK989" s="11"/>
      <c r="CL989" s="11"/>
      <c r="CM989" s="11"/>
      <c r="CN989" s="11"/>
      <c r="CO989" s="11"/>
      <c r="CP989" s="11"/>
      <c r="CQ989" s="11"/>
      <c r="CR989" s="11"/>
      <c r="CS989" s="11"/>
      <c r="CT989" s="11"/>
      <c r="CU989" s="11"/>
      <c r="CV989" s="11"/>
      <c r="CW989" s="11"/>
      <c r="CX989" s="11"/>
      <c r="CY989" s="11"/>
      <c r="CZ989" s="11"/>
      <c r="DA989" s="11"/>
      <c r="DB989" s="11"/>
      <c r="DC989" s="11"/>
      <c r="DD989" s="11"/>
      <c r="DE989" s="11"/>
      <c r="DF989" s="11"/>
      <c r="DG989" s="11"/>
      <c r="DH989" s="11"/>
      <c r="DI989" s="11"/>
      <c r="DJ989" s="11"/>
      <c r="DK989" s="11"/>
      <c r="DL989" s="11"/>
      <c r="DM989" s="11"/>
      <c r="DN989" s="11"/>
      <c r="DO989" s="11"/>
      <c r="DP989" s="11"/>
      <c r="DQ989" s="11"/>
      <c r="DR989" s="11"/>
      <c r="DS989" s="11"/>
      <c r="DT989" s="11"/>
      <c r="DU989" s="11"/>
      <c r="DV989" s="11"/>
      <c r="DW989" s="11"/>
      <c r="DX989" s="11"/>
      <c r="DY989" s="11"/>
      <c r="DZ989" s="11"/>
      <c r="EA989" s="11"/>
      <c r="EB989" s="11"/>
      <c r="EC989" s="11"/>
      <c r="ED989" s="11"/>
      <c r="EE989" s="11"/>
      <c r="EF989" s="11"/>
      <c r="EG989" s="11"/>
      <c r="EH989" s="11"/>
      <c r="EI989" s="11"/>
    </row>
    <row r="990" spans="1:139" s="52" customFormat="1">
      <c r="A990" s="85"/>
      <c r="B990" s="99"/>
      <c r="C990" s="11"/>
      <c r="K990" s="77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  <c r="BV990" s="11"/>
      <c r="BW990" s="11"/>
      <c r="BX990" s="11"/>
      <c r="BY990" s="11"/>
      <c r="BZ990" s="11"/>
      <c r="CA990" s="11"/>
      <c r="CB990" s="11"/>
      <c r="CC990" s="11"/>
      <c r="CD990" s="11"/>
      <c r="CE990" s="11"/>
      <c r="CF990" s="11"/>
      <c r="CG990" s="11"/>
      <c r="CH990" s="11"/>
      <c r="CI990" s="11"/>
      <c r="CJ990" s="11"/>
      <c r="CK990" s="11"/>
      <c r="CL990" s="11"/>
      <c r="CM990" s="11"/>
      <c r="CN990" s="11"/>
      <c r="CO990" s="11"/>
      <c r="CP990" s="11"/>
      <c r="CQ990" s="11"/>
      <c r="CR990" s="11"/>
      <c r="CS990" s="11"/>
      <c r="CT990" s="11"/>
      <c r="CU990" s="11"/>
      <c r="CV990" s="11"/>
      <c r="CW990" s="11"/>
      <c r="CX990" s="11"/>
      <c r="CY990" s="11"/>
      <c r="CZ990" s="11"/>
      <c r="DA990" s="11"/>
      <c r="DB990" s="11"/>
      <c r="DC990" s="11"/>
      <c r="DD990" s="11"/>
      <c r="DE990" s="11"/>
      <c r="DF990" s="11"/>
      <c r="DG990" s="11"/>
      <c r="DH990" s="11"/>
      <c r="DI990" s="11"/>
      <c r="DJ990" s="11"/>
      <c r="DK990" s="11"/>
      <c r="DL990" s="11"/>
      <c r="DM990" s="11"/>
      <c r="DN990" s="11"/>
      <c r="DO990" s="11"/>
      <c r="DP990" s="11"/>
      <c r="DQ990" s="11"/>
      <c r="DR990" s="11"/>
      <c r="DS990" s="11"/>
      <c r="DT990" s="11"/>
      <c r="DU990" s="11"/>
      <c r="DV990" s="11"/>
      <c r="DW990" s="11"/>
      <c r="DX990" s="11"/>
      <c r="DY990" s="11"/>
      <c r="DZ990" s="11"/>
      <c r="EA990" s="11"/>
      <c r="EB990" s="11"/>
      <c r="EC990" s="11"/>
      <c r="ED990" s="11"/>
      <c r="EE990" s="11"/>
      <c r="EF990" s="11"/>
      <c r="EG990" s="11"/>
      <c r="EH990" s="11"/>
      <c r="EI990" s="11"/>
    </row>
    <row r="991" spans="1:139" s="52" customFormat="1">
      <c r="A991" s="85"/>
      <c r="B991" s="99"/>
      <c r="C991" s="11"/>
      <c r="K991" s="77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  <c r="BV991" s="11"/>
      <c r="BW991" s="11"/>
      <c r="BX991" s="11"/>
      <c r="BY991" s="11"/>
      <c r="BZ991" s="11"/>
      <c r="CA991" s="11"/>
      <c r="CB991" s="11"/>
      <c r="CC991" s="11"/>
      <c r="CD991" s="11"/>
      <c r="CE991" s="11"/>
      <c r="CF991" s="11"/>
      <c r="CG991" s="11"/>
      <c r="CH991" s="11"/>
      <c r="CI991" s="11"/>
      <c r="CJ991" s="11"/>
      <c r="CK991" s="11"/>
      <c r="CL991" s="11"/>
      <c r="CM991" s="11"/>
      <c r="CN991" s="11"/>
      <c r="CO991" s="11"/>
      <c r="CP991" s="11"/>
      <c r="CQ991" s="11"/>
      <c r="CR991" s="11"/>
      <c r="CS991" s="11"/>
      <c r="CT991" s="11"/>
      <c r="CU991" s="11"/>
      <c r="CV991" s="11"/>
      <c r="CW991" s="11"/>
      <c r="CX991" s="11"/>
      <c r="CY991" s="11"/>
      <c r="CZ991" s="11"/>
      <c r="DA991" s="11"/>
      <c r="DB991" s="11"/>
      <c r="DC991" s="11"/>
      <c r="DD991" s="11"/>
      <c r="DE991" s="11"/>
      <c r="DF991" s="11"/>
      <c r="DG991" s="11"/>
      <c r="DH991" s="11"/>
      <c r="DI991" s="11"/>
      <c r="DJ991" s="11"/>
      <c r="DK991" s="11"/>
      <c r="DL991" s="11"/>
      <c r="DM991" s="11"/>
      <c r="DN991" s="11"/>
      <c r="DO991" s="11"/>
      <c r="DP991" s="11"/>
      <c r="DQ991" s="11"/>
      <c r="DR991" s="11"/>
      <c r="DS991" s="11"/>
      <c r="DT991" s="11"/>
      <c r="DU991" s="11"/>
      <c r="DV991" s="11"/>
      <c r="DW991" s="11"/>
      <c r="DX991" s="11"/>
      <c r="DY991" s="11"/>
      <c r="DZ991" s="11"/>
      <c r="EA991" s="11"/>
      <c r="EB991" s="11"/>
      <c r="EC991" s="11"/>
      <c r="ED991" s="11"/>
      <c r="EE991" s="11"/>
      <c r="EF991" s="11"/>
      <c r="EG991" s="11"/>
      <c r="EH991" s="11"/>
      <c r="EI991" s="11"/>
    </row>
    <row r="992" spans="1:139" s="52" customFormat="1">
      <c r="A992" s="85"/>
      <c r="B992" s="99"/>
      <c r="C992" s="11"/>
      <c r="K992" s="77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  <c r="BV992" s="11"/>
      <c r="BW992" s="11"/>
      <c r="BX992" s="11"/>
      <c r="BY992" s="11"/>
      <c r="BZ992" s="11"/>
      <c r="CA992" s="11"/>
      <c r="CB992" s="11"/>
      <c r="CC992" s="11"/>
      <c r="CD992" s="11"/>
      <c r="CE992" s="11"/>
      <c r="CF992" s="11"/>
      <c r="CG992" s="11"/>
      <c r="CH992" s="11"/>
      <c r="CI992" s="11"/>
      <c r="CJ992" s="11"/>
      <c r="CK992" s="11"/>
      <c r="CL992" s="11"/>
      <c r="CM992" s="11"/>
      <c r="CN992" s="11"/>
      <c r="CO992" s="11"/>
      <c r="CP992" s="11"/>
      <c r="CQ992" s="11"/>
      <c r="CR992" s="11"/>
      <c r="CS992" s="11"/>
      <c r="CT992" s="11"/>
      <c r="CU992" s="11"/>
      <c r="CV992" s="11"/>
      <c r="CW992" s="11"/>
      <c r="CX992" s="11"/>
      <c r="CY992" s="11"/>
      <c r="CZ992" s="11"/>
      <c r="DA992" s="11"/>
      <c r="DB992" s="11"/>
      <c r="DC992" s="11"/>
      <c r="DD992" s="11"/>
      <c r="DE992" s="11"/>
      <c r="DF992" s="11"/>
      <c r="DG992" s="11"/>
      <c r="DH992" s="11"/>
      <c r="DI992" s="11"/>
      <c r="DJ992" s="11"/>
      <c r="DK992" s="11"/>
      <c r="DL992" s="11"/>
      <c r="DM992" s="11"/>
      <c r="DN992" s="11"/>
      <c r="DO992" s="11"/>
      <c r="DP992" s="11"/>
      <c r="DQ992" s="11"/>
      <c r="DR992" s="11"/>
      <c r="DS992" s="11"/>
      <c r="DT992" s="11"/>
      <c r="DU992" s="11"/>
      <c r="DV992" s="11"/>
      <c r="DW992" s="11"/>
      <c r="DX992" s="11"/>
      <c r="DY992" s="11"/>
      <c r="DZ992" s="11"/>
      <c r="EA992" s="11"/>
      <c r="EB992" s="11"/>
      <c r="EC992" s="11"/>
      <c r="ED992" s="11"/>
      <c r="EE992" s="11"/>
      <c r="EF992" s="11"/>
      <c r="EG992" s="11"/>
      <c r="EH992" s="11"/>
      <c r="EI992" s="11"/>
    </row>
    <row r="993" spans="1:139" s="52" customFormat="1">
      <c r="A993" s="85"/>
      <c r="B993" s="99"/>
      <c r="C993" s="11"/>
      <c r="K993" s="77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  <c r="BV993" s="11"/>
      <c r="BW993" s="11"/>
      <c r="BX993" s="11"/>
      <c r="BY993" s="11"/>
      <c r="BZ993" s="11"/>
      <c r="CA993" s="11"/>
      <c r="CB993" s="11"/>
      <c r="CC993" s="11"/>
      <c r="CD993" s="11"/>
      <c r="CE993" s="11"/>
      <c r="CF993" s="11"/>
      <c r="CG993" s="11"/>
      <c r="CH993" s="11"/>
      <c r="CI993" s="11"/>
      <c r="CJ993" s="11"/>
      <c r="CK993" s="11"/>
      <c r="CL993" s="11"/>
      <c r="CM993" s="11"/>
      <c r="CN993" s="11"/>
      <c r="CO993" s="11"/>
      <c r="CP993" s="11"/>
      <c r="CQ993" s="11"/>
      <c r="CR993" s="11"/>
      <c r="CS993" s="11"/>
      <c r="CT993" s="11"/>
      <c r="CU993" s="11"/>
      <c r="CV993" s="11"/>
      <c r="CW993" s="11"/>
      <c r="CX993" s="11"/>
      <c r="CY993" s="11"/>
      <c r="CZ993" s="11"/>
      <c r="DA993" s="11"/>
      <c r="DB993" s="11"/>
      <c r="DC993" s="11"/>
      <c r="DD993" s="11"/>
      <c r="DE993" s="11"/>
      <c r="DF993" s="11"/>
      <c r="DG993" s="11"/>
      <c r="DH993" s="11"/>
      <c r="DI993" s="11"/>
      <c r="DJ993" s="11"/>
      <c r="DK993" s="11"/>
      <c r="DL993" s="11"/>
      <c r="DM993" s="11"/>
      <c r="DN993" s="11"/>
      <c r="DO993" s="11"/>
      <c r="DP993" s="11"/>
      <c r="DQ993" s="11"/>
      <c r="DR993" s="11"/>
      <c r="DS993" s="11"/>
      <c r="DT993" s="11"/>
      <c r="DU993" s="11"/>
      <c r="DV993" s="11"/>
      <c r="DW993" s="11"/>
      <c r="DX993" s="11"/>
      <c r="DY993" s="11"/>
      <c r="DZ993" s="11"/>
      <c r="EA993" s="11"/>
      <c r="EB993" s="11"/>
      <c r="EC993" s="11"/>
      <c r="ED993" s="11"/>
      <c r="EE993" s="11"/>
      <c r="EF993" s="11"/>
      <c r="EG993" s="11"/>
      <c r="EH993" s="11"/>
      <c r="EI993" s="11"/>
    </row>
    <row r="994" spans="1:139" s="52" customFormat="1">
      <c r="A994" s="85"/>
      <c r="B994" s="99"/>
      <c r="C994" s="11"/>
      <c r="K994" s="77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  <c r="BV994" s="11"/>
      <c r="BW994" s="11"/>
      <c r="BX994" s="11"/>
      <c r="BY994" s="11"/>
      <c r="BZ994" s="11"/>
      <c r="CA994" s="11"/>
      <c r="CB994" s="11"/>
      <c r="CC994" s="11"/>
      <c r="CD994" s="11"/>
      <c r="CE994" s="11"/>
      <c r="CF994" s="11"/>
      <c r="CG994" s="11"/>
      <c r="CH994" s="11"/>
      <c r="CI994" s="11"/>
      <c r="CJ994" s="11"/>
      <c r="CK994" s="11"/>
      <c r="CL994" s="11"/>
      <c r="CM994" s="11"/>
      <c r="CN994" s="11"/>
      <c r="CO994" s="11"/>
      <c r="CP994" s="11"/>
      <c r="CQ994" s="11"/>
      <c r="CR994" s="11"/>
      <c r="CS994" s="11"/>
      <c r="CT994" s="11"/>
      <c r="CU994" s="11"/>
      <c r="CV994" s="11"/>
      <c r="CW994" s="11"/>
      <c r="CX994" s="11"/>
      <c r="CY994" s="11"/>
      <c r="CZ994" s="11"/>
      <c r="DA994" s="11"/>
      <c r="DB994" s="11"/>
      <c r="DC994" s="11"/>
      <c r="DD994" s="11"/>
      <c r="DE994" s="11"/>
      <c r="DF994" s="11"/>
      <c r="DG994" s="11"/>
      <c r="DH994" s="11"/>
      <c r="DI994" s="11"/>
      <c r="DJ994" s="11"/>
      <c r="DK994" s="11"/>
      <c r="DL994" s="11"/>
      <c r="DM994" s="11"/>
      <c r="DN994" s="11"/>
      <c r="DO994" s="11"/>
      <c r="DP994" s="11"/>
      <c r="DQ994" s="11"/>
      <c r="DR994" s="11"/>
      <c r="DS994" s="11"/>
      <c r="DT994" s="11"/>
      <c r="DU994" s="11"/>
      <c r="DV994" s="11"/>
      <c r="DW994" s="11"/>
      <c r="DX994" s="11"/>
      <c r="DY994" s="11"/>
      <c r="DZ994" s="11"/>
      <c r="EA994" s="11"/>
      <c r="EB994" s="11"/>
      <c r="EC994" s="11"/>
      <c r="ED994" s="11"/>
      <c r="EE994" s="11"/>
      <c r="EF994" s="11"/>
      <c r="EG994" s="11"/>
      <c r="EH994" s="11"/>
      <c r="EI994" s="11"/>
    </row>
    <row r="995" spans="1:139" s="52" customFormat="1">
      <c r="A995" s="85"/>
      <c r="B995" s="99"/>
      <c r="C995" s="11"/>
      <c r="K995" s="77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  <c r="BV995" s="11"/>
      <c r="BW995" s="11"/>
      <c r="BX995" s="11"/>
      <c r="BY995" s="11"/>
      <c r="BZ995" s="11"/>
      <c r="CA995" s="11"/>
      <c r="CB995" s="11"/>
      <c r="CC995" s="11"/>
      <c r="CD995" s="11"/>
      <c r="CE995" s="11"/>
      <c r="CF995" s="11"/>
      <c r="CG995" s="11"/>
      <c r="CH995" s="11"/>
      <c r="CI995" s="11"/>
      <c r="CJ995" s="11"/>
      <c r="CK995" s="11"/>
      <c r="CL995" s="11"/>
      <c r="CM995" s="11"/>
      <c r="CN995" s="11"/>
      <c r="CO995" s="11"/>
      <c r="CP995" s="11"/>
      <c r="CQ995" s="11"/>
      <c r="CR995" s="11"/>
      <c r="CS995" s="11"/>
      <c r="CT995" s="11"/>
      <c r="CU995" s="11"/>
      <c r="CV995" s="11"/>
      <c r="CW995" s="11"/>
      <c r="CX995" s="11"/>
      <c r="CY995" s="11"/>
      <c r="CZ995" s="11"/>
      <c r="DA995" s="11"/>
      <c r="DB995" s="11"/>
      <c r="DC995" s="11"/>
      <c r="DD995" s="11"/>
      <c r="DE995" s="11"/>
      <c r="DF995" s="11"/>
      <c r="DG995" s="11"/>
      <c r="DH995" s="11"/>
      <c r="DI995" s="11"/>
      <c r="DJ995" s="11"/>
      <c r="DK995" s="11"/>
      <c r="DL995" s="11"/>
      <c r="DM995" s="11"/>
      <c r="DN995" s="11"/>
      <c r="DO995" s="11"/>
      <c r="DP995" s="11"/>
      <c r="DQ995" s="11"/>
      <c r="DR995" s="11"/>
      <c r="DS995" s="11"/>
      <c r="DT995" s="11"/>
      <c r="DU995" s="11"/>
      <c r="DV995" s="11"/>
      <c r="DW995" s="11"/>
      <c r="DX995" s="11"/>
      <c r="DY995" s="11"/>
      <c r="DZ995" s="11"/>
      <c r="EA995" s="11"/>
      <c r="EB995" s="11"/>
      <c r="EC995" s="11"/>
      <c r="ED995" s="11"/>
      <c r="EE995" s="11"/>
      <c r="EF995" s="11"/>
      <c r="EG995" s="11"/>
      <c r="EH995" s="11"/>
      <c r="EI995" s="11"/>
    </row>
    <row r="996" spans="1:139" s="52" customFormat="1">
      <c r="A996" s="85"/>
      <c r="B996" s="99"/>
      <c r="C996" s="11"/>
      <c r="K996" s="77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  <c r="BV996" s="11"/>
      <c r="BW996" s="11"/>
      <c r="BX996" s="11"/>
      <c r="BY996" s="11"/>
      <c r="BZ996" s="11"/>
      <c r="CA996" s="11"/>
      <c r="CB996" s="11"/>
      <c r="CC996" s="11"/>
      <c r="CD996" s="11"/>
      <c r="CE996" s="11"/>
      <c r="CF996" s="11"/>
      <c r="CG996" s="11"/>
      <c r="CH996" s="11"/>
      <c r="CI996" s="11"/>
      <c r="CJ996" s="11"/>
      <c r="CK996" s="11"/>
      <c r="CL996" s="11"/>
      <c r="CM996" s="11"/>
      <c r="CN996" s="11"/>
      <c r="CO996" s="11"/>
      <c r="CP996" s="11"/>
      <c r="CQ996" s="11"/>
      <c r="CR996" s="11"/>
      <c r="CS996" s="11"/>
      <c r="CT996" s="11"/>
      <c r="CU996" s="11"/>
      <c r="CV996" s="11"/>
      <c r="CW996" s="11"/>
      <c r="CX996" s="11"/>
      <c r="CY996" s="11"/>
      <c r="CZ996" s="11"/>
      <c r="DA996" s="11"/>
      <c r="DB996" s="11"/>
      <c r="DC996" s="11"/>
      <c r="DD996" s="11"/>
      <c r="DE996" s="11"/>
      <c r="DF996" s="11"/>
      <c r="DG996" s="11"/>
      <c r="DH996" s="11"/>
      <c r="DI996" s="11"/>
      <c r="DJ996" s="11"/>
      <c r="DK996" s="11"/>
      <c r="DL996" s="11"/>
      <c r="DM996" s="11"/>
      <c r="DN996" s="11"/>
      <c r="DO996" s="11"/>
      <c r="DP996" s="11"/>
      <c r="DQ996" s="11"/>
      <c r="DR996" s="11"/>
      <c r="DS996" s="11"/>
      <c r="DT996" s="11"/>
      <c r="DU996" s="11"/>
      <c r="DV996" s="11"/>
      <c r="DW996" s="11"/>
      <c r="DX996" s="11"/>
      <c r="DY996" s="11"/>
      <c r="DZ996" s="11"/>
      <c r="EA996" s="11"/>
      <c r="EB996" s="11"/>
      <c r="EC996" s="11"/>
      <c r="ED996" s="11"/>
      <c r="EE996" s="11"/>
      <c r="EF996" s="11"/>
      <c r="EG996" s="11"/>
      <c r="EH996" s="11"/>
      <c r="EI996" s="11"/>
    </row>
    <row r="997" spans="1:139" s="52" customFormat="1">
      <c r="A997" s="85"/>
      <c r="B997" s="99"/>
      <c r="C997" s="11"/>
      <c r="K997" s="77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  <c r="BV997" s="11"/>
      <c r="BW997" s="11"/>
      <c r="BX997" s="11"/>
      <c r="BY997" s="11"/>
      <c r="BZ997" s="11"/>
      <c r="CA997" s="11"/>
      <c r="CB997" s="11"/>
      <c r="CC997" s="11"/>
      <c r="CD997" s="11"/>
      <c r="CE997" s="11"/>
      <c r="CF997" s="11"/>
      <c r="CG997" s="11"/>
      <c r="CH997" s="11"/>
      <c r="CI997" s="11"/>
      <c r="CJ997" s="11"/>
      <c r="CK997" s="11"/>
      <c r="CL997" s="11"/>
      <c r="CM997" s="11"/>
      <c r="CN997" s="11"/>
      <c r="CO997" s="11"/>
      <c r="CP997" s="11"/>
      <c r="CQ997" s="11"/>
      <c r="CR997" s="11"/>
      <c r="CS997" s="11"/>
      <c r="CT997" s="11"/>
      <c r="CU997" s="11"/>
      <c r="CV997" s="11"/>
      <c r="CW997" s="11"/>
      <c r="CX997" s="11"/>
      <c r="CY997" s="11"/>
      <c r="CZ997" s="11"/>
      <c r="DA997" s="11"/>
      <c r="DB997" s="11"/>
      <c r="DC997" s="11"/>
      <c r="DD997" s="11"/>
      <c r="DE997" s="11"/>
      <c r="DF997" s="11"/>
      <c r="DG997" s="11"/>
      <c r="DH997" s="11"/>
      <c r="DI997" s="11"/>
      <c r="DJ997" s="11"/>
      <c r="DK997" s="11"/>
      <c r="DL997" s="11"/>
      <c r="DM997" s="11"/>
      <c r="DN997" s="11"/>
      <c r="DO997" s="11"/>
      <c r="DP997" s="11"/>
      <c r="DQ997" s="11"/>
      <c r="DR997" s="11"/>
      <c r="DS997" s="11"/>
      <c r="DT997" s="11"/>
      <c r="DU997" s="11"/>
      <c r="DV997" s="11"/>
      <c r="DW997" s="11"/>
      <c r="DX997" s="11"/>
      <c r="DY997" s="11"/>
      <c r="DZ997" s="11"/>
      <c r="EA997" s="11"/>
      <c r="EB997" s="11"/>
      <c r="EC997" s="11"/>
      <c r="ED997" s="11"/>
      <c r="EE997" s="11"/>
      <c r="EF997" s="11"/>
      <c r="EG997" s="11"/>
      <c r="EH997" s="11"/>
      <c r="EI997" s="11"/>
    </row>
    <row r="998" spans="1:139" s="52" customFormat="1">
      <c r="A998" s="85"/>
      <c r="B998" s="99"/>
      <c r="C998" s="11"/>
      <c r="K998" s="77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  <c r="BU998" s="11"/>
      <c r="BV998" s="11"/>
      <c r="BW998" s="11"/>
      <c r="BX998" s="11"/>
      <c r="BY998" s="11"/>
      <c r="BZ998" s="11"/>
      <c r="CA998" s="11"/>
      <c r="CB998" s="11"/>
      <c r="CC998" s="11"/>
      <c r="CD998" s="11"/>
      <c r="CE998" s="11"/>
      <c r="CF998" s="11"/>
      <c r="CG998" s="11"/>
      <c r="CH998" s="11"/>
      <c r="CI998" s="11"/>
      <c r="CJ998" s="11"/>
      <c r="CK998" s="11"/>
      <c r="CL998" s="11"/>
      <c r="CM998" s="11"/>
      <c r="CN998" s="11"/>
      <c r="CO998" s="11"/>
      <c r="CP998" s="11"/>
      <c r="CQ998" s="11"/>
      <c r="CR998" s="11"/>
      <c r="CS998" s="11"/>
      <c r="CT998" s="11"/>
      <c r="CU998" s="11"/>
      <c r="CV998" s="11"/>
      <c r="CW998" s="11"/>
      <c r="CX998" s="11"/>
      <c r="CY998" s="11"/>
      <c r="CZ998" s="11"/>
      <c r="DA998" s="11"/>
      <c r="DB998" s="11"/>
      <c r="DC998" s="11"/>
      <c r="DD998" s="11"/>
      <c r="DE998" s="11"/>
      <c r="DF998" s="11"/>
      <c r="DG998" s="11"/>
      <c r="DH998" s="11"/>
      <c r="DI998" s="11"/>
      <c r="DJ998" s="11"/>
      <c r="DK998" s="11"/>
      <c r="DL998" s="11"/>
      <c r="DM998" s="11"/>
      <c r="DN998" s="11"/>
      <c r="DO998" s="11"/>
      <c r="DP998" s="11"/>
      <c r="DQ998" s="11"/>
      <c r="DR998" s="11"/>
      <c r="DS998" s="11"/>
      <c r="DT998" s="11"/>
      <c r="DU998" s="11"/>
      <c r="DV998" s="11"/>
      <c r="DW998" s="11"/>
      <c r="DX998" s="11"/>
      <c r="DY998" s="11"/>
      <c r="DZ998" s="11"/>
      <c r="EA998" s="11"/>
      <c r="EB998" s="11"/>
      <c r="EC998" s="11"/>
      <c r="ED998" s="11"/>
      <c r="EE998" s="11"/>
      <c r="EF998" s="11"/>
      <c r="EG998" s="11"/>
      <c r="EH998" s="11"/>
      <c r="EI998" s="11"/>
    </row>
    <row r="999" spans="1:139" s="52" customFormat="1">
      <c r="A999" s="85"/>
      <c r="B999" s="99"/>
      <c r="C999" s="11"/>
      <c r="K999" s="77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  <c r="BU999" s="11"/>
      <c r="BV999" s="11"/>
      <c r="BW999" s="11"/>
      <c r="BX999" s="11"/>
      <c r="BY999" s="11"/>
      <c r="BZ999" s="11"/>
      <c r="CA999" s="11"/>
      <c r="CB999" s="11"/>
      <c r="CC999" s="11"/>
      <c r="CD999" s="11"/>
      <c r="CE999" s="11"/>
      <c r="CF999" s="11"/>
      <c r="CG999" s="11"/>
      <c r="CH999" s="11"/>
      <c r="CI999" s="11"/>
      <c r="CJ999" s="11"/>
      <c r="CK999" s="11"/>
      <c r="CL999" s="11"/>
      <c r="CM999" s="11"/>
      <c r="CN999" s="11"/>
      <c r="CO999" s="11"/>
      <c r="CP999" s="11"/>
      <c r="CQ999" s="11"/>
      <c r="CR999" s="11"/>
      <c r="CS999" s="11"/>
      <c r="CT999" s="11"/>
      <c r="CU999" s="11"/>
      <c r="CV999" s="11"/>
      <c r="CW999" s="11"/>
      <c r="CX999" s="11"/>
      <c r="CY999" s="11"/>
      <c r="CZ999" s="11"/>
      <c r="DA999" s="11"/>
      <c r="DB999" s="11"/>
      <c r="DC999" s="11"/>
      <c r="DD999" s="11"/>
      <c r="DE999" s="11"/>
      <c r="DF999" s="11"/>
      <c r="DG999" s="11"/>
      <c r="DH999" s="11"/>
      <c r="DI999" s="11"/>
      <c r="DJ999" s="11"/>
      <c r="DK999" s="11"/>
      <c r="DL999" s="11"/>
      <c r="DM999" s="11"/>
      <c r="DN999" s="11"/>
      <c r="DO999" s="11"/>
      <c r="DP999" s="11"/>
      <c r="DQ999" s="11"/>
      <c r="DR999" s="11"/>
      <c r="DS999" s="11"/>
      <c r="DT999" s="11"/>
      <c r="DU999" s="11"/>
      <c r="DV999" s="11"/>
      <c r="DW999" s="11"/>
      <c r="DX999" s="11"/>
      <c r="DY999" s="11"/>
      <c r="DZ999" s="11"/>
      <c r="EA999" s="11"/>
      <c r="EB999" s="11"/>
      <c r="EC999" s="11"/>
      <c r="ED999" s="11"/>
      <c r="EE999" s="11"/>
      <c r="EF999" s="11"/>
      <c r="EG999" s="11"/>
      <c r="EH999" s="11"/>
      <c r="EI999" s="11"/>
    </row>
    <row r="1000" spans="1:139" s="52" customFormat="1">
      <c r="A1000" s="85"/>
      <c r="B1000" s="99"/>
      <c r="C1000" s="11"/>
      <c r="K1000" s="77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  <c r="BU1000" s="11"/>
      <c r="BV1000" s="11"/>
      <c r="BW1000" s="11"/>
      <c r="BX1000" s="11"/>
      <c r="BY1000" s="11"/>
      <c r="BZ1000" s="11"/>
      <c r="CA1000" s="11"/>
      <c r="CB1000" s="11"/>
      <c r="CC1000" s="11"/>
      <c r="CD1000" s="11"/>
      <c r="CE1000" s="11"/>
      <c r="CF1000" s="11"/>
      <c r="CG1000" s="11"/>
      <c r="CH1000" s="11"/>
      <c r="CI1000" s="11"/>
      <c r="CJ1000" s="11"/>
      <c r="CK1000" s="11"/>
      <c r="CL1000" s="11"/>
      <c r="CM1000" s="11"/>
      <c r="CN1000" s="11"/>
      <c r="CO1000" s="11"/>
      <c r="CP1000" s="11"/>
      <c r="CQ1000" s="11"/>
      <c r="CR1000" s="11"/>
      <c r="CS1000" s="11"/>
      <c r="CT1000" s="11"/>
      <c r="CU1000" s="11"/>
      <c r="CV1000" s="11"/>
      <c r="CW1000" s="11"/>
      <c r="CX1000" s="11"/>
      <c r="CY1000" s="11"/>
      <c r="CZ1000" s="11"/>
      <c r="DA1000" s="11"/>
      <c r="DB1000" s="11"/>
      <c r="DC1000" s="11"/>
      <c r="DD1000" s="11"/>
      <c r="DE1000" s="11"/>
      <c r="DF1000" s="11"/>
      <c r="DG1000" s="11"/>
      <c r="DH1000" s="11"/>
      <c r="DI1000" s="11"/>
      <c r="DJ1000" s="11"/>
      <c r="DK1000" s="11"/>
      <c r="DL1000" s="11"/>
      <c r="DM1000" s="11"/>
      <c r="DN1000" s="11"/>
      <c r="DO1000" s="11"/>
      <c r="DP1000" s="11"/>
      <c r="DQ1000" s="11"/>
      <c r="DR1000" s="11"/>
      <c r="DS1000" s="11"/>
      <c r="DT1000" s="11"/>
      <c r="DU1000" s="11"/>
      <c r="DV1000" s="11"/>
      <c r="DW1000" s="11"/>
      <c r="DX1000" s="11"/>
      <c r="DY1000" s="11"/>
      <c r="DZ1000" s="11"/>
      <c r="EA1000" s="11"/>
      <c r="EB1000" s="11"/>
      <c r="EC1000" s="11"/>
      <c r="ED1000" s="11"/>
      <c r="EE1000" s="11"/>
      <c r="EF1000" s="11"/>
      <c r="EG1000" s="11"/>
      <c r="EH1000" s="11"/>
      <c r="EI1000" s="11"/>
    </row>
    <row r="1001" spans="1:139" s="52" customFormat="1">
      <c r="A1001" s="85"/>
      <c r="B1001" s="99"/>
      <c r="C1001" s="11"/>
      <c r="K1001" s="77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11"/>
      <c r="BK1001" s="11"/>
      <c r="BL1001" s="11"/>
      <c r="BM1001" s="11"/>
      <c r="BN1001" s="11"/>
      <c r="BO1001" s="11"/>
      <c r="BP1001" s="11"/>
      <c r="BQ1001" s="11"/>
      <c r="BR1001" s="11"/>
      <c r="BS1001" s="11"/>
      <c r="BT1001" s="11"/>
      <c r="BU1001" s="11"/>
      <c r="BV1001" s="11"/>
      <c r="BW1001" s="11"/>
      <c r="BX1001" s="11"/>
      <c r="BY1001" s="11"/>
      <c r="BZ1001" s="11"/>
      <c r="CA1001" s="11"/>
      <c r="CB1001" s="11"/>
      <c r="CC1001" s="11"/>
      <c r="CD1001" s="11"/>
      <c r="CE1001" s="11"/>
      <c r="CF1001" s="11"/>
      <c r="CG1001" s="11"/>
      <c r="CH1001" s="11"/>
      <c r="CI1001" s="11"/>
      <c r="CJ1001" s="11"/>
      <c r="CK1001" s="11"/>
      <c r="CL1001" s="11"/>
      <c r="CM1001" s="11"/>
      <c r="CN1001" s="11"/>
      <c r="CO1001" s="11"/>
      <c r="CP1001" s="11"/>
      <c r="CQ1001" s="11"/>
      <c r="CR1001" s="11"/>
      <c r="CS1001" s="11"/>
      <c r="CT1001" s="11"/>
      <c r="CU1001" s="11"/>
      <c r="CV1001" s="11"/>
      <c r="CW1001" s="11"/>
      <c r="CX1001" s="11"/>
      <c r="CY1001" s="11"/>
      <c r="CZ1001" s="11"/>
      <c r="DA1001" s="11"/>
      <c r="DB1001" s="11"/>
      <c r="DC1001" s="11"/>
      <c r="DD1001" s="11"/>
      <c r="DE1001" s="11"/>
      <c r="DF1001" s="11"/>
      <c r="DG1001" s="11"/>
      <c r="DH1001" s="11"/>
      <c r="DI1001" s="11"/>
      <c r="DJ1001" s="11"/>
      <c r="DK1001" s="11"/>
      <c r="DL1001" s="11"/>
      <c r="DM1001" s="11"/>
      <c r="DN1001" s="11"/>
      <c r="DO1001" s="11"/>
      <c r="DP1001" s="11"/>
      <c r="DQ1001" s="11"/>
      <c r="DR1001" s="11"/>
      <c r="DS1001" s="11"/>
      <c r="DT1001" s="11"/>
      <c r="DU1001" s="11"/>
      <c r="DV1001" s="11"/>
      <c r="DW1001" s="11"/>
      <c r="DX1001" s="11"/>
      <c r="DY1001" s="11"/>
      <c r="DZ1001" s="11"/>
      <c r="EA1001" s="11"/>
      <c r="EB1001" s="11"/>
      <c r="EC1001" s="11"/>
      <c r="ED1001" s="11"/>
      <c r="EE1001" s="11"/>
      <c r="EF1001" s="11"/>
      <c r="EG1001" s="11"/>
      <c r="EH1001" s="11"/>
      <c r="EI1001" s="11"/>
    </row>
    <row r="1002" spans="1:139" s="52" customFormat="1">
      <c r="A1002" s="85"/>
      <c r="B1002" s="99"/>
      <c r="C1002" s="11"/>
      <c r="K1002" s="77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  <c r="BI1002" s="11"/>
      <c r="BJ1002" s="11"/>
      <c r="BK1002" s="11"/>
      <c r="BL1002" s="11"/>
      <c r="BM1002" s="11"/>
      <c r="BN1002" s="11"/>
      <c r="BO1002" s="11"/>
      <c r="BP1002" s="11"/>
      <c r="BQ1002" s="11"/>
      <c r="BR1002" s="11"/>
      <c r="BS1002" s="11"/>
      <c r="BT1002" s="11"/>
      <c r="BU1002" s="11"/>
      <c r="BV1002" s="11"/>
      <c r="BW1002" s="11"/>
      <c r="BX1002" s="11"/>
      <c r="BY1002" s="11"/>
      <c r="BZ1002" s="11"/>
      <c r="CA1002" s="11"/>
      <c r="CB1002" s="11"/>
      <c r="CC1002" s="11"/>
      <c r="CD1002" s="11"/>
      <c r="CE1002" s="11"/>
      <c r="CF1002" s="11"/>
      <c r="CG1002" s="11"/>
      <c r="CH1002" s="11"/>
      <c r="CI1002" s="11"/>
      <c r="CJ1002" s="11"/>
      <c r="CK1002" s="11"/>
      <c r="CL1002" s="11"/>
      <c r="CM1002" s="11"/>
      <c r="CN1002" s="11"/>
      <c r="CO1002" s="11"/>
      <c r="CP1002" s="11"/>
      <c r="CQ1002" s="11"/>
      <c r="CR1002" s="11"/>
      <c r="CS1002" s="11"/>
      <c r="CT1002" s="11"/>
      <c r="CU1002" s="11"/>
      <c r="CV1002" s="11"/>
      <c r="CW1002" s="11"/>
      <c r="CX1002" s="11"/>
      <c r="CY1002" s="11"/>
      <c r="CZ1002" s="11"/>
      <c r="DA1002" s="11"/>
      <c r="DB1002" s="11"/>
      <c r="DC1002" s="11"/>
      <c r="DD1002" s="11"/>
      <c r="DE1002" s="11"/>
      <c r="DF1002" s="11"/>
      <c r="DG1002" s="11"/>
      <c r="DH1002" s="11"/>
      <c r="DI1002" s="11"/>
      <c r="DJ1002" s="11"/>
      <c r="DK1002" s="11"/>
      <c r="DL1002" s="11"/>
      <c r="DM1002" s="11"/>
      <c r="DN1002" s="11"/>
      <c r="DO1002" s="11"/>
      <c r="DP1002" s="11"/>
      <c r="DQ1002" s="11"/>
      <c r="DR1002" s="11"/>
      <c r="DS1002" s="11"/>
      <c r="DT1002" s="11"/>
      <c r="DU1002" s="11"/>
      <c r="DV1002" s="11"/>
      <c r="DW1002" s="11"/>
      <c r="DX1002" s="11"/>
      <c r="DY1002" s="11"/>
      <c r="DZ1002" s="11"/>
      <c r="EA1002" s="11"/>
      <c r="EB1002" s="11"/>
      <c r="EC1002" s="11"/>
      <c r="ED1002" s="11"/>
      <c r="EE1002" s="11"/>
      <c r="EF1002" s="11"/>
      <c r="EG1002" s="11"/>
      <c r="EH1002" s="11"/>
      <c r="EI1002" s="11"/>
    </row>
    <row r="1003" spans="1:139" s="52" customFormat="1">
      <c r="A1003" s="85"/>
      <c r="B1003" s="99"/>
      <c r="C1003" s="11"/>
      <c r="K1003" s="77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  <c r="BJ1003" s="11"/>
      <c r="BK1003" s="11"/>
      <c r="BL1003" s="11"/>
      <c r="BM1003" s="11"/>
      <c r="BN1003" s="11"/>
      <c r="BO1003" s="11"/>
      <c r="BP1003" s="11"/>
      <c r="BQ1003" s="11"/>
      <c r="BR1003" s="11"/>
      <c r="BS1003" s="11"/>
      <c r="BT1003" s="11"/>
      <c r="BU1003" s="11"/>
      <c r="BV1003" s="11"/>
      <c r="BW1003" s="11"/>
      <c r="BX1003" s="11"/>
      <c r="BY1003" s="11"/>
      <c r="BZ1003" s="11"/>
      <c r="CA1003" s="11"/>
      <c r="CB1003" s="11"/>
      <c r="CC1003" s="11"/>
      <c r="CD1003" s="11"/>
      <c r="CE1003" s="11"/>
      <c r="CF1003" s="11"/>
      <c r="CG1003" s="11"/>
      <c r="CH1003" s="11"/>
      <c r="CI1003" s="11"/>
      <c r="CJ1003" s="11"/>
      <c r="CK1003" s="11"/>
      <c r="CL1003" s="11"/>
      <c r="CM1003" s="11"/>
      <c r="CN1003" s="11"/>
      <c r="CO1003" s="11"/>
      <c r="CP1003" s="11"/>
      <c r="CQ1003" s="11"/>
      <c r="CR1003" s="11"/>
      <c r="CS1003" s="11"/>
      <c r="CT1003" s="11"/>
      <c r="CU1003" s="11"/>
      <c r="CV1003" s="11"/>
      <c r="CW1003" s="11"/>
      <c r="CX1003" s="11"/>
      <c r="CY1003" s="11"/>
      <c r="CZ1003" s="11"/>
      <c r="DA1003" s="11"/>
      <c r="DB1003" s="11"/>
      <c r="DC1003" s="11"/>
      <c r="DD1003" s="11"/>
      <c r="DE1003" s="11"/>
      <c r="DF1003" s="11"/>
      <c r="DG1003" s="11"/>
      <c r="DH1003" s="11"/>
      <c r="DI1003" s="11"/>
      <c r="DJ1003" s="11"/>
      <c r="DK1003" s="11"/>
      <c r="DL1003" s="11"/>
      <c r="DM1003" s="11"/>
      <c r="DN1003" s="11"/>
      <c r="DO1003" s="11"/>
      <c r="DP1003" s="11"/>
      <c r="DQ1003" s="11"/>
      <c r="DR1003" s="11"/>
      <c r="DS1003" s="11"/>
      <c r="DT1003" s="11"/>
      <c r="DU1003" s="11"/>
      <c r="DV1003" s="11"/>
      <c r="DW1003" s="11"/>
      <c r="DX1003" s="11"/>
      <c r="DY1003" s="11"/>
      <c r="DZ1003" s="11"/>
      <c r="EA1003" s="11"/>
      <c r="EB1003" s="11"/>
      <c r="EC1003" s="11"/>
      <c r="ED1003" s="11"/>
      <c r="EE1003" s="11"/>
      <c r="EF1003" s="11"/>
      <c r="EG1003" s="11"/>
      <c r="EH1003" s="11"/>
      <c r="EI1003" s="11"/>
    </row>
    <row r="1004" spans="1:139" s="52" customFormat="1">
      <c r="A1004" s="85"/>
      <c r="B1004" s="99"/>
      <c r="C1004" s="11"/>
      <c r="K1004" s="77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  <c r="BI1004" s="11"/>
      <c r="BJ1004" s="11"/>
      <c r="BK1004" s="11"/>
      <c r="BL1004" s="11"/>
      <c r="BM1004" s="11"/>
      <c r="BN1004" s="11"/>
      <c r="BO1004" s="11"/>
      <c r="BP1004" s="11"/>
      <c r="BQ1004" s="11"/>
      <c r="BR1004" s="11"/>
      <c r="BS1004" s="11"/>
      <c r="BT1004" s="11"/>
      <c r="BU1004" s="11"/>
      <c r="BV1004" s="11"/>
      <c r="BW1004" s="11"/>
      <c r="BX1004" s="11"/>
      <c r="BY1004" s="11"/>
      <c r="BZ1004" s="11"/>
      <c r="CA1004" s="11"/>
      <c r="CB1004" s="11"/>
      <c r="CC1004" s="11"/>
      <c r="CD1004" s="11"/>
      <c r="CE1004" s="11"/>
      <c r="CF1004" s="11"/>
      <c r="CG1004" s="11"/>
      <c r="CH1004" s="11"/>
      <c r="CI1004" s="11"/>
      <c r="CJ1004" s="11"/>
      <c r="CK1004" s="11"/>
      <c r="CL1004" s="11"/>
      <c r="CM1004" s="11"/>
      <c r="CN1004" s="11"/>
      <c r="CO1004" s="11"/>
      <c r="CP1004" s="11"/>
      <c r="CQ1004" s="11"/>
      <c r="CR1004" s="11"/>
      <c r="CS1004" s="11"/>
      <c r="CT1004" s="11"/>
      <c r="CU1004" s="11"/>
      <c r="CV1004" s="11"/>
      <c r="CW1004" s="11"/>
      <c r="CX1004" s="11"/>
      <c r="CY1004" s="11"/>
      <c r="CZ1004" s="11"/>
      <c r="DA1004" s="11"/>
      <c r="DB1004" s="11"/>
      <c r="DC1004" s="11"/>
      <c r="DD1004" s="11"/>
      <c r="DE1004" s="11"/>
      <c r="DF1004" s="11"/>
      <c r="DG1004" s="11"/>
      <c r="DH1004" s="11"/>
      <c r="DI1004" s="11"/>
      <c r="DJ1004" s="11"/>
      <c r="DK1004" s="11"/>
      <c r="DL1004" s="11"/>
      <c r="DM1004" s="11"/>
      <c r="DN1004" s="11"/>
      <c r="DO1004" s="11"/>
      <c r="DP1004" s="11"/>
      <c r="DQ1004" s="11"/>
      <c r="DR1004" s="11"/>
      <c r="DS1004" s="11"/>
      <c r="DT1004" s="11"/>
      <c r="DU1004" s="11"/>
      <c r="DV1004" s="11"/>
      <c r="DW1004" s="11"/>
      <c r="DX1004" s="11"/>
      <c r="DY1004" s="11"/>
      <c r="DZ1004" s="11"/>
      <c r="EA1004" s="11"/>
      <c r="EB1004" s="11"/>
      <c r="EC1004" s="11"/>
      <c r="ED1004" s="11"/>
      <c r="EE1004" s="11"/>
      <c r="EF1004" s="11"/>
      <c r="EG1004" s="11"/>
      <c r="EH1004" s="11"/>
      <c r="EI1004" s="11"/>
    </row>
    <row r="1005" spans="1:139" s="52" customFormat="1">
      <c r="A1005" s="85"/>
      <c r="B1005" s="99"/>
      <c r="C1005" s="11"/>
      <c r="K1005" s="77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  <c r="BI1005" s="11"/>
      <c r="BJ1005" s="11"/>
      <c r="BK1005" s="11"/>
      <c r="BL1005" s="11"/>
      <c r="BM1005" s="11"/>
      <c r="BN1005" s="11"/>
      <c r="BO1005" s="11"/>
      <c r="BP1005" s="11"/>
      <c r="BQ1005" s="11"/>
      <c r="BR1005" s="11"/>
      <c r="BS1005" s="11"/>
      <c r="BT1005" s="11"/>
      <c r="BU1005" s="11"/>
      <c r="BV1005" s="11"/>
      <c r="BW1005" s="11"/>
      <c r="BX1005" s="11"/>
      <c r="BY1005" s="11"/>
      <c r="BZ1005" s="11"/>
      <c r="CA1005" s="11"/>
      <c r="CB1005" s="11"/>
      <c r="CC1005" s="11"/>
      <c r="CD1005" s="11"/>
      <c r="CE1005" s="11"/>
      <c r="CF1005" s="11"/>
      <c r="CG1005" s="11"/>
      <c r="CH1005" s="11"/>
      <c r="CI1005" s="11"/>
      <c r="CJ1005" s="11"/>
      <c r="CK1005" s="11"/>
      <c r="CL1005" s="11"/>
      <c r="CM1005" s="11"/>
      <c r="CN1005" s="11"/>
      <c r="CO1005" s="11"/>
      <c r="CP1005" s="11"/>
      <c r="CQ1005" s="11"/>
      <c r="CR1005" s="11"/>
      <c r="CS1005" s="11"/>
      <c r="CT1005" s="11"/>
      <c r="CU1005" s="11"/>
      <c r="CV1005" s="11"/>
      <c r="CW1005" s="11"/>
      <c r="CX1005" s="11"/>
      <c r="CY1005" s="11"/>
      <c r="CZ1005" s="11"/>
      <c r="DA1005" s="11"/>
      <c r="DB1005" s="11"/>
      <c r="DC1005" s="11"/>
      <c r="DD1005" s="11"/>
      <c r="DE1005" s="11"/>
      <c r="DF1005" s="11"/>
      <c r="DG1005" s="11"/>
      <c r="DH1005" s="11"/>
      <c r="DI1005" s="11"/>
      <c r="DJ1005" s="11"/>
      <c r="DK1005" s="11"/>
      <c r="DL1005" s="11"/>
      <c r="DM1005" s="11"/>
      <c r="DN1005" s="11"/>
      <c r="DO1005" s="11"/>
      <c r="DP1005" s="11"/>
      <c r="DQ1005" s="11"/>
      <c r="DR1005" s="11"/>
      <c r="DS1005" s="11"/>
      <c r="DT1005" s="11"/>
      <c r="DU1005" s="11"/>
      <c r="DV1005" s="11"/>
      <c r="DW1005" s="11"/>
      <c r="DX1005" s="11"/>
      <c r="DY1005" s="11"/>
      <c r="DZ1005" s="11"/>
      <c r="EA1005" s="11"/>
      <c r="EB1005" s="11"/>
      <c r="EC1005" s="11"/>
      <c r="ED1005" s="11"/>
      <c r="EE1005" s="11"/>
      <c r="EF1005" s="11"/>
      <c r="EG1005" s="11"/>
      <c r="EH1005" s="11"/>
      <c r="EI1005" s="11"/>
    </row>
    <row r="1006" spans="1:139" s="52" customFormat="1">
      <c r="A1006" s="85"/>
      <c r="B1006" s="99"/>
      <c r="C1006" s="11"/>
      <c r="K1006" s="77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11"/>
      <c r="BF1006" s="11"/>
      <c r="BG1006" s="11"/>
      <c r="BH1006" s="11"/>
      <c r="BI1006" s="11"/>
      <c r="BJ1006" s="11"/>
      <c r="BK1006" s="11"/>
      <c r="BL1006" s="11"/>
      <c r="BM1006" s="11"/>
      <c r="BN1006" s="11"/>
      <c r="BO1006" s="11"/>
      <c r="BP1006" s="11"/>
      <c r="BQ1006" s="11"/>
      <c r="BR1006" s="11"/>
      <c r="BS1006" s="11"/>
      <c r="BT1006" s="11"/>
      <c r="BU1006" s="11"/>
      <c r="BV1006" s="11"/>
      <c r="BW1006" s="11"/>
      <c r="BX1006" s="11"/>
      <c r="BY1006" s="11"/>
      <c r="BZ1006" s="11"/>
      <c r="CA1006" s="11"/>
      <c r="CB1006" s="11"/>
      <c r="CC1006" s="11"/>
      <c r="CD1006" s="11"/>
      <c r="CE1006" s="11"/>
      <c r="CF1006" s="11"/>
      <c r="CG1006" s="11"/>
      <c r="CH1006" s="11"/>
      <c r="CI1006" s="11"/>
      <c r="CJ1006" s="11"/>
      <c r="CK1006" s="11"/>
      <c r="CL1006" s="11"/>
      <c r="CM1006" s="11"/>
      <c r="CN1006" s="11"/>
      <c r="CO1006" s="11"/>
      <c r="CP1006" s="11"/>
      <c r="CQ1006" s="11"/>
      <c r="CR1006" s="11"/>
      <c r="CS1006" s="11"/>
      <c r="CT1006" s="11"/>
      <c r="CU1006" s="11"/>
      <c r="CV1006" s="11"/>
      <c r="CW1006" s="11"/>
      <c r="CX1006" s="11"/>
      <c r="CY1006" s="11"/>
      <c r="CZ1006" s="11"/>
      <c r="DA1006" s="11"/>
      <c r="DB1006" s="11"/>
      <c r="DC1006" s="11"/>
      <c r="DD1006" s="11"/>
      <c r="DE1006" s="11"/>
      <c r="DF1006" s="11"/>
      <c r="DG1006" s="11"/>
      <c r="DH1006" s="11"/>
      <c r="DI1006" s="11"/>
      <c r="DJ1006" s="11"/>
      <c r="DK1006" s="11"/>
      <c r="DL1006" s="11"/>
      <c r="DM1006" s="11"/>
      <c r="DN1006" s="11"/>
      <c r="DO1006" s="11"/>
      <c r="DP1006" s="11"/>
      <c r="DQ1006" s="11"/>
      <c r="DR1006" s="11"/>
      <c r="DS1006" s="11"/>
      <c r="DT1006" s="11"/>
      <c r="DU1006" s="11"/>
      <c r="DV1006" s="11"/>
      <c r="DW1006" s="11"/>
      <c r="DX1006" s="11"/>
      <c r="DY1006" s="11"/>
      <c r="DZ1006" s="11"/>
      <c r="EA1006" s="11"/>
      <c r="EB1006" s="11"/>
      <c r="EC1006" s="11"/>
      <c r="ED1006" s="11"/>
      <c r="EE1006" s="11"/>
      <c r="EF1006" s="11"/>
      <c r="EG1006" s="11"/>
      <c r="EH1006" s="11"/>
      <c r="EI1006" s="11"/>
    </row>
    <row r="1007" spans="1:139" s="52" customFormat="1">
      <c r="A1007" s="85"/>
      <c r="B1007" s="99"/>
      <c r="C1007" s="11"/>
      <c r="K1007" s="77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11"/>
      <c r="BF1007" s="11"/>
      <c r="BG1007" s="11"/>
      <c r="BH1007" s="11"/>
      <c r="BI1007" s="11"/>
      <c r="BJ1007" s="11"/>
      <c r="BK1007" s="11"/>
      <c r="BL1007" s="11"/>
      <c r="BM1007" s="11"/>
      <c r="BN1007" s="11"/>
      <c r="BO1007" s="11"/>
      <c r="BP1007" s="11"/>
      <c r="BQ1007" s="11"/>
      <c r="BR1007" s="11"/>
      <c r="BS1007" s="11"/>
      <c r="BT1007" s="11"/>
      <c r="BU1007" s="11"/>
      <c r="BV1007" s="11"/>
      <c r="BW1007" s="11"/>
      <c r="BX1007" s="11"/>
      <c r="BY1007" s="11"/>
      <c r="BZ1007" s="11"/>
      <c r="CA1007" s="11"/>
      <c r="CB1007" s="11"/>
      <c r="CC1007" s="11"/>
      <c r="CD1007" s="11"/>
      <c r="CE1007" s="11"/>
      <c r="CF1007" s="11"/>
      <c r="CG1007" s="11"/>
      <c r="CH1007" s="11"/>
      <c r="CI1007" s="11"/>
      <c r="CJ1007" s="11"/>
      <c r="CK1007" s="11"/>
      <c r="CL1007" s="11"/>
      <c r="CM1007" s="11"/>
      <c r="CN1007" s="11"/>
      <c r="CO1007" s="11"/>
      <c r="CP1007" s="11"/>
      <c r="CQ1007" s="11"/>
      <c r="CR1007" s="11"/>
      <c r="CS1007" s="11"/>
      <c r="CT1007" s="11"/>
      <c r="CU1007" s="11"/>
      <c r="CV1007" s="11"/>
      <c r="CW1007" s="11"/>
      <c r="CX1007" s="11"/>
      <c r="CY1007" s="11"/>
      <c r="CZ1007" s="11"/>
      <c r="DA1007" s="11"/>
      <c r="DB1007" s="11"/>
      <c r="DC1007" s="11"/>
      <c r="DD1007" s="11"/>
      <c r="DE1007" s="11"/>
      <c r="DF1007" s="11"/>
      <c r="DG1007" s="11"/>
      <c r="DH1007" s="11"/>
      <c r="DI1007" s="11"/>
      <c r="DJ1007" s="11"/>
      <c r="DK1007" s="11"/>
      <c r="DL1007" s="11"/>
      <c r="DM1007" s="11"/>
      <c r="DN1007" s="11"/>
      <c r="DO1007" s="11"/>
      <c r="DP1007" s="11"/>
      <c r="DQ1007" s="11"/>
      <c r="DR1007" s="11"/>
      <c r="DS1007" s="11"/>
      <c r="DT1007" s="11"/>
      <c r="DU1007" s="11"/>
      <c r="DV1007" s="11"/>
      <c r="DW1007" s="11"/>
      <c r="DX1007" s="11"/>
      <c r="DY1007" s="11"/>
      <c r="DZ1007" s="11"/>
      <c r="EA1007" s="11"/>
      <c r="EB1007" s="11"/>
      <c r="EC1007" s="11"/>
      <c r="ED1007" s="11"/>
      <c r="EE1007" s="11"/>
      <c r="EF1007" s="11"/>
      <c r="EG1007" s="11"/>
      <c r="EH1007" s="11"/>
      <c r="EI1007" s="11"/>
    </row>
    <row r="1008" spans="1:139" s="52" customFormat="1">
      <c r="A1008" s="85"/>
      <c r="B1008" s="99"/>
      <c r="C1008" s="11"/>
      <c r="K1008" s="77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1"/>
      <c r="AY1008" s="11"/>
      <c r="AZ1008" s="11"/>
      <c r="BA1008" s="11"/>
      <c r="BB1008" s="11"/>
      <c r="BC1008" s="11"/>
      <c r="BD1008" s="11"/>
      <c r="BE1008" s="11"/>
      <c r="BF1008" s="11"/>
      <c r="BG1008" s="11"/>
      <c r="BH1008" s="11"/>
      <c r="BI1008" s="11"/>
      <c r="BJ1008" s="11"/>
      <c r="BK1008" s="11"/>
      <c r="BL1008" s="11"/>
      <c r="BM1008" s="11"/>
      <c r="BN1008" s="11"/>
      <c r="BO1008" s="11"/>
      <c r="BP1008" s="11"/>
      <c r="BQ1008" s="11"/>
      <c r="BR1008" s="11"/>
      <c r="BS1008" s="11"/>
      <c r="BT1008" s="11"/>
      <c r="BU1008" s="11"/>
      <c r="BV1008" s="11"/>
      <c r="BW1008" s="11"/>
      <c r="BX1008" s="11"/>
      <c r="BY1008" s="11"/>
      <c r="BZ1008" s="11"/>
      <c r="CA1008" s="11"/>
      <c r="CB1008" s="11"/>
      <c r="CC1008" s="11"/>
      <c r="CD1008" s="11"/>
      <c r="CE1008" s="11"/>
      <c r="CF1008" s="11"/>
      <c r="CG1008" s="11"/>
      <c r="CH1008" s="11"/>
      <c r="CI1008" s="11"/>
      <c r="CJ1008" s="11"/>
      <c r="CK1008" s="11"/>
      <c r="CL1008" s="11"/>
      <c r="CM1008" s="11"/>
      <c r="CN1008" s="11"/>
      <c r="CO1008" s="11"/>
      <c r="CP1008" s="11"/>
      <c r="CQ1008" s="11"/>
      <c r="CR1008" s="11"/>
      <c r="CS1008" s="11"/>
      <c r="CT1008" s="11"/>
      <c r="CU1008" s="11"/>
      <c r="CV1008" s="11"/>
      <c r="CW1008" s="11"/>
      <c r="CX1008" s="11"/>
      <c r="CY1008" s="11"/>
      <c r="CZ1008" s="11"/>
      <c r="DA1008" s="11"/>
      <c r="DB1008" s="11"/>
      <c r="DC1008" s="11"/>
      <c r="DD1008" s="11"/>
      <c r="DE1008" s="11"/>
      <c r="DF1008" s="11"/>
      <c r="DG1008" s="11"/>
      <c r="DH1008" s="11"/>
      <c r="DI1008" s="11"/>
      <c r="DJ1008" s="11"/>
      <c r="DK1008" s="11"/>
      <c r="DL1008" s="11"/>
      <c r="DM1008" s="11"/>
      <c r="DN1008" s="11"/>
      <c r="DO1008" s="11"/>
      <c r="DP1008" s="11"/>
      <c r="DQ1008" s="11"/>
      <c r="DR1008" s="11"/>
      <c r="DS1008" s="11"/>
      <c r="DT1008" s="11"/>
      <c r="DU1008" s="11"/>
      <c r="DV1008" s="11"/>
      <c r="DW1008" s="11"/>
      <c r="DX1008" s="11"/>
      <c r="DY1008" s="11"/>
      <c r="DZ1008" s="11"/>
      <c r="EA1008" s="11"/>
      <c r="EB1008" s="11"/>
      <c r="EC1008" s="11"/>
      <c r="ED1008" s="11"/>
      <c r="EE1008" s="11"/>
      <c r="EF1008" s="11"/>
      <c r="EG1008" s="11"/>
      <c r="EH1008" s="11"/>
      <c r="EI1008" s="11"/>
    </row>
    <row r="1009" spans="1:139" s="52" customFormat="1">
      <c r="A1009" s="85"/>
      <c r="B1009" s="99"/>
      <c r="C1009" s="11"/>
      <c r="K1009" s="77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1"/>
      <c r="AY1009" s="11"/>
      <c r="AZ1009" s="11"/>
      <c r="BA1009" s="11"/>
      <c r="BB1009" s="11"/>
      <c r="BC1009" s="11"/>
      <c r="BD1009" s="11"/>
      <c r="BE1009" s="11"/>
      <c r="BF1009" s="11"/>
      <c r="BG1009" s="11"/>
      <c r="BH1009" s="11"/>
      <c r="BI1009" s="11"/>
      <c r="BJ1009" s="11"/>
      <c r="BK1009" s="11"/>
      <c r="BL1009" s="11"/>
      <c r="BM1009" s="11"/>
      <c r="BN1009" s="11"/>
      <c r="BO1009" s="11"/>
      <c r="BP1009" s="11"/>
      <c r="BQ1009" s="11"/>
      <c r="BR1009" s="11"/>
      <c r="BS1009" s="11"/>
      <c r="BT1009" s="11"/>
      <c r="BU1009" s="11"/>
      <c r="BV1009" s="11"/>
      <c r="BW1009" s="11"/>
      <c r="BX1009" s="11"/>
      <c r="BY1009" s="11"/>
      <c r="BZ1009" s="11"/>
      <c r="CA1009" s="11"/>
      <c r="CB1009" s="11"/>
      <c r="CC1009" s="11"/>
      <c r="CD1009" s="11"/>
      <c r="CE1009" s="11"/>
      <c r="CF1009" s="11"/>
      <c r="CG1009" s="11"/>
      <c r="CH1009" s="11"/>
      <c r="CI1009" s="11"/>
      <c r="CJ1009" s="11"/>
      <c r="CK1009" s="11"/>
      <c r="CL1009" s="11"/>
      <c r="CM1009" s="11"/>
      <c r="CN1009" s="11"/>
      <c r="CO1009" s="11"/>
      <c r="CP1009" s="11"/>
      <c r="CQ1009" s="11"/>
      <c r="CR1009" s="11"/>
      <c r="CS1009" s="11"/>
      <c r="CT1009" s="11"/>
      <c r="CU1009" s="11"/>
      <c r="CV1009" s="11"/>
      <c r="CW1009" s="11"/>
      <c r="CX1009" s="11"/>
      <c r="CY1009" s="11"/>
      <c r="CZ1009" s="11"/>
      <c r="DA1009" s="11"/>
      <c r="DB1009" s="11"/>
      <c r="DC1009" s="11"/>
      <c r="DD1009" s="11"/>
      <c r="DE1009" s="11"/>
      <c r="DF1009" s="11"/>
      <c r="DG1009" s="11"/>
      <c r="DH1009" s="11"/>
      <c r="DI1009" s="11"/>
      <c r="DJ1009" s="11"/>
      <c r="DK1009" s="11"/>
      <c r="DL1009" s="11"/>
      <c r="DM1009" s="11"/>
      <c r="DN1009" s="11"/>
      <c r="DO1009" s="11"/>
      <c r="DP1009" s="11"/>
      <c r="DQ1009" s="11"/>
      <c r="DR1009" s="11"/>
      <c r="DS1009" s="11"/>
      <c r="DT1009" s="11"/>
      <c r="DU1009" s="11"/>
      <c r="DV1009" s="11"/>
      <c r="DW1009" s="11"/>
      <c r="DX1009" s="11"/>
      <c r="DY1009" s="11"/>
      <c r="DZ1009" s="11"/>
      <c r="EA1009" s="11"/>
      <c r="EB1009" s="11"/>
      <c r="EC1009" s="11"/>
      <c r="ED1009" s="11"/>
      <c r="EE1009" s="11"/>
      <c r="EF1009" s="11"/>
      <c r="EG1009" s="11"/>
      <c r="EH1009" s="11"/>
      <c r="EI1009" s="11"/>
    </row>
    <row r="1010" spans="1:139" s="52" customFormat="1">
      <c r="A1010" s="85"/>
      <c r="B1010" s="99"/>
      <c r="C1010" s="11"/>
      <c r="K1010" s="77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  <c r="AZ1010" s="11"/>
      <c r="BA1010" s="11"/>
      <c r="BB1010" s="11"/>
      <c r="BC1010" s="11"/>
      <c r="BD1010" s="11"/>
      <c r="BE1010" s="11"/>
      <c r="BF1010" s="11"/>
      <c r="BG1010" s="11"/>
      <c r="BH1010" s="11"/>
      <c r="BI1010" s="11"/>
      <c r="BJ1010" s="11"/>
      <c r="BK1010" s="11"/>
      <c r="BL1010" s="11"/>
      <c r="BM1010" s="11"/>
      <c r="BN1010" s="11"/>
      <c r="BO1010" s="11"/>
      <c r="BP1010" s="11"/>
      <c r="BQ1010" s="11"/>
      <c r="BR1010" s="11"/>
      <c r="BS1010" s="11"/>
      <c r="BT1010" s="11"/>
      <c r="BU1010" s="11"/>
      <c r="BV1010" s="11"/>
      <c r="BW1010" s="11"/>
      <c r="BX1010" s="11"/>
      <c r="BY1010" s="11"/>
      <c r="BZ1010" s="11"/>
      <c r="CA1010" s="11"/>
      <c r="CB1010" s="11"/>
      <c r="CC1010" s="11"/>
      <c r="CD1010" s="11"/>
      <c r="CE1010" s="11"/>
      <c r="CF1010" s="11"/>
      <c r="CG1010" s="11"/>
      <c r="CH1010" s="11"/>
      <c r="CI1010" s="11"/>
      <c r="CJ1010" s="11"/>
      <c r="CK1010" s="11"/>
      <c r="CL1010" s="11"/>
      <c r="CM1010" s="11"/>
      <c r="CN1010" s="11"/>
      <c r="CO1010" s="11"/>
      <c r="CP1010" s="11"/>
      <c r="CQ1010" s="11"/>
      <c r="CR1010" s="11"/>
      <c r="CS1010" s="11"/>
      <c r="CT1010" s="11"/>
      <c r="CU1010" s="11"/>
      <c r="CV1010" s="11"/>
      <c r="CW1010" s="11"/>
      <c r="CX1010" s="11"/>
      <c r="CY1010" s="11"/>
      <c r="CZ1010" s="11"/>
      <c r="DA1010" s="11"/>
      <c r="DB1010" s="11"/>
      <c r="DC1010" s="11"/>
      <c r="DD1010" s="11"/>
      <c r="DE1010" s="11"/>
      <c r="DF1010" s="11"/>
      <c r="DG1010" s="11"/>
      <c r="DH1010" s="11"/>
      <c r="DI1010" s="11"/>
      <c r="DJ1010" s="11"/>
      <c r="DK1010" s="11"/>
      <c r="DL1010" s="11"/>
      <c r="DM1010" s="11"/>
      <c r="DN1010" s="11"/>
      <c r="DO1010" s="11"/>
      <c r="DP1010" s="11"/>
      <c r="DQ1010" s="11"/>
      <c r="DR1010" s="11"/>
      <c r="DS1010" s="11"/>
      <c r="DT1010" s="11"/>
      <c r="DU1010" s="11"/>
      <c r="DV1010" s="11"/>
      <c r="DW1010" s="11"/>
      <c r="DX1010" s="11"/>
      <c r="DY1010" s="11"/>
      <c r="DZ1010" s="11"/>
      <c r="EA1010" s="11"/>
      <c r="EB1010" s="11"/>
      <c r="EC1010" s="11"/>
      <c r="ED1010" s="11"/>
      <c r="EE1010" s="11"/>
      <c r="EF1010" s="11"/>
      <c r="EG1010" s="11"/>
      <c r="EH1010" s="11"/>
      <c r="EI1010" s="11"/>
    </row>
    <row r="1011" spans="1:139" s="52" customFormat="1">
      <c r="A1011" s="85"/>
      <c r="B1011" s="99"/>
      <c r="C1011" s="11"/>
      <c r="K1011" s="77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1"/>
      <c r="AY1011" s="11"/>
      <c r="AZ1011" s="11"/>
      <c r="BA1011" s="11"/>
      <c r="BB1011" s="11"/>
      <c r="BC1011" s="11"/>
      <c r="BD1011" s="11"/>
      <c r="BE1011" s="11"/>
      <c r="BF1011" s="11"/>
      <c r="BG1011" s="11"/>
      <c r="BH1011" s="11"/>
      <c r="BI1011" s="11"/>
      <c r="BJ1011" s="11"/>
      <c r="BK1011" s="11"/>
      <c r="BL1011" s="11"/>
      <c r="BM1011" s="11"/>
      <c r="BN1011" s="11"/>
      <c r="BO1011" s="11"/>
      <c r="BP1011" s="11"/>
      <c r="BQ1011" s="11"/>
      <c r="BR1011" s="11"/>
      <c r="BS1011" s="11"/>
      <c r="BT1011" s="11"/>
      <c r="BU1011" s="11"/>
      <c r="BV1011" s="11"/>
      <c r="BW1011" s="11"/>
      <c r="BX1011" s="11"/>
      <c r="BY1011" s="11"/>
      <c r="BZ1011" s="11"/>
      <c r="CA1011" s="11"/>
      <c r="CB1011" s="11"/>
      <c r="CC1011" s="11"/>
      <c r="CD1011" s="11"/>
      <c r="CE1011" s="11"/>
      <c r="CF1011" s="11"/>
      <c r="CG1011" s="11"/>
      <c r="CH1011" s="11"/>
      <c r="CI1011" s="11"/>
      <c r="CJ1011" s="11"/>
      <c r="CK1011" s="11"/>
      <c r="CL1011" s="11"/>
      <c r="CM1011" s="11"/>
      <c r="CN1011" s="11"/>
      <c r="CO1011" s="11"/>
      <c r="CP1011" s="11"/>
      <c r="CQ1011" s="11"/>
      <c r="CR1011" s="11"/>
      <c r="CS1011" s="11"/>
      <c r="CT1011" s="11"/>
      <c r="CU1011" s="11"/>
      <c r="CV1011" s="11"/>
      <c r="CW1011" s="11"/>
      <c r="CX1011" s="11"/>
      <c r="CY1011" s="11"/>
      <c r="CZ1011" s="11"/>
      <c r="DA1011" s="11"/>
      <c r="DB1011" s="11"/>
      <c r="DC1011" s="11"/>
      <c r="DD1011" s="11"/>
      <c r="DE1011" s="11"/>
      <c r="DF1011" s="11"/>
      <c r="DG1011" s="11"/>
      <c r="DH1011" s="11"/>
      <c r="DI1011" s="11"/>
      <c r="DJ1011" s="11"/>
      <c r="DK1011" s="11"/>
      <c r="DL1011" s="11"/>
      <c r="DM1011" s="11"/>
      <c r="DN1011" s="11"/>
      <c r="DO1011" s="11"/>
      <c r="DP1011" s="11"/>
      <c r="DQ1011" s="11"/>
      <c r="DR1011" s="11"/>
      <c r="DS1011" s="11"/>
      <c r="DT1011" s="11"/>
      <c r="DU1011" s="11"/>
      <c r="DV1011" s="11"/>
      <c r="DW1011" s="11"/>
      <c r="DX1011" s="11"/>
      <c r="DY1011" s="11"/>
      <c r="DZ1011" s="11"/>
      <c r="EA1011" s="11"/>
      <c r="EB1011" s="11"/>
      <c r="EC1011" s="11"/>
      <c r="ED1011" s="11"/>
      <c r="EE1011" s="11"/>
      <c r="EF1011" s="11"/>
      <c r="EG1011" s="11"/>
      <c r="EH1011" s="11"/>
      <c r="EI1011" s="11"/>
    </row>
    <row r="1012" spans="1:139" s="52" customFormat="1">
      <c r="A1012" s="85"/>
      <c r="B1012" s="99"/>
      <c r="C1012" s="11"/>
      <c r="K1012" s="77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  <c r="AX1012" s="11"/>
      <c r="AY1012" s="11"/>
      <c r="AZ1012" s="11"/>
      <c r="BA1012" s="11"/>
      <c r="BB1012" s="11"/>
      <c r="BC1012" s="11"/>
      <c r="BD1012" s="11"/>
      <c r="BE1012" s="11"/>
      <c r="BF1012" s="11"/>
      <c r="BG1012" s="11"/>
      <c r="BH1012" s="11"/>
      <c r="BI1012" s="11"/>
      <c r="BJ1012" s="11"/>
      <c r="BK1012" s="11"/>
      <c r="BL1012" s="11"/>
      <c r="BM1012" s="11"/>
      <c r="BN1012" s="11"/>
      <c r="BO1012" s="11"/>
      <c r="BP1012" s="11"/>
      <c r="BQ1012" s="11"/>
      <c r="BR1012" s="11"/>
      <c r="BS1012" s="11"/>
      <c r="BT1012" s="11"/>
      <c r="BU1012" s="11"/>
      <c r="BV1012" s="11"/>
      <c r="BW1012" s="11"/>
      <c r="BX1012" s="11"/>
      <c r="BY1012" s="11"/>
      <c r="BZ1012" s="11"/>
      <c r="CA1012" s="11"/>
      <c r="CB1012" s="11"/>
      <c r="CC1012" s="11"/>
      <c r="CD1012" s="11"/>
      <c r="CE1012" s="11"/>
      <c r="CF1012" s="11"/>
      <c r="CG1012" s="11"/>
      <c r="CH1012" s="11"/>
      <c r="CI1012" s="11"/>
      <c r="CJ1012" s="11"/>
      <c r="CK1012" s="11"/>
      <c r="CL1012" s="11"/>
      <c r="CM1012" s="11"/>
      <c r="CN1012" s="11"/>
      <c r="CO1012" s="11"/>
      <c r="CP1012" s="11"/>
      <c r="CQ1012" s="11"/>
      <c r="CR1012" s="11"/>
      <c r="CS1012" s="11"/>
      <c r="CT1012" s="11"/>
      <c r="CU1012" s="11"/>
      <c r="CV1012" s="11"/>
      <c r="CW1012" s="11"/>
      <c r="CX1012" s="11"/>
      <c r="CY1012" s="11"/>
      <c r="CZ1012" s="11"/>
      <c r="DA1012" s="11"/>
      <c r="DB1012" s="11"/>
      <c r="DC1012" s="11"/>
      <c r="DD1012" s="11"/>
      <c r="DE1012" s="11"/>
      <c r="DF1012" s="11"/>
      <c r="DG1012" s="11"/>
      <c r="DH1012" s="11"/>
      <c r="DI1012" s="11"/>
      <c r="DJ1012" s="11"/>
      <c r="DK1012" s="11"/>
      <c r="DL1012" s="11"/>
      <c r="DM1012" s="11"/>
      <c r="DN1012" s="11"/>
      <c r="DO1012" s="11"/>
      <c r="DP1012" s="11"/>
      <c r="DQ1012" s="11"/>
      <c r="DR1012" s="11"/>
      <c r="DS1012" s="11"/>
      <c r="DT1012" s="11"/>
      <c r="DU1012" s="11"/>
      <c r="DV1012" s="11"/>
      <c r="DW1012" s="11"/>
      <c r="DX1012" s="11"/>
      <c r="DY1012" s="11"/>
      <c r="DZ1012" s="11"/>
      <c r="EA1012" s="11"/>
      <c r="EB1012" s="11"/>
      <c r="EC1012" s="11"/>
      <c r="ED1012" s="11"/>
      <c r="EE1012" s="11"/>
      <c r="EF1012" s="11"/>
      <c r="EG1012" s="11"/>
      <c r="EH1012" s="11"/>
      <c r="EI1012" s="11"/>
    </row>
    <row r="1013" spans="1:139" s="52" customFormat="1">
      <c r="A1013" s="85"/>
      <c r="B1013" s="99"/>
      <c r="C1013" s="11"/>
      <c r="K1013" s="77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1"/>
      <c r="AY1013" s="11"/>
      <c r="AZ1013" s="11"/>
      <c r="BA1013" s="11"/>
      <c r="BB1013" s="11"/>
      <c r="BC1013" s="11"/>
      <c r="BD1013" s="11"/>
      <c r="BE1013" s="11"/>
      <c r="BF1013" s="11"/>
      <c r="BG1013" s="11"/>
      <c r="BH1013" s="11"/>
      <c r="BI1013" s="11"/>
      <c r="BJ1013" s="11"/>
      <c r="BK1013" s="11"/>
      <c r="BL1013" s="11"/>
      <c r="BM1013" s="11"/>
      <c r="BN1013" s="11"/>
      <c r="BO1013" s="11"/>
      <c r="BP1013" s="11"/>
      <c r="BQ1013" s="11"/>
      <c r="BR1013" s="11"/>
      <c r="BS1013" s="11"/>
      <c r="BT1013" s="11"/>
      <c r="BU1013" s="11"/>
      <c r="BV1013" s="11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</row>
    <row r="1014" spans="1:139" s="52" customFormat="1">
      <c r="A1014" s="85"/>
      <c r="B1014" s="99"/>
      <c r="C1014" s="11"/>
      <c r="K1014" s="77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  <c r="AX1014" s="11"/>
      <c r="AY1014" s="11"/>
      <c r="AZ1014" s="11"/>
      <c r="BA1014" s="11"/>
      <c r="BB1014" s="11"/>
      <c r="BC1014" s="11"/>
      <c r="BD1014" s="11"/>
      <c r="BE1014" s="11"/>
      <c r="BF1014" s="11"/>
      <c r="BG1014" s="11"/>
      <c r="BH1014" s="11"/>
      <c r="BI1014" s="11"/>
      <c r="BJ1014" s="11"/>
      <c r="BK1014" s="11"/>
      <c r="BL1014" s="11"/>
      <c r="BM1014" s="11"/>
      <c r="BN1014" s="11"/>
      <c r="BO1014" s="11"/>
      <c r="BP1014" s="11"/>
      <c r="BQ1014" s="11"/>
      <c r="BR1014" s="11"/>
      <c r="BS1014" s="11"/>
      <c r="BT1014" s="11"/>
      <c r="BU1014" s="11"/>
      <c r="BV1014" s="11"/>
      <c r="BW1014" s="11"/>
      <c r="BX1014" s="11"/>
      <c r="BY1014" s="11"/>
      <c r="BZ1014" s="11"/>
      <c r="CA1014" s="11"/>
      <c r="CB1014" s="11"/>
      <c r="CC1014" s="11"/>
      <c r="CD1014" s="11"/>
      <c r="CE1014" s="11"/>
      <c r="CF1014" s="11"/>
      <c r="CG1014" s="11"/>
      <c r="CH1014" s="11"/>
      <c r="CI1014" s="11"/>
      <c r="CJ1014" s="11"/>
      <c r="CK1014" s="11"/>
      <c r="CL1014" s="11"/>
      <c r="CM1014" s="11"/>
      <c r="CN1014" s="11"/>
      <c r="CO1014" s="11"/>
      <c r="CP1014" s="11"/>
      <c r="CQ1014" s="11"/>
      <c r="CR1014" s="11"/>
      <c r="CS1014" s="11"/>
      <c r="CT1014" s="11"/>
      <c r="CU1014" s="11"/>
      <c r="CV1014" s="11"/>
      <c r="CW1014" s="11"/>
      <c r="CX1014" s="11"/>
      <c r="CY1014" s="11"/>
      <c r="CZ1014" s="11"/>
      <c r="DA1014" s="11"/>
      <c r="DB1014" s="11"/>
      <c r="DC1014" s="11"/>
      <c r="DD1014" s="11"/>
      <c r="DE1014" s="11"/>
      <c r="DF1014" s="11"/>
      <c r="DG1014" s="11"/>
      <c r="DH1014" s="11"/>
      <c r="DI1014" s="11"/>
      <c r="DJ1014" s="11"/>
      <c r="DK1014" s="11"/>
      <c r="DL1014" s="11"/>
      <c r="DM1014" s="11"/>
      <c r="DN1014" s="11"/>
      <c r="DO1014" s="11"/>
      <c r="DP1014" s="11"/>
      <c r="DQ1014" s="11"/>
      <c r="DR1014" s="11"/>
      <c r="DS1014" s="11"/>
      <c r="DT1014" s="11"/>
      <c r="DU1014" s="11"/>
      <c r="DV1014" s="11"/>
      <c r="DW1014" s="11"/>
      <c r="DX1014" s="11"/>
      <c r="DY1014" s="11"/>
      <c r="DZ1014" s="11"/>
      <c r="EA1014" s="11"/>
      <c r="EB1014" s="11"/>
      <c r="EC1014" s="11"/>
      <c r="ED1014" s="11"/>
      <c r="EE1014" s="11"/>
      <c r="EF1014" s="11"/>
      <c r="EG1014" s="11"/>
      <c r="EH1014" s="11"/>
      <c r="EI1014" s="11"/>
    </row>
    <row r="1015" spans="1:139" s="52" customFormat="1">
      <c r="A1015" s="85"/>
      <c r="B1015" s="99"/>
      <c r="C1015" s="11"/>
      <c r="K1015" s="77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1"/>
      <c r="AY1015" s="11"/>
      <c r="AZ1015" s="11"/>
      <c r="BA1015" s="11"/>
      <c r="BB1015" s="11"/>
      <c r="BC1015" s="11"/>
      <c r="BD1015" s="11"/>
      <c r="BE1015" s="11"/>
      <c r="BF1015" s="11"/>
      <c r="BG1015" s="11"/>
      <c r="BH1015" s="11"/>
      <c r="BI1015" s="11"/>
      <c r="BJ1015" s="11"/>
      <c r="BK1015" s="11"/>
      <c r="BL1015" s="11"/>
      <c r="BM1015" s="11"/>
      <c r="BN1015" s="11"/>
      <c r="BO1015" s="11"/>
      <c r="BP1015" s="11"/>
      <c r="BQ1015" s="11"/>
      <c r="BR1015" s="11"/>
      <c r="BS1015" s="11"/>
      <c r="BT1015" s="11"/>
      <c r="BU1015" s="11"/>
      <c r="BV1015" s="11"/>
      <c r="BW1015" s="11"/>
      <c r="BX1015" s="11"/>
      <c r="BY1015" s="11"/>
      <c r="BZ1015" s="11"/>
      <c r="CA1015" s="11"/>
      <c r="CB1015" s="11"/>
      <c r="CC1015" s="11"/>
      <c r="CD1015" s="11"/>
      <c r="CE1015" s="11"/>
      <c r="CF1015" s="11"/>
      <c r="CG1015" s="11"/>
      <c r="CH1015" s="11"/>
      <c r="CI1015" s="11"/>
      <c r="CJ1015" s="11"/>
      <c r="CK1015" s="11"/>
      <c r="CL1015" s="11"/>
      <c r="CM1015" s="11"/>
      <c r="CN1015" s="11"/>
      <c r="CO1015" s="11"/>
      <c r="CP1015" s="11"/>
      <c r="CQ1015" s="11"/>
      <c r="CR1015" s="11"/>
      <c r="CS1015" s="11"/>
      <c r="CT1015" s="11"/>
      <c r="CU1015" s="11"/>
      <c r="CV1015" s="11"/>
      <c r="CW1015" s="11"/>
      <c r="CX1015" s="11"/>
      <c r="CY1015" s="11"/>
      <c r="CZ1015" s="11"/>
      <c r="DA1015" s="11"/>
      <c r="DB1015" s="11"/>
      <c r="DC1015" s="11"/>
      <c r="DD1015" s="11"/>
      <c r="DE1015" s="11"/>
      <c r="DF1015" s="11"/>
      <c r="DG1015" s="11"/>
      <c r="DH1015" s="11"/>
      <c r="DI1015" s="11"/>
      <c r="DJ1015" s="11"/>
      <c r="DK1015" s="11"/>
      <c r="DL1015" s="11"/>
      <c r="DM1015" s="11"/>
      <c r="DN1015" s="11"/>
      <c r="DO1015" s="11"/>
      <c r="DP1015" s="11"/>
      <c r="DQ1015" s="11"/>
      <c r="DR1015" s="11"/>
      <c r="DS1015" s="11"/>
      <c r="DT1015" s="11"/>
      <c r="DU1015" s="11"/>
      <c r="DV1015" s="11"/>
      <c r="DW1015" s="11"/>
      <c r="DX1015" s="11"/>
      <c r="DY1015" s="11"/>
      <c r="DZ1015" s="11"/>
      <c r="EA1015" s="11"/>
      <c r="EB1015" s="11"/>
      <c r="EC1015" s="11"/>
      <c r="ED1015" s="11"/>
      <c r="EE1015" s="11"/>
      <c r="EF1015" s="11"/>
      <c r="EG1015" s="11"/>
      <c r="EH1015" s="11"/>
      <c r="EI1015" s="11"/>
    </row>
    <row r="1016" spans="1:139" s="52" customFormat="1">
      <c r="A1016" s="85"/>
      <c r="B1016" s="99"/>
      <c r="C1016" s="11"/>
      <c r="K1016" s="77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  <c r="AX1016" s="11"/>
      <c r="AY1016" s="11"/>
      <c r="AZ1016" s="11"/>
      <c r="BA1016" s="11"/>
      <c r="BB1016" s="11"/>
      <c r="BC1016" s="11"/>
      <c r="BD1016" s="11"/>
      <c r="BE1016" s="11"/>
      <c r="BF1016" s="11"/>
      <c r="BG1016" s="11"/>
      <c r="BH1016" s="11"/>
      <c r="BI1016" s="11"/>
      <c r="BJ1016" s="11"/>
      <c r="BK1016" s="11"/>
      <c r="BL1016" s="11"/>
      <c r="BM1016" s="11"/>
      <c r="BN1016" s="11"/>
      <c r="BO1016" s="11"/>
      <c r="BP1016" s="11"/>
      <c r="BQ1016" s="11"/>
      <c r="BR1016" s="11"/>
      <c r="BS1016" s="11"/>
      <c r="BT1016" s="11"/>
      <c r="BU1016" s="11"/>
      <c r="BV1016" s="11"/>
      <c r="BW1016" s="11"/>
      <c r="BX1016" s="11"/>
      <c r="BY1016" s="11"/>
      <c r="BZ1016" s="11"/>
      <c r="CA1016" s="11"/>
      <c r="CB1016" s="11"/>
      <c r="CC1016" s="11"/>
      <c r="CD1016" s="11"/>
      <c r="CE1016" s="11"/>
      <c r="CF1016" s="11"/>
      <c r="CG1016" s="11"/>
      <c r="CH1016" s="11"/>
      <c r="CI1016" s="11"/>
      <c r="CJ1016" s="11"/>
      <c r="CK1016" s="11"/>
      <c r="CL1016" s="11"/>
      <c r="CM1016" s="11"/>
      <c r="CN1016" s="11"/>
      <c r="CO1016" s="11"/>
      <c r="CP1016" s="11"/>
      <c r="CQ1016" s="11"/>
      <c r="CR1016" s="11"/>
      <c r="CS1016" s="11"/>
      <c r="CT1016" s="11"/>
      <c r="CU1016" s="11"/>
      <c r="CV1016" s="11"/>
      <c r="CW1016" s="11"/>
      <c r="CX1016" s="11"/>
      <c r="CY1016" s="11"/>
      <c r="CZ1016" s="11"/>
      <c r="DA1016" s="11"/>
      <c r="DB1016" s="11"/>
      <c r="DC1016" s="11"/>
      <c r="DD1016" s="11"/>
      <c r="DE1016" s="11"/>
      <c r="DF1016" s="11"/>
      <c r="DG1016" s="11"/>
      <c r="DH1016" s="11"/>
      <c r="DI1016" s="11"/>
      <c r="DJ1016" s="11"/>
      <c r="DK1016" s="11"/>
      <c r="DL1016" s="11"/>
      <c r="DM1016" s="11"/>
      <c r="DN1016" s="11"/>
      <c r="DO1016" s="11"/>
      <c r="DP1016" s="11"/>
      <c r="DQ1016" s="11"/>
      <c r="DR1016" s="11"/>
      <c r="DS1016" s="11"/>
      <c r="DT1016" s="11"/>
      <c r="DU1016" s="11"/>
      <c r="DV1016" s="11"/>
      <c r="DW1016" s="11"/>
      <c r="DX1016" s="11"/>
      <c r="DY1016" s="11"/>
      <c r="DZ1016" s="11"/>
      <c r="EA1016" s="11"/>
      <c r="EB1016" s="11"/>
      <c r="EC1016" s="11"/>
      <c r="ED1016" s="11"/>
      <c r="EE1016" s="11"/>
      <c r="EF1016" s="11"/>
      <c r="EG1016" s="11"/>
      <c r="EH1016" s="11"/>
      <c r="EI1016" s="11"/>
    </row>
    <row r="1017" spans="1:139" s="52" customFormat="1">
      <c r="A1017" s="85"/>
      <c r="B1017" s="99"/>
      <c r="C1017" s="11"/>
      <c r="K1017" s="77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1"/>
      <c r="AY1017" s="11"/>
      <c r="AZ1017" s="11"/>
      <c r="BA1017" s="11"/>
      <c r="BB1017" s="11"/>
      <c r="BC1017" s="11"/>
      <c r="BD1017" s="11"/>
      <c r="BE1017" s="11"/>
      <c r="BF1017" s="11"/>
      <c r="BG1017" s="11"/>
      <c r="BH1017" s="11"/>
      <c r="BI1017" s="11"/>
      <c r="BJ1017" s="11"/>
      <c r="BK1017" s="11"/>
      <c r="BL1017" s="11"/>
      <c r="BM1017" s="11"/>
      <c r="BN1017" s="11"/>
      <c r="BO1017" s="11"/>
      <c r="BP1017" s="11"/>
      <c r="BQ1017" s="11"/>
      <c r="BR1017" s="11"/>
      <c r="BS1017" s="11"/>
      <c r="BT1017" s="11"/>
      <c r="BU1017" s="11"/>
      <c r="BV1017" s="11"/>
      <c r="BW1017" s="11"/>
      <c r="BX1017" s="11"/>
      <c r="BY1017" s="11"/>
      <c r="BZ1017" s="11"/>
      <c r="CA1017" s="11"/>
      <c r="CB1017" s="11"/>
      <c r="CC1017" s="11"/>
      <c r="CD1017" s="11"/>
      <c r="CE1017" s="11"/>
      <c r="CF1017" s="11"/>
      <c r="CG1017" s="11"/>
      <c r="CH1017" s="11"/>
      <c r="CI1017" s="11"/>
      <c r="CJ1017" s="11"/>
      <c r="CK1017" s="11"/>
      <c r="CL1017" s="11"/>
      <c r="CM1017" s="11"/>
      <c r="CN1017" s="11"/>
      <c r="CO1017" s="11"/>
      <c r="CP1017" s="11"/>
      <c r="CQ1017" s="11"/>
      <c r="CR1017" s="11"/>
      <c r="CS1017" s="11"/>
      <c r="CT1017" s="11"/>
      <c r="CU1017" s="11"/>
      <c r="CV1017" s="11"/>
      <c r="CW1017" s="11"/>
      <c r="CX1017" s="11"/>
      <c r="CY1017" s="11"/>
      <c r="CZ1017" s="11"/>
      <c r="DA1017" s="11"/>
      <c r="DB1017" s="11"/>
      <c r="DC1017" s="11"/>
      <c r="DD1017" s="11"/>
      <c r="DE1017" s="11"/>
      <c r="DF1017" s="11"/>
      <c r="DG1017" s="11"/>
      <c r="DH1017" s="11"/>
      <c r="DI1017" s="11"/>
      <c r="DJ1017" s="11"/>
      <c r="DK1017" s="11"/>
      <c r="DL1017" s="11"/>
      <c r="DM1017" s="11"/>
      <c r="DN1017" s="11"/>
      <c r="DO1017" s="11"/>
      <c r="DP1017" s="11"/>
      <c r="DQ1017" s="11"/>
      <c r="DR1017" s="11"/>
      <c r="DS1017" s="11"/>
      <c r="DT1017" s="11"/>
      <c r="DU1017" s="11"/>
      <c r="DV1017" s="11"/>
      <c r="DW1017" s="11"/>
      <c r="DX1017" s="11"/>
      <c r="DY1017" s="11"/>
      <c r="DZ1017" s="11"/>
      <c r="EA1017" s="11"/>
      <c r="EB1017" s="11"/>
      <c r="EC1017" s="11"/>
      <c r="ED1017" s="11"/>
      <c r="EE1017" s="11"/>
      <c r="EF1017" s="11"/>
      <c r="EG1017" s="11"/>
      <c r="EH1017" s="11"/>
      <c r="EI1017" s="11"/>
    </row>
    <row r="1018" spans="1:139" s="52" customFormat="1">
      <c r="A1018" s="85"/>
      <c r="B1018" s="99"/>
      <c r="C1018" s="11"/>
      <c r="K1018" s="77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1"/>
      <c r="AY1018" s="11"/>
      <c r="AZ1018" s="11"/>
      <c r="BA1018" s="11"/>
      <c r="BB1018" s="11"/>
      <c r="BC1018" s="11"/>
      <c r="BD1018" s="11"/>
      <c r="BE1018" s="11"/>
      <c r="BF1018" s="11"/>
      <c r="BG1018" s="11"/>
      <c r="BH1018" s="11"/>
      <c r="BI1018" s="11"/>
      <c r="BJ1018" s="11"/>
      <c r="BK1018" s="11"/>
      <c r="BL1018" s="11"/>
      <c r="BM1018" s="11"/>
      <c r="BN1018" s="11"/>
      <c r="BO1018" s="11"/>
      <c r="BP1018" s="11"/>
      <c r="BQ1018" s="11"/>
      <c r="BR1018" s="11"/>
      <c r="BS1018" s="11"/>
      <c r="BT1018" s="11"/>
      <c r="BU1018" s="11"/>
      <c r="BV1018" s="11"/>
      <c r="BW1018" s="11"/>
      <c r="BX1018" s="11"/>
      <c r="BY1018" s="11"/>
      <c r="BZ1018" s="11"/>
      <c r="CA1018" s="11"/>
      <c r="CB1018" s="11"/>
      <c r="CC1018" s="11"/>
      <c r="CD1018" s="11"/>
      <c r="CE1018" s="11"/>
      <c r="CF1018" s="11"/>
      <c r="CG1018" s="11"/>
      <c r="CH1018" s="11"/>
      <c r="CI1018" s="11"/>
      <c r="CJ1018" s="11"/>
      <c r="CK1018" s="11"/>
      <c r="CL1018" s="11"/>
      <c r="CM1018" s="11"/>
      <c r="CN1018" s="11"/>
      <c r="CO1018" s="11"/>
      <c r="CP1018" s="11"/>
      <c r="CQ1018" s="11"/>
      <c r="CR1018" s="11"/>
      <c r="CS1018" s="11"/>
      <c r="CT1018" s="11"/>
      <c r="CU1018" s="11"/>
      <c r="CV1018" s="11"/>
      <c r="CW1018" s="11"/>
      <c r="CX1018" s="11"/>
      <c r="CY1018" s="11"/>
      <c r="CZ1018" s="11"/>
      <c r="DA1018" s="11"/>
      <c r="DB1018" s="11"/>
      <c r="DC1018" s="11"/>
      <c r="DD1018" s="11"/>
      <c r="DE1018" s="11"/>
      <c r="DF1018" s="11"/>
      <c r="DG1018" s="11"/>
      <c r="DH1018" s="11"/>
      <c r="DI1018" s="11"/>
      <c r="DJ1018" s="11"/>
      <c r="DK1018" s="11"/>
      <c r="DL1018" s="11"/>
      <c r="DM1018" s="11"/>
      <c r="DN1018" s="11"/>
      <c r="DO1018" s="11"/>
      <c r="DP1018" s="11"/>
      <c r="DQ1018" s="11"/>
      <c r="DR1018" s="11"/>
      <c r="DS1018" s="11"/>
      <c r="DT1018" s="11"/>
      <c r="DU1018" s="11"/>
      <c r="DV1018" s="11"/>
      <c r="DW1018" s="11"/>
      <c r="DX1018" s="11"/>
      <c r="DY1018" s="11"/>
      <c r="DZ1018" s="11"/>
      <c r="EA1018" s="11"/>
      <c r="EB1018" s="11"/>
      <c r="EC1018" s="11"/>
      <c r="ED1018" s="11"/>
      <c r="EE1018" s="11"/>
      <c r="EF1018" s="11"/>
      <c r="EG1018" s="11"/>
      <c r="EH1018" s="11"/>
      <c r="EI1018" s="11"/>
    </row>
    <row r="1019" spans="1:139" s="52" customFormat="1">
      <c r="A1019" s="85"/>
      <c r="B1019" s="99"/>
      <c r="C1019" s="11"/>
      <c r="K1019" s="77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11"/>
      <c r="BF1019" s="11"/>
      <c r="BG1019" s="11"/>
      <c r="BH1019" s="11"/>
      <c r="BI1019" s="11"/>
      <c r="BJ1019" s="11"/>
      <c r="BK1019" s="11"/>
      <c r="BL1019" s="11"/>
      <c r="BM1019" s="11"/>
      <c r="BN1019" s="11"/>
      <c r="BO1019" s="11"/>
      <c r="BP1019" s="11"/>
      <c r="BQ1019" s="11"/>
      <c r="BR1019" s="11"/>
      <c r="BS1019" s="11"/>
      <c r="BT1019" s="11"/>
      <c r="BU1019" s="11"/>
      <c r="BV1019" s="11"/>
      <c r="BW1019" s="11"/>
      <c r="BX1019" s="11"/>
      <c r="BY1019" s="11"/>
      <c r="BZ1019" s="11"/>
      <c r="CA1019" s="11"/>
      <c r="CB1019" s="11"/>
      <c r="CC1019" s="11"/>
      <c r="CD1019" s="11"/>
      <c r="CE1019" s="11"/>
      <c r="CF1019" s="11"/>
      <c r="CG1019" s="11"/>
      <c r="CH1019" s="11"/>
      <c r="CI1019" s="11"/>
      <c r="CJ1019" s="11"/>
      <c r="CK1019" s="11"/>
      <c r="CL1019" s="11"/>
      <c r="CM1019" s="11"/>
      <c r="CN1019" s="11"/>
      <c r="CO1019" s="11"/>
      <c r="CP1019" s="11"/>
      <c r="CQ1019" s="11"/>
      <c r="CR1019" s="11"/>
      <c r="CS1019" s="11"/>
      <c r="CT1019" s="11"/>
      <c r="CU1019" s="11"/>
      <c r="CV1019" s="11"/>
      <c r="CW1019" s="11"/>
      <c r="CX1019" s="11"/>
      <c r="CY1019" s="11"/>
      <c r="CZ1019" s="11"/>
      <c r="DA1019" s="11"/>
      <c r="DB1019" s="11"/>
      <c r="DC1019" s="11"/>
      <c r="DD1019" s="11"/>
      <c r="DE1019" s="11"/>
      <c r="DF1019" s="11"/>
      <c r="DG1019" s="11"/>
      <c r="DH1019" s="11"/>
      <c r="DI1019" s="11"/>
      <c r="DJ1019" s="11"/>
      <c r="DK1019" s="11"/>
      <c r="DL1019" s="11"/>
      <c r="DM1019" s="11"/>
      <c r="DN1019" s="11"/>
      <c r="DO1019" s="11"/>
      <c r="DP1019" s="11"/>
      <c r="DQ1019" s="11"/>
      <c r="DR1019" s="11"/>
      <c r="DS1019" s="11"/>
      <c r="DT1019" s="11"/>
      <c r="DU1019" s="11"/>
      <c r="DV1019" s="11"/>
      <c r="DW1019" s="11"/>
      <c r="DX1019" s="11"/>
      <c r="DY1019" s="11"/>
      <c r="DZ1019" s="11"/>
      <c r="EA1019" s="11"/>
      <c r="EB1019" s="11"/>
      <c r="EC1019" s="11"/>
      <c r="ED1019" s="11"/>
      <c r="EE1019" s="11"/>
      <c r="EF1019" s="11"/>
      <c r="EG1019" s="11"/>
      <c r="EH1019" s="11"/>
      <c r="EI1019" s="11"/>
    </row>
    <row r="1020" spans="1:139" s="52" customFormat="1">
      <c r="A1020" s="85"/>
      <c r="B1020" s="99"/>
      <c r="C1020" s="11"/>
      <c r="K1020" s="77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  <c r="AX1020" s="11"/>
      <c r="AY1020" s="11"/>
      <c r="AZ1020" s="11"/>
      <c r="BA1020" s="11"/>
      <c r="BB1020" s="11"/>
      <c r="BC1020" s="11"/>
      <c r="BD1020" s="11"/>
      <c r="BE1020" s="11"/>
      <c r="BF1020" s="11"/>
      <c r="BG1020" s="11"/>
      <c r="BH1020" s="11"/>
      <c r="BI1020" s="11"/>
      <c r="BJ1020" s="11"/>
      <c r="BK1020" s="11"/>
      <c r="BL1020" s="11"/>
      <c r="BM1020" s="11"/>
      <c r="BN1020" s="11"/>
      <c r="BO1020" s="11"/>
      <c r="BP1020" s="11"/>
      <c r="BQ1020" s="11"/>
      <c r="BR1020" s="11"/>
      <c r="BS1020" s="11"/>
      <c r="BT1020" s="11"/>
      <c r="BU1020" s="11"/>
      <c r="BV1020" s="11"/>
      <c r="BW1020" s="11"/>
      <c r="BX1020" s="11"/>
      <c r="BY1020" s="11"/>
      <c r="BZ1020" s="11"/>
      <c r="CA1020" s="11"/>
      <c r="CB1020" s="11"/>
      <c r="CC1020" s="11"/>
      <c r="CD1020" s="11"/>
      <c r="CE1020" s="11"/>
      <c r="CF1020" s="11"/>
      <c r="CG1020" s="11"/>
      <c r="CH1020" s="11"/>
      <c r="CI1020" s="11"/>
      <c r="CJ1020" s="11"/>
      <c r="CK1020" s="11"/>
      <c r="CL1020" s="11"/>
      <c r="CM1020" s="11"/>
      <c r="CN1020" s="11"/>
      <c r="CO1020" s="11"/>
      <c r="CP1020" s="11"/>
      <c r="CQ1020" s="11"/>
      <c r="CR1020" s="11"/>
      <c r="CS1020" s="11"/>
      <c r="CT1020" s="11"/>
      <c r="CU1020" s="11"/>
      <c r="CV1020" s="11"/>
      <c r="CW1020" s="11"/>
      <c r="CX1020" s="11"/>
      <c r="CY1020" s="11"/>
      <c r="CZ1020" s="11"/>
      <c r="DA1020" s="11"/>
      <c r="DB1020" s="11"/>
      <c r="DC1020" s="11"/>
      <c r="DD1020" s="11"/>
      <c r="DE1020" s="11"/>
      <c r="DF1020" s="11"/>
      <c r="DG1020" s="11"/>
      <c r="DH1020" s="11"/>
      <c r="DI1020" s="11"/>
      <c r="DJ1020" s="11"/>
      <c r="DK1020" s="11"/>
      <c r="DL1020" s="11"/>
      <c r="DM1020" s="11"/>
      <c r="DN1020" s="11"/>
      <c r="DO1020" s="11"/>
      <c r="DP1020" s="11"/>
      <c r="DQ1020" s="11"/>
      <c r="DR1020" s="11"/>
      <c r="DS1020" s="11"/>
      <c r="DT1020" s="11"/>
      <c r="DU1020" s="11"/>
      <c r="DV1020" s="11"/>
      <c r="DW1020" s="11"/>
      <c r="DX1020" s="11"/>
      <c r="DY1020" s="11"/>
      <c r="DZ1020" s="11"/>
      <c r="EA1020" s="11"/>
      <c r="EB1020" s="11"/>
      <c r="EC1020" s="11"/>
      <c r="ED1020" s="11"/>
      <c r="EE1020" s="11"/>
      <c r="EF1020" s="11"/>
      <c r="EG1020" s="11"/>
      <c r="EH1020" s="11"/>
      <c r="EI1020" s="11"/>
    </row>
    <row r="1021" spans="1:139" s="52" customFormat="1">
      <c r="A1021" s="85"/>
      <c r="B1021" s="99"/>
      <c r="C1021" s="11"/>
      <c r="K1021" s="77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  <c r="AX1021" s="11"/>
      <c r="AY1021" s="11"/>
      <c r="AZ1021" s="11"/>
      <c r="BA1021" s="11"/>
      <c r="BB1021" s="11"/>
      <c r="BC1021" s="11"/>
      <c r="BD1021" s="11"/>
      <c r="BE1021" s="11"/>
      <c r="BF1021" s="11"/>
      <c r="BG1021" s="11"/>
      <c r="BH1021" s="11"/>
      <c r="BI1021" s="11"/>
      <c r="BJ1021" s="11"/>
      <c r="BK1021" s="11"/>
      <c r="BL1021" s="11"/>
      <c r="BM1021" s="11"/>
      <c r="BN1021" s="11"/>
      <c r="BO1021" s="11"/>
      <c r="BP1021" s="11"/>
      <c r="BQ1021" s="11"/>
      <c r="BR1021" s="11"/>
      <c r="BS1021" s="11"/>
      <c r="BT1021" s="11"/>
      <c r="BU1021" s="11"/>
      <c r="BV1021" s="11"/>
      <c r="BW1021" s="11"/>
      <c r="BX1021" s="11"/>
      <c r="BY1021" s="11"/>
      <c r="BZ1021" s="11"/>
      <c r="CA1021" s="11"/>
      <c r="CB1021" s="11"/>
      <c r="CC1021" s="11"/>
      <c r="CD1021" s="11"/>
      <c r="CE1021" s="11"/>
      <c r="CF1021" s="11"/>
      <c r="CG1021" s="11"/>
      <c r="CH1021" s="11"/>
      <c r="CI1021" s="11"/>
      <c r="CJ1021" s="11"/>
      <c r="CK1021" s="11"/>
      <c r="CL1021" s="11"/>
      <c r="CM1021" s="11"/>
      <c r="CN1021" s="11"/>
      <c r="CO1021" s="11"/>
      <c r="CP1021" s="11"/>
      <c r="CQ1021" s="11"/>
      <c r="CR1021" s="11"/>
      <c r="CS1021" s="11"/>
      <c r="CT1021" s="11"/>
      <c r="CU1021" s="11"/>
      <c r="CV1021" s="11"/>
      <c r="CW1021" s="11"/>
      <c r="CX1021" s="11"/>
      <c r="CY1021" s="11"/>
      <c r="CZ1021" s="11"/>
      <c r="DA1021" s="11"/>
      <c r="DB1021" s="11"/>
      <c r="DC1021" s="11"/>
      <c r="DD1021" s="11"/>
      <c r="DE1021" s="11"/>
      <c r="DF1021" s="11"/>
      <c r="DG1021" s="11"/>
      <c r="DH1021" s="11"/>
      <c r="DI1021" s="11"/>
      <c r="DJ1021" s="11"/>
      <c r="DK1021" s="11"/>
      <c r="DL1021" s="11"/>
      <c r="DM1021" s="11"/>
      <c r="DN1021" s="11"/>
      <c r="DO1021" s="11"/>
      <c r="DP1021" s="11"/>
      <c r="DQ1021" s="11"/>
      <c r="DR1021" s="11"/>
      <c r="DS1021" s="11"/>
      <c r="DT1021" s="11"/>
      <c r="DU1021" s="11"/>
      <c r="DV1021" s="11"/>
      <c r="DW1021" s="11"/>
      <c r="DX1021" s="11"/>
      <c r="DY1021" s="11"/>
      <c r="DZ1021" s="11"/>
      <c r="EA1021" s="11"/>
      <c r="EB1021" s="11"/>
      <c r="EC1021" s="11"/>
      <c r="ED1021" s="11"/>
      <c r="EE1021" s="11"/>
      <c r="EF1021" s="11"/>
      <c r="EG1021" s="11"/>
      <c r="EH1021" s="11"/>
      <c r="EI1021" s="11"/>
    </row>
    <row r="1022" spans="1:139" s="52" customFormat="1">
      <c r="A1022" s="85"/>
      <c r="B1022" s="99"/>
      <c r="C1022" s="11"/>
      <c r="K1022" s="77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  <c r="AZ1022" s="11"/>
      <c r="BA1022" s="11"/>
      <c r="BB1022" s="11"/>
      <c r="BC1022" s="11"/>
      <c r="BD1022" s="11"/>
      <c r="BE1022" s="11"/>
      <c r="BF1022" s="11"/>
      <c r="BG1022" s="11"/>
      <c r="BH1022" s="11"/>
      <c r="BI1022" s="11"/>
      <c r="BJ1022" s="11"/>
      <c r="BK1022" s="11"/>
      <c r="BL1022" s="11"/>
      <c r="BM1022" s="11"/>
      <c r="BN1022" s="11"/>
      <c r="BO1022" s="11"/>
      <c r="BP1022" s="11"/>
      <c r="BQ1022" s="11"/>
      <c r="BR1022" s="11"/>
      <c r="BS1022" s="11"/>
      <c r="BT1022" s="11"/>
      <c r="BU1022" s="11"/>
      <c r="BV1022" s="11"/>
      <c r="BW1022" s="11"/>
      <c r="BX1022" s="11"/>
      <c r="BY1022" s="11"/>
      <c r="BZ1022" s="11"/>
      <c r="CA1022" s="11"/>
      <c r="CB1022" s="11"/>
      <c r="CC1022" s="11"/>
      <c r="CD1022" s="11"/>
      <c r="CE1022" s="11"/>
      <c r="CF1022" s="11"/>
      <c r="CG1022" s="11"/>
      <c r="CH1022" s="11"/>
      <c r="CI1022" s="11"/>
      <c r="CJ1022" s="11"/>
      <c r="CK1022" s="11"/>
      <c r="CL1022" s="11"/>
      <c r="CM1022" s="11"/>
      <c r="CN1022" s="11"/>
      <c r="CO1022" s="11"/>
      <c r="CP1022" s="11"/>
      <c r="CQ1022" s="11"/>
      <c r="CR1022" s="11"/>
      <c r="CS1022" s="11"/>
      <c r="CT1022" s="11"/>
      <c r="CU1022" s="11"/>
      <c r="CV1022" s="11"/>
      <c r="CW1022" s="11"/>
      <c r="CX1022" s="11"/>
      <c r="CY1022" s="11"/>
      <c r="CZ1022" s="11"/>
      <c r="DA1022" s="11"/>
      <c r="DB1022" s="11"/>
      <c r="DC1022" s="11"/>
      <c r="DD1022" s="11"/>
      <c r="DE1022" s="11"/>
      <c r="DF1022" s="11"/>
      <c r="DG1022" s="11"/>
      <c r="DH1022" s="11"/>
      <c r="DI1022" s="11"/>
      <c r="DJ1022" s="11"/>
      <c r="DK1022" s="11"/>
      <c r="DL1022" s="11"/>
      <c r="DM1022" s="11"/>
      <c r="DN1022" s="11"/>
      <c r="DO1022" s="11"/>
      <c r="DP1022" s="11"/>
      <c r="DQ1022" s="11"/>
      <c r="DR1022" s="11"/>
      <c r="DS1022" s="11"/>
      <c r="DT1022" s="11"/>
      <c r="DU1022" s="11"/>
      <c r="DV1022" s="11"/>
      <c r="DW1022" s="11"/>
      <c r="DX1022" s="11"/>
      <c r="DY1022" s="11"/>
      <c r="DZ1022" s="11"/>
      <c r="EA1022" s="11"/>
      <c r="EB1022" s="11"/>
      <c r="EC1022" s="11"/>
      <c r="ED1022" s="11"/>
      <c r="EE1022" s="11"/>
      <c r="EF1022" s="11"/>
      <c r="EG1022" s="11"/>
      <c r="EH1022" s="11"/>
      <c r="EI1022" s="11"/>
    </row>
    <row r="1023" spans="1:139" s="52" customFormat="1">
      <c r="A1023" s="85"/>
      <c r="B1023" s="99"/>
      <c r="C1023" s="11"/>
      <c r="K1023" s="77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1"/>
      <c r="AY1023" s="11"/>
      <c r="AZ1023" s="11"/>
      <c r="BA1023" s="11"/>
      <c r="BB1023" s="11"/>
      <c r="BC1023" s="11"/>
      <c r="BD1023" s="11"/>
      <c r="BE1023" s="11"/>
      <c r="BF1023" s="11"/>
      <c r="BG1023" s="11"/>
      <c r="BH1023" s="11"/>
      <c r="BI1023" s="11"/>
      <c r="BJ1023" s="11"/>
      <c r="BK1023" s="11"/>
      <c r="BL1023" s="11"/>
      <c r="BM1023" s="11"/>
      <c r="BN1023" s="11"/>
      <c r="BO1023" s="11"/>
      <c r="BP1023" s="11"/>
      <c r="BQ1023" s="11"/>
      <c r="BR1023" s="11"/>
      <c r="BS1023" s="11"/>
      <c r="BT1023" s="11"/>
      <c r="BU1023" s="11"/>
      <c r="BV1023" s="11"/>
      <c r="BW1023" s="11"/>
      <c r="BX1023" s="11"/>
      <c r="BY1023" s="11"/>
      <c r="BZ1023" s="11"/>
      <c r="CA1023" s="11"/>
      <c r="CB1023" s="11"/>
      <c r="CC1023" s="11"/>
      <c r="CD1023" s="11"/>
      <c r="CE1023" s="11"/>
      <c r="CF1023" s="11"/>
      <c r="CG1023" s="11"/>
      <c r="CH1023" s="11"/>
      <c r="CI1023" s="11"/>
      <c r="CJ1023" s="11"/>
      <c r="CK1023" s="11"/>
      <c r="CL1023" s="11"/>
      <c r="CM1023" s="11"/>
      <c r="CN1023" s="11"/>
      <c r="CO1023" s="11"/>
      <c r="CP1023" s="11"/>
      <c r="CQ1023" s="11"/>
      <c r="CR1023" s="11"/>
      <c r="CS1023" s="11"/>
      <c r="CT1023" s="11"/>
      <c r="CU1023" s="11"/>
      <c r="CV1023" s="11"/>
      <c r="CW1023" s="11"/>
      <c r="CX1023" s="11"/>
      <c r="CY1023" s="11"/>
      <c r="CZ1023" s="11"/>
      <c r="DA1023" s="11"/>
      <c r="DB1023" s="11"/>
      <c r="DC1023" s="11"/>
      <c r="DD1023" s="11"/>
      <c r="DE1023" s="11"/>
      <c r="DF1023" s="11"/>
      <c r="DG1023" s="11"/>
      <c r="DH1023" s="11"/>
      <c r="DI1023" s="11"/>
      <c r="DJ1023" s="11"/>
      <c r="DK1023" s="11"/>
      <c r="DL1023" s="11"/>
      <c r="DM1023" s="11"/>
      <c r="DN1023" s="11"/>
      <c r="DO1023" s="11"/>
      <c r="DP1023" s="11"/>
      <c r="DQ1023" s="11"/>
      <c r="DR1023" s="11"/>
      <c r="DS1023" s="11"/>
      <c r="DT1023" s="11"/>
      <c r="DU1023" s="11"/>
      <c r="DV1023" s="11"/>
      <c r="DW1023" s="11"/>
      <c r="DX1023" s="11"/>
      <c r="DY1023" s="11"/>
      <c r="DZ1023" s="11"/>
      <c r="EA1023" s="11"/>
      <c r="EB1023" s="11"/>
      <c r="EC1023" s="11"/>
      <c r="ED1023" s="11"/>
      <c r="EE1023" s="11"/>
      <c r="EF1023" s="11"/>
      <c r="EG1023" s="11"/>
      <c r="EH1023" s="11"/>
      <c r="EI1023" s="11"/>
    </row>
    <row r="1024" spans="1:139" s="52" customFormat="1">
      <c r="A1024" s="85"/>
      <c r="B1024" s="99"/>
      <c r="C1024" s="11"/>
      <c r="K1024" s="77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  <c r="AX1024" s="11"/>
      <c r="AY1024" s="11"/>
      <c r="AZ1024" s="11"/>
      <c r="BA1024" s="11"/>
      <c r="BB1024" s="11"/>
      <c r="BC1024" s="11"/>
      <c r="BD1024" s="11"/>
      <c r="BE1024" s="11"/>
      <c r="BF1024" s="11"/>
      <c r="BG1024" s="11"/>
      <c r="BH1024" s="11"/>
      <c r="BI1024" s="11"/>
      <c r="BJ1024" s="11"/>
      <c r="BK1024" s="11"/>
      <c r="BL1024" s="11"/>
      <c r="BM1024" s="11"/>
      <c r="BN1024" s="11"/>
      <c r="BO1024" s="11"/>
      <c r="BP1024" s="11"/>
      <c r="BQ1024" s="11"/>
      <c r="BR1024" s="11"/>
      <c r="BS1024" s="11"/>
      <c r="BT1024" s="11"/>
      <c r="BU1024" s="11"/>
      <c r="BV1024" s="11"/>
      <c r="BW1024" s="11"/>
      <c r="BX1024" s="11"/>
      <c r="BY1024" s="11"/>
      <c r="BZ1024" s="11"/>
      <c r="CA1024" s="11"/>
      <c r="CB1024" s="11"/>
      <c r="CC1024" s="11"/>
      <c r="CD1024" s="11"/>
      <c r="CE1024" s="11"/>
      <c r="CF1024" s="11"/>
      <c r="CG1024" s="11"/>
      <c r="CH1024" s="11"/>
      <c r="CI1024" s="11"/>
      <c r="CJ1024" s="11"/>
      <c r="CK1024" s="11"/>
      <c r="CL1024" s="11"/>
      <c r="CM1024" s="11"/>
      <c r="CN1024" s="11"/>
      <c r="CO1024" s="11"/>
      <c r="CP1024" s="11"/>
      <c r="CQ1024" s="11"/>
      <c r="CR1024" s="11"/>
      <c r="CS1024" s="11"/>
      <c r="CT1024" s="11"/>
      <c r="CU1024" s="11"/>
      <c r="CV1024" s="11"/>
      <c r="CW1024" s="11"/>
      <c r="CX1024" s="11"/>
      <c r="CY1024" s="11"/>
      <c r="CZ1024" s="11"/>
      <c r="DA1024" s="11"/>
      <c r="DB1024" s="11"/>
      <c r="DC1024" s="11"/>
      <c r="DD1024" s="11"/>
      <c r="DE1024" s="11"/>
      <c r="DF1024" s="11"/>
      <c r="DG1024" s="11"/>
      <c r="DH1024" s="11"/>
      <c r="DI1024" s="11"/>
      <c r="DJ1024" s="11"/>
      <c r="DK1024" s="11"/>
      <c r="DL1024" s="11"/>
      <c r="DM1024" s="11"/>
      <c r="DN1024" s="11"/>
      <c r="DO1024" s="11"/>
      <c r="DP1024" s="11"/>
      <c r="DQ1024" s="11"/>
      <c r="DR1024" s="11"/>
      <c r="DS1024" s="11"/>
      <c r="DT1024" s="11"/>
      <c r="DU1024" s="11"/>
      <c r="DV1024" s="11"/>
      <c r="DW1024" s="11"/>
      <c r="DX1024" s="11"/>
      <c r="DY1024" s="11"/>
      <c r="DZ1024" s="11"/>
      <c r="EA1024" s="11"/>
      <c r="EB1024" s="11"/>
      <c r="EC1024" s="11"/>
      <c r="ED1024" s="11"/>
      <c r="EE1024" s="11"/>
      <c r="EF1024" s="11"/>
      <c r="EG1024" s="11"/>
      <c r="EH1024" s="11"/>
      <c r="EI1024" s="11"/>
    </row>
    <row r="1025" spans="1:139" s="52" customFormat="1">
      <c r="A1025" s="85"/>
      <c r="B1025" s="99"/>
      <c r="C1025" s="11"/>
      <c r="K1025" s="77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  <c r="AZ1025" s="11"/>
      <c r="BA1025" s="11"/>
      <c r="BB1025" s="11"/>
      <c r="BC1025" s="11"/>
      <c r="BD1025" s="11"/>
      <c r="BE1025" s="11"/>
      <c r="BF1025" s="11"/>
      <c r="BG1025" s="11"/>
      <c r="BH1025" s="11"/>
      <c r="BI1025" s="11"/>
      <c r="BJ1025" s="11"/>
      <c r="BK1025" s="11"/>
      <c r="BL1025" s="11"/>
      <c r="BM1025" s="11"/>
      <c r="BN1025" s="11"/>
      <c r="BO1025" s="11"/>
      <c r="BP1025" s="11"/>
      <c r="BQ1025" s="11"/>
      <c r="BR1025" s="11"/>
      <c r="BS1025" s="11"/>
      <c r="BT1025" s="11"/>
      <c r="BU1025" s="11"/>
      <c r="BV1025" s="11"/>
      <c r="BW1025" s="11"/>
      <c r="BX1025" s="11"/>
      <c r="BY1025" s="11"/>
      <c r="BZ1025" s="11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</row>
    <row r="1026" spans="1:139" s="52" customFormat="1">
      <c r="A1026" s="85"/>
      <c r="B1026" s="99"/>
      <c r="C1026" s="11"/>
      <c r="K1026" s="77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  <c r="AX1026" s="11"/>
      <c r="AY1026" s="11"/>
      <c r="AZ1026" s="11"/>
      <c r="BA1026" s="11"/>
      <c r="BB1026" s="11"/>
      <c r="BC1026" s="11"/>
      <c r="BD1026" s="11"/>
      <c r="BE1026" s="11"/>
      <c r="BF1026" s="11"/>
      <c r="BG1026" s="11"/>
      <c r="BH1026" s="11"/>
      <c r="BI1026" s="11"/>
      <c r="BJ1026" s="11"/>
      <c r="BK1026" s="11"/>
      <c r="BL1026" s="11"/>
      <c r="BM1026" s="11"/>
      <c r="BN1026" s="11"/>
      <c r="BO1026" s="11"/>
      <c r="BP1026" s="11"/>
      <c r="BQ1026" s="11"/>
      <c r="BR1026" s="11"/>
      <c r="BS1026" s="11"/>
      <c r="BT1026" s="11"/>
      <c r="BU1026" s="11"/>
      <c r="BV1026" s="11"/>
      <c r="BW1026" s="11"/>
      <c r="BX1026" s="11"/>
      <c r="BY1026" s="11"/>
      <c r="BZ1026" s="11"/>
      <c r="CA1026" s="11"/>
      <c r="CB1026" s="11"/>
      <c r="CC1026" s="11"/>
      <c r="CD1026" s="11"/>
      <c r="CE1026" s="11"/>
      <c r="CF1026" s="11"/>
      <c r="CG1026" s="11"/>
      <c r="CH1026" s="11"/>
      <c r="CI1026" s="11"/>
      <c r="CJ1026" s="11"/>
      <c r="CK1026" s="11"/>
      <c r="CL1026" s="11"/>
      <c r="CM1026" s="11"/>
      <c r="CN1026" s="11"/>
      <c r="CO1026" s="11"/>
      <c r="CP1026" s="11"/>
      <c r="CQ1026" s="11"/>
      <c r="CR1026" s="11"/>
      <c r="CS1026" s="11"/>
      <c r="CT1026" s="11"/>
      <c r="CU1026" s="11"/>
      <c r="CV1026" s="11"/>
      <c r="CW1026" s="11"/>
      <c r="CX1026" s="11"/>
      <c r="CY1026" s="11"/>
      <c r="CZ1026" s="11"/>
      <c r="DA1026" s="11"/>
      <c r="DB1026" s="11"/>
      <c r="DC1026" s="11"/>
      <c r="DD1026" s="11"/>
      <c r="DE1026" s="11"/>
      <c r="DF1026" s="11"/>
      <c r="DG1026" s="11"/>
      <c r="DH1026" s="11"/>
      <c r="DI1026" s="11"/>
      <c r="DJ1026" s="11"/>
      <c r="DK1026" s="11"/>
      <c r="DL1026" s="11"/>
      <c r="DM1026" s="11"/>
      <c r="DN1026" s="11"/>
      <c r="DO1026" s="11"/>
      <c r="DP1026" s="11"/>
      <c r="DQ1026" s="11"/>
      <c r="DR1026" s="11"/>
      <c r="DS1026" s="11"/>
      <c r="DT1026" s="11"/>
      <c r="DU1026" s="11"/>
      <c r="DV1026" s="11"/>
      <c r="DW1026" s="11"/>
      <c r="DX1026" s="11"/>
      <c r="DY1026" s="11"/>
      <c r="DZ1026" s="11"/>
      <c r="EA1026" s="11"/>
      <c r="EB1026" s="11"/>
      <c r="EC1026" s="11"/>
      <c r="ED1026" s="11"/>
      <c r="EE1026" s="11"/>
      <c r="EF1026" s="11"/>
      <c r="EG1026" s="11"/>
      <c r="EH1026" s="11"/>
      <c r="EI1026" s="11"/>
    </row>
    <row r="1027" spans="1:139" s="52" customFormat="1">
      <c r="A1027" s="85"/>
      <c r="B1027" s="99"/>
      <c r="C1027" s="11"/>
      <c r="K1027" s="77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/>
      <c r="BE1027" s="11"/>
      <c r="BF1027" s="11"/>
      <c r="BG1027" s="11"/>
      <c r="BH1027" s="11"/>
      <c r="BI1027" s="11"/>
      <c r="BJ1027" s="11"/>
      <c r="BK1027" s="11"/>
      <c r="BL1027" s="11"/>
      <c r="BM1027" s="11"/>
      <c r="BN1027" s="11"/>
      <c r="BO1027" s="11"/>
      <c r="BP1027" s="11"/>
      <c r="BQ1027" s="11"/>
      <c r="BR1027" s="11"/>
      <c r="BS1027" s="11"/>
      <c r="BT1027" s="11"/>
      <c r="BU1027" s="11"/>
      <c r="BV1027" s="11"/>
      <c r="BW1027" s="11"/>
      <c r="BX1027" s="11"/>
      <c r="BY1027" s="11"/>
      <c r="BZ1027" s="11"/>
      <c r="CA1027" s="11"/>
      <c r="CB1027" s="11"/>
      <c r="CC1027" s="11"/>
      <c r="CD1027" s="11"/>
      <c r="CE1027" s="11"/>
      <c r="CF1027" s="11"/>
      <c r="CG1027" s="11"/>
      <c r="CH1027" s="11"/>
      <c r="CI1027" s="11"/>
      <c r="CJ1027" s="11"/>
      <c r="CK1027" s="11"/>
      <c r="CL1027" s="11"/>
      <c r="CM1027" s="11"/>
      <c r="CN1027" s="11"/>
      <c r="CO1027" s="11"/>
      <c r="CP1027" s="11"/>
      <c r="CQ1027" s="11"/>
      <c r="CR1027" s="11"/>
      <c r="CS1027" s="11"/>
      <c r="CT1027" s="11"/>
      <c r="CU1027" s="11"/>
      <c r="CV1027" s="11"/>
      <c r="CW1027" s="11"/>
      <c r="CX1027" s="11"/>
      <c r="CY1027" s="11"/>
      <c r="CZ1027" s="11"/>
      <c r="DA1027" s="11"/>
      <c r="DB1027" s="11"/>
      <c r="DC1027" s="11"/>
      <c r="DD1027" s="11"/>
      <c r="DE1027" s="11"/>
      <c r="DF1027" s="11"/>
      <c r="DG1027" s="11"/>
      <c r="DH1027" s="11"/>
      <c r="DI1027" s="11"/>
      <c r="DJ1027" s="11"/>
      <c r="DK1027" s="11"/>
      <c r="DL1027" s="11"/>
      <c r="DM1027" s="11"/>
      <c r="DN1027" s="11"/>
      <c r="DO1027" s="11"/>
      <c r="DP1027" s="11"/>
      <c r="DQ1027" s="11"/>
      <c r="DR1027" s="11"/>
      <c r="DS1027" s="11"/>
      <c r="DT1027" s="11"/>
      <c r="DU1027" s="11"/>
      <c r="DV1027" s="11"/>
      <c r="DW1027" s="11"/>
      <c r="DX1027" s="11"/>
      <c r="DY1027" s="11"/>
      <c r="DZ1027" s="11"/>
      <c r="EA1027" s="11"/>
      <c r="EB1027" s="11"/>
      <c r="EC1027" s="11"/>
      <c r="ED1027" s="11"/>
      <c r="EE1027" s="11"/>
      <c r="EF1027" s="11"/>
      <c r="EG1027" s="11"/>
      <c r="EH1027" s="11"/>
      <c r="EI1027" s="11"/>
    </row>
    <row r="1028" spans="1:139" s="52" customFormat="1">
      <c r="A1028" s="85"/>
      <c r="B1028" s="99"/>
      <c r="C1028" s="11"/>
      <c r="K1028" s="77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/>
      <c r="BE1028" s="11"/>
      <c r="BF1028" s="11"/>
      <c r="BG1028" s="11"/>
      <c r="BH1028" s="11"/>
      <c r="BI1028" s="11"/>
      <c r="BJ1028" s="11"/>
      <c r="BK1028" s="11"/>
      <c r="BL1028" s="11"/>
      <c r="BM1028" s="11"/>
      <c r="BN1028" s="11"/>
      <c r="BO1028" s="11"/>
      <c r="BP1028" s="11"/>
      <c r="BQ1028" s="11"/>
      <c r="BR1028" s="11"/>
      <c r="BS1028" s="11"/>
      <c r="BT1028" s="11"/>
      <c r="BU1028" s="11"/>
      <c r="BV1028" s="11"/>
      <c r="BW1028" s="11"/>
      <c r="BX1028" s="11"/>
      <c r="BY1028" s="11"/>
      <c r="BZ1028" s="11"/>
      <c r="CA1028" s="11"/>
      <c r="CB1028" s="11"/>
      <c r="CC1028" s="11"/>
      <c r="CD1028" s="11"/>
      <c r="CE1028" s="11"/>
      <c r="CF1028" s="11"/>
      <c r="CG1028" s="11"/>
      <c r="CH1028" s="11"/>
      <c r="CI1028" s="11"/>
      <c r="CJ1028" s="11"/>
      <c r="CK1028" s="11"/>
      <c r="CL1028" s="11"/>
      <c r="CM1028" s="11"/>
      <c r="CN1028" s="11"/>
      <c r="CO1028" s="11"/>
      <c r="CP1028" s="11"/>
      <c r="CQ1028" s="11"/>
      <c r="CR1028" s="11"/>
      <c r="CS1028" s="11"/>
      <c r="CT1028" s="11"/>
      <c r="CU1028" s="11"/>
      <c r="CV1028" s="11"/>
      <c r="CW1028" s="11"/>
      <c r="CX1028" s="11"/>
      <c r="CY1028" s="11"/>
      <c r="CZ1028" s="11"/>
      <c r="DA1028" s="11"/>
      <c r="DB1028" s="11"/>
      <c r="DC1028" s="11"/>
      <c r="DD1028" s="11"/>
      <c r="DE1028" s="11"/>
      <c r="DF1028" s="11"/>
      <c r="DG1028" s="11"/>
      <c r="DH1028" s="11"/>
      <c r="DI1028" s="11"/>
      <c r="DJ1028" s="11"/>
      <c r="DK1028" s="11"/>
      <c r="DL1028" s="11"/>
      <c r="DM1028" s="11"/>
      <c r="DN1028" s="11"/>
      <c r="DO1028" s="11"/>
      <c r="DP1028" s="11"/>
      <c r="DQ1028" s="11"/>
      <c r="DR1028" s="11"/>
      <c r="DS1028" s="11"/>
      <c r="DT1028" s="11"/>
      <c r="DU1028" s="11"/>
      <c r="DV1028" s="11"/>
      <c r="DW1028" s="11"/>
      <c r="DX1028" s="11"/>
      <c r="DY1028" s="11"/>
      <c r="DZ1028" s="11"/>
      <c r="EA1028" s="11"/>
      <c r="EB1028" s="11"/>
      <c r="EC1028" s="11"/>
      <c r="ED1028" s="11"/>
      <c r="EE1028" s="11"/>
      <c r="EF1028" s="11"/>
      <c r="EG1028" s="11"/>
      <c r="EH1028" s="11"/>
      <c r="EI1028" s="11"/>
    </row>
    <row r="1029" spans="1:139" s="52" customFormat="1">
      <c r="A1029" s="85"/>
      <c r="B1029" s="99"/>
      <c r="C1029" s="11"/>
      <c r="K1029" s="77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/>
      <c r="BE1029" s="11"/>
      <c r="BF1029" s="11"/>
      <c r="BG1029" s="11"/>
      <c r="BH1029" s="11"/>
      <c r="BI1029" s="11"/>
      <c r="BJ1029" s="11"/>
      <c r="BK1029" s="11"/>
      <c r="BL1029" s="11"/>
      <c r="BM1029" s="11"/>
      <c r="BN1029" s="11"/>
      <c r="BO1029" s="11"/>
      <c r="BP1029" s="11"/>
      <c r="BQ1029" s="11"/>
      <c r="BR1029" s="11"/>
      <c r="BS1029" s="11"/>
      <c r="BT1029" s="11"/>
      <c r="BU1029" s="11"/>
      <c r="BV1029" s="11"/>
      <c r="BW1029" s="11"/>
      <c r="BX1029" s="11"/>
      <c r="BY1029" s="11"/>
      <c r="BZ1029" s="11"/>
      <c r="CA1029" s="11"/>
      <c r="CB1029" s="11"/>
      <c r="CC1029" s="11"/>
      <c r="CD1029" s="11"/>
      <c r="CE1029" s="11"/>
      <c r="CF1029" s="11"/>
      <c r="CG1029" s="11"/>
      <c r="CH1029" s="11"/>
      <c r="CI1029" s="11"/>
      <c r="CJ1029" s="11"/>
      <c r="CK1029" s="11"/>
      <c r="CL1029" s="11"/>
      <c r="CM1029" s="11"/>
      <c r="CN1029" s="11"/>
      <c r="CO1029" s="11"/>
      <c r="CP1029" s="11"/>
      <c r="CQ1029" s="11"/>
      <c r="CR1029" s="11"/>
      <c r="CS1029" s="11"/>
      <c r="CT1029" s="11"/>
      <c r="CU1029" s="11"/>
      <c r="CV1029" s="11"/>
      <c r="CW1029" s="11"/>
      <c r="CX1029" s="11"/>
      <c r="CY1029" s="11"/>
      <c r="CZ1029" s="11"/>
      <c r="DA1029" s="11"/>
      <c r="DB1029" s="11"/>
      <c r="DC1029" s="11"/>
      <c r="DD1029" s="11"/>
      <c r="DE1029" s="11"/>
      <c r="DF1029" s="11"/>
      <c r="DG1029" s="11"/>
      <c r="DH1029" s="11"/>
      <c r="DI1029" s="11"/>
      <c r="DJ1029" s="11"/>
      <c r="DK1029" s="11"/>
      <c r="DL1029" s="11"/>
      <c r="DM1029" s="11"/>
      <c r="DN1029" s="11"/>
      <c r="DO1029" s="11"/>
      <c r="DP1029" s="11"/>
      <c r="DQ1029" s="11"/>
      <c r="DR1029" s="11"/>
      <c r="DS1029" s="11"/>
      <c r="DT1029" s="11"/>
      <c r="DU1029" s="11"/>
      <c r="DV1029" s="11"/>
      <c r="DW1029" s="11"/>
      <c r="DX1029" s="11"/>
      <c r="DY1029" s="11"/>
      <c r="DZ1029" s="11"/>
      <c r="EA1029" s="11"/>
      <c r="EB1029" s="11"/>
      <c r="EC1029" s="11"/>
      <c r="ED1029" s="11"/>
      <c r="EE1029" s="11"/>
      <c r="EF1029" s="11"/>
      <c r="EG1029" s="11"/>
      <c r="EH1029" s="11"/>
      <c r="EI1029" s="11"/>
    </row>
    <row r="1030" spans="1:139" s="52" customFormat="1">
      <c r="A1030" s="85"/>
      <c r="B1030" s="99"/>
      <c r="C1030" s="11"/>
      <c r="K1030" s="77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/>
      <c r="BE1030" s="11"/>
      <c r="BF1030" s="11"/>
      <c r="BG1030" s="11"/>
      <c r="BH1030" s="11"/>
      <c r="BI1030" s="11"/>
      <c r="BJ1030" s="11"/>
      <c r="BK1030" s="11"/>
      <c r="BL1030" s="11"/>
      <c r="BM1030" s="11"/>
      <c r="BN1030" s="11"/>
      <c r="BO1030" s="11"/>
      <c r="BP1030" s="11"/>
      <c r="BQ1030" s="11"/>
      <c r="BR1030" s="11"/>
      <c r="BS1030" s="11"/>
      <c r="BT1030" s="11"/>
      <c r="BU1030" s="11"/>
      <c r="BV1030" s="11"/>
      <c r="BW1030" s="11"/>
      <c r="BX1030" s="11"/>
      <c r="BY1030" s="11"/>
      <c r="BZ1030" s="11"/>
      <c r="CA1030" s="11"/>
      <c r="CB1030" s="11"/>
      <c r="CC1030" s="11"/>
      <c r="CD1030" s="11"/>
      <c r="CE1030" s="11"/>
      <c r="CF1030" s="11"/>
      <c r="CG1030" s="11"/>
      <c r="CH1030" s="11"/>
      <c r="CI1030" s="11"/>
      <c r="CJ1030" s="11"/>
      <c r="CK1030" s="11"/>
      <c r="CL1030" s="11"/>
      <c r="CM1030" s="11"/>
      <c r="CN1030" s="11"/>
      <c r="CO1030" s="11"/>
      <c r="CP1030" s="11"/>
      <c r="CQ1030" s="11"/>
      <c r="CR1030" s="11"/>
      <c r="CS1030" s="11"/>
      <c r="CT1030" s="11"/>
      <c r="CU1030" s="11"/>
      <c r="CV1030" s="11"/>
      <c r="CW1030" s="11"/>
      <c r="CX1030" s="11"/>
      <c r="CY1030" s="11"/>
      <c r="CZ1030" s="11"/>
      <c r="DA1030" s="11"/>
      <c r="DB1030" s="11"/>
      <c r="DC1030" s="11"/>
      <c r="DD1030" s="11"/>
      <c r="DE1030" s="11"/>
      <c r="DF1030" s="11"/>
      <c r="DG1030" s="11"/>
      <c r="DH1030" s="11"/>
      <c r="DI1030" s="11"/>
      <c r="DJ1030" s="11"/>
      <c r="DK1030" s="11"/>
      <c r="DL1030" s="11"/>
      <c r="DM1030" s="11"/>
      <c r="DN1030" s="11"/>
      <c r="DO1030" s="11"/>
      <c r="DP1030" s="11"/>
      <c r="DQ1030" s="11"/>
      <c r="DR1030" s="11"/>
      <c r="DS1030" s="11"/>
      <c r="DT1030" s="11"/>
      <c r="DU1030" s="11"/>
      <c r="DV1030" s="11"/>
      <c r="DW1030" s="11"/>
      <c r="DX1030" s="11"/>
      <c r="DY1030" s="11"/>
      <c r="DZ1030" s="11"/>
      <c r="EA1030" s="11"/>
      <c r="EB1030" s="11"/>
      <c r="EC1030" s="11"/>
      <c r="ED1030" s="11"/>
      <c r="EE1030" s="11"/>
      <c r="EF1030" s="11"/>
      <c r="EG1030" s="11"/>
      <c r="EH1030" s="11"/>
      <c r="EI1030" s="11"/>
    </row>
    <row r="1031" spans="1:139" s="52" customFormat="1">
      <c r="A1031" s="85"/>
      <c r="B1031" s="99"/>
      <c r="C1031" s="11"/>
      <c r="K1031" s="77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  <c r="AZ1031" s="11"/>
      <c r="BA1031" s="11"/>
      <c r="BB1031" s="11"/>
      <c r="BC1031" s="11"/>
      <c r="BD1031" s="11"/>
      <c r="BE1031" s="11"/>
      <c r="BF1031" s="11"/>
      <c r="BG1031" s="11"/>
      <c r="BH1031" s="11"/>
      <c r="BI1031" s="11"/>
      <c r="BJ1031" s="11"/>
      <c r="BK1031" s="11"/>
      <c r="BL1031" s="11"/>
      <c r="BM1031" s="11"/>
      <c r="BN1031" s="11"/>
      <c r="BO1031" s="11"/>
      <c r="BP1031" s="11"/>
      <c r="BQ1031" s="11"/>
      <c r="BR1031" s="11"/>
      <c r="BS1031" s="11"/>
      <c r="BT1031" s="11"/>
      <c r="BU1031" s="11"/>
      <c r="BV1031" s="11"/>
      <c r="BW1031" s="11"/>
      <c r="BX1031" s="11"/>
      <c r="BY1031" s="11"/>
      <c r="BZ1031" s="11"/>
      <c r="CA1031" s="11"/>
      <c r="CB1031" s="11"/>
      <c r="CC1031" s="11"/>
      <c r="CD1031" s="11"/>
      <c r="CE1031" s="11"/>
      <c r="CF1031" s="11"/>
      <c r="CG1031" s="11"/>
      <c r="CH1031" s="11"/>
      <c r="CI1031" s="11"/>
      <c r="CJ1031" s="11"/>
      <c r="CK1031" s="11"/>
      <c r="CL1031" s="11"/>
      <c r="CM1031" s="11"/>
      <c r="CN1031" s="11"/>
      <c r="CO1031" s="11"/>
      <c r="CP1031" s="11"/>
      <c r="CQ1031" s="11"/>
      <c r="CR1031" s="11"/>
      <c r="CS1031" s="11"/>
      <c r="CT1031" s="11"/>
      <c r="CU1031" s="11"/>
      <c r="CV1031" s="11"/>
      <c r="CW1031" s="11"/>
      <c r="CX1031" s="11"/>
      <c r="CY1031" s="11"/>
      <c r="CZ1031" s="11"/>
      <c r="DA1031" s="11"/>
      <c r="DB1031" s="11"/>
      <c r="DC1031" s="11"/>
      <c r="DD1031" s="11"/>
      <c r="DE1031" s="11"/>
      <c r="DF1031" s="11"/>
      <c r="DG1031" s="11"/>
      <c r="DH1031" s="11"/>
      <c r="DI1031" s="11"/>
      <c r="DJ1031" s="11"/>
      <c r="DK1031" s="11"/>
      <c r="DL1031" s="11"/>
      <c r="DM1031" s="11"/>
      <c r="DN1031" s="11"/>
      <c r="DO1031" s="11"/>
      <c r="DP1031" s="11"/>
      <c r="DQ1031" s="11"/>
      <c r="DR1031" s="11"/>
      <c r="DS1031" s="11"/>
      <c r="DT1031" s="11"/>
      <c r="DU1031" s="11"/>
      <c r="DV1031" s="11"/>
      <c r="DW1031" s="11"/>
      <c r="DX1031" s="11"/>
      <c r="DY1031" s="11"/>
      <c r="DZ1031" s="11"/>
      <c r="EA1031" s="11"/>
      <c r="EB1031" s="11"/>
      <c r="EC1031" s="11"/>
      <c r="ED1031" s="11"/>
      <c r="EE1031" s="11"/>
      <c r="EF1031" s="11"/>
      <c r="EG1031" s="11"/>
      <c r="EH1031" s="11"/>
      <c r="EI1031" s="11"/>
    </row>
    <row r="1032" spans="1:139" s="52" customFormat="1">
      <c r="A1032" s="85"/>
      <c r="B1032" s="99"/>
      <c r="C1032" s="11"/>
      <c r="K1032" s="77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  <c r="AW1032" s="11"/>
      <c r="AX1032" s="11"/>
      <c r="AY1032" s="11"/>
      <c r="AZ1032" s="11"/>
      <c r="BA1032" s="11"/>
      <c r="BB1032" s="11"/>
      <c r="BC1032" s="11"/>
      <c r="BD1032" s="11"/>
      <c r="BE1032" s="11"/>
      <c r="BF1032" s="11"/>
      <c r="BG1032" s="11"/>
      <c r="BH1032" s="11"/>
      <c r="BI1032" s="11"/>
      <c r="BJ1032" s="11"/>
      <c r="BK1032" s="11"/>
      <c r="BL1032" s="11"/>
      <c r="BM1032" s="11"/>
      <c r="BN1032" s="11"/>
      <c r="BO1032" s="11"/>
      <c r="BP1032" s="11"/>
      <c r="BQ1032" s="11"/>
      <c r="BR1032" s="11"/>
      <c r="BS1032" s="11"/>
      <c r="BT1032" s="11"/>
      <c r="BU1032" s="11"/>
      <c r="BV1032" s="11"/>
      <c r="BW1032" s="11"/>
      <c r="BX1032" s="11"/>
      <c r="BY1032" s="11"/>
      <c r="BZ1032" s="11"/>
      <c r="CA1032" s="11"/>
      <c r="CB1032" s="11"/>
      <c r="CC1032" s="11"/>
      <c r="CD1032" s="11"/>
      <c r="CE1032" s="11"/>
      <c r="CF1032" s="11"/>
      <c r="CG1032" s="11"/>
      <c r="CH1032" s="11"/>
      <c r="CI1032" s="11"/>
      <c r="CJ1032" s="11"/>
      <c r="CK1032" s="11"/>
      <c r="CL1032" s="11"/>
      <c r="CM1032" s="11"/>
      <c r="CN1032" s="11"/>
      <c r="CO1032" s="11"/>
      <c r="CP1032" s="11"/>
      <c r="CQ1032" s="11"/>
      <c r="CR1032" s="11"/>
      <c r="CS1032" s="11"/>
      <c r="CT1032" s="11"/>
      <c r="CU1032" s="11"/>
      <c r="CV1032" s="11"/>
      <c r="CW1032" s="11"/>
      <c r="CX1032" s="11"/>
      <c r="CY1032" s="11"/>
      <c r="CZ1032" s="11"/>
      <c r="DA1032" s="11"/>
      <c r="DB1032" s="11"/>
      <c r="DC1032" s="11"/>
      <c r="DD1032" s="11"/>
      <c r="DE1032" s="11"/>
      <c r="DF1032" s="11"/>
      <c r="DG1032" s="11"/>
      <c r="DH1032" s="11"/>
      <c r="DI1032" s="11"/>
      <c r="DJ1032" s="11"/>
      <c r="DK1032" s="11"/>
      <c r="DL1032" s="11"/>
      <c r="DM1032" s="11"/>
      <c r="DN1032" s="11"/>
      <c r="DO1032" s="11"/>
      <c r="DP1032" s="11"/>
      <c r="DQ1032" s="11"/>
      <c r="DR1032" s="11"/>
      <c r="DS1032" s="11"/>
      <c r="DT1032" s="11"/>
      <c r="DU1032" s="11"/>
      <c r="DV1032" s="11"/>
      <c r="DW1032" s="11"/>
      <c r="DX1032" s="11"/>
      <c r="DY1032" s="11"/>
      <c r="DZ1032" s="11"/>
      <c r="EA1032" s="11"/>
      <c r="EB1032" s="11"/>
      <c r="EC1032" s="11"/>
      <c r="ED1032" s="11"/>
      <c r="EE1032" s="11"/>
      <c r="EF1032" s="11"/>
      <c r="EG1032" s="11"/>
      <c r="EH1032" s="11"/>
      <c r="EI1032" s="11"/>
    </row>
    <row r="1033" spans="1:139" s="52" customFormat="1">
      <c r="A1033" s="85"/>
      <c r="B1033" s="99"/>
      <c r="C1033" s="11"/>
      <c r="K1033" s="77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  <c r="AX1033" s="11"/>
      <c r="AY1033" s="11"/>
      <c r="AZ1033" s="11"/>
      <c r="BA1033" s="11"/>
      <c r="BB1033" s="11"/>
      <c r="BC1033" s="11"/>
      <c r="BD1033" s="11"/>
      <c r="BE1033" s="11"/>
      <c r="BF1033" s="11"/>
      <c r="BG1033" s="11"/>
      <c r="BH1033" s="11"/>
      <c r="BI1033" s="11"/>
      <c r="BJ1033" s="11"/>
      <c r="BK1033" s="11"/>
      <c r="BL1033" s="11"/>
      <c r="BM1033" s="11"/>
      <c r="BN1033" s="11"/>
      <c r="BO1033" s="11"/>
      <c r="BP1033" s="11"/>
      <c r="BQ1033" s="11"/>
      <c r="BR1033" s="11"/>
      <c r="BS1033" s="11"/>
      <c r="BT1033" s="11"/>
      <c r="BU1033" s="11"/>
      <c r="BV1033" s="11"/>
      <c r="BW1033" s="11"/>
      <c r="BX1033" s="11"/>
      <c r="BY1033" s="11"/>
      <c r="BZ1033" s="11"/>
      <c r="CA1033" s="11"/>
      <c r="CB1033" s="11"/>
      <c r="CC1033" s="11"/>
      <c r="CD1033" s="11"/>
      <c r="CE1033" s="11"/>
      <c r="CF1033" s="11"/>
      <c r="CG1033" s="11"/>
      <c r="CH1033" s="11"/>
      <c r="CI1033" s="11"/>
      <c r="CJ1033" s="11"/>
      <c r="CK1033" s="11"/>
      <c r="CL1033" s="11"/>
      <c r="CM1033" s="11"/>
      <c r="CN1033" s="11"/>
      <c r="CO1033" s="11"/>
      <c r="CP1033" s="11"/>
      <c r="CQ1033" s="11"/>
      <c r="CR1033" s="11"/>
      <c r="CS1033" s="11"/>
      <c r="CT1033" s="11"/>
      <c r="CU1033" s="11"/>
      <c r="CV1033" s="11"/>
      <c r="CW1033" s="11"/>
      <c r="CX1033" s="11"/>
      <c r="CY1033" s="11"/>
      <c r="CZ1033" s="11"/>
      <c r="DA1033" s="11"/>
      <c r="DB1033" s="11"/>
      <c r="DC1033" s="11"/>
      <c r="DD1033" s="11"/>
      <c r="DE1033" s="11"/>
      <c r="DF1033" s="11"/>
      <c r="DG1033" s="11"/>
      <c r="DH1033" s="11"/>
      <c r="DI1033" s="11"/>
      <c r="DJ1033" s="11"/>
      <c r="DK1033" s="11"/>
      <c r="DL1033" s="11"/>
      <c r="DM1033" s="11"/>
      <c r="DN1033" s="11"/>
      <c r="DO1033" s="11"/>
      <c r="DP1033" s="11"/>
      <c r="DQ1033" s="11"/>
      <c r="DR1033" s="11"/>
      <c r="DS1033" s="11"/>
      <c r="DT1033" s="11"/>
      <c r="DU1033" s="11"/>
      <c r="DV1033" s="11"/>
      <c r="DW1033" s="11"/>
      <c r="DX1033" s="11"/>
      <c r="DY1033" s="11"/>
      <c r="DZ1033" s="11"/>
      <c r="EA1033" s="11"/>
      <c r="EB1033" s="11"/>
      <c r="EC1033" s="11"/>
      <c r="ED1033" s="11"/>
      <c r="EE1033" s="11"/>
      <c r="EF1033" s="11"/>
      <c r="EG1033" s="11"/>
      <c r="EH1033" s="11"/>
      <c r="EI1033" s="11"/>
    </row>
    <row r="1034" spans="1:139" s="52" customFormat="1">
      <c r="A1034" s="85"/>
      <c r="B1034" s="99"/>
      <c r="C1034" s="11"/>
      <c r="K1034" s="77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1"/>
      <c r="AY1034" s="11"/>
      <c r="AZ1034" s="11"/>
      <c r="BA1034" s="11"/>
      <c r="BB1034" s="11"/>
      <c r="BC1034" s="11"/>
      <c r="BD1034" s="11"/>
      <c r="BE1034" s="11"/>
      <c r="BF1034" s="11"/>
      <c r="BG1034" s="11"/>
      <c r="BH1034" s="11"/>
      <c r="BI1034" s="11"/>
      <c r="BJ1034" s="11"/>
      <c r="BK1034" s="11"/>
      <c r="BL1034" s="11"/>
      <c r="BM1034" s="11"/>
      <c r="BN1034" s="11"/>
      <c r="BO1034" s="11"/>
      <c r="BP1034" s="11"/>
      <c r="BQ1034" s="11"/>
      <c r="BR1034" s="11"/>
      <c r="BS1034" s="11"/>
      <c r="BT1034" s="11"/>
      <c r="BU1034" s="11"/>
      <c r="BV1034" s="11"/>
      <c r="BW1034" s="11"/>
      <c r="BX1034" s="11"/>
      <c r="BY1034" s="11"/>
      <c r="BZ1034" s="11"/>
      <c r="CA1034" s="11"/>
      <c r="CB1034" s="11"/>
      <c r="CC1034" s="11"/>
      <c r="CD1034" s="11"/>
      <c r="CE1034" s="11"/>
      <c r="CF1034" s="11"/>
      <c r="CG1034" s="11"/>
      <c r="CH1034" s="11"/>
      <c r="CI1034" s="11"/>
      <c r="CJ1034" s="11"/>
      <c r="CK1034" s="11"/>
      <c r="CL1034" s="11"/>
      <c r="CM1034" s="11"/>
      <c r="CN1034" s="11"/>
      <c r="CO1034" s="11"/>
      <c r="CP1034" s="11"/>
      <c r="CQ1034" s="11"/>
      <c r="CR1034" s="11"/>
      <c r="CS1034" s="11"/>
      <c r="CT1034" s="11"/>
      <c r="CU1034" s="11"/>
      <c r="CV1034" s="11"/>
      <c r="CW1034" s="11"/>
      <c r="CX1034" s="11"/>
      <c r="CY1034" s="11"/>
      <c r="CZ1034" s="11"/>
      <c r="DA1034" s="11"/>
      <c r="DB1034" s="11"/>
      <c r="DC1034" s="11"/>
      <c r="DD1034" s="11"/>
      <c r="DE1034" s="11"/>
      <c r="DF1034" s="11"/>
      <c r="DG1034" s="11"/>
      <c r="DH1034" s="11"/>
      <c r="DI1034" s="11"/>
      <c r="DJ1034" s="11"/>
      <c r="DK1034" s="11"/>
      <c r="DL1034" s="11"/>
      <c r="DM1034" s="11"/>
      <c r="DN1034" s="11"/>
      <c r="DO1034" s="11"/>
      <c r="DP1034" s="11"/>
      <c r="DQ1034" s="11"/>
      <c r="DR1034" s="11"/>
      <c r="DS1034" s="11"/>
      <c r="DT1034" s="11"/>
      <c r="DU1034" s="11"/>
      <c r="DV1034" s="11"/>
      <c r="DW1034" s="11"/>
      <c r="DX1034" s="11"/>
      <c r="DY1034" s="11"/>
      <c r="DZ1034" s="11"/>
      <c r="EA1034" s="11"/>
      <c r="EB1034" s="11"/>
      <c r="EC1034" s="11"/>
      <c r="ED1034" s="11"/>
      <c r="EE1034" s="11"/>
      <c r="EF1034" s="11"/>
      <c r="EG1034" s="11"/>
      <c r="EH1034" s="11"/>
      <c r="EI1034" s="11"/>
    </row>
    <row r="1035" spans="1:139" s="52" customFormat="1">
      <c r="A1035" s="85"/>
      <c r="B1035" s="99"/>
      <c r="C1035" s="11"/>
      <c r="K1035" s="77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1"/>
      <c r="AY1035" s="11"/>
      <c r="AZ1035" s="11"/>
      <c r="BA1035" s="11"/>
      <c r="BB1035" s="11"/>
      <c r="BC1035" s="11"/>
      <c r="BD1035" s="11"/>
      <c r="BE1035" s="11"/>
      <c r="BF1035" s="11"/>
      <c r="BG1035" s="11"/>
      <c r="BH1035" s="11"/>
      <c r="BI1035" s="11"/>
      <c r="BJ1035" s="11"/>
      <c r="BK1035" s="11"/>
      <c r="BL1035" s="11"/>
      <c r="BM1035" s="11"/>
      <c r="BN1035" s="11"/>
      <c r="BO1035" s="11"/>
      <c r="BP1035" s="11"/>
      <c r="BQ1035" s="11"/>
      <c r="BR1035" s="11"/>
      <c r="BS1035" s="11"/>
      <c r="BT1035" s="11"/>
      <c r="BU1035" s="11"/>
      <c r="BV1035" s="11"/>
      <c r="BW1035" s="11"/>
      <c r="BX1035" s="11"/>
      <c r="BY1035" s="11"/>
      <c r="BZ1035" s="11"/>
      <c r="CA1035" s="11"/>
      <c r="CB1035" s="11"/>
      <c r="CC1035" s="11"/>
      <c r="CD1035" s="11"/>
      <c r="CE1035" s="11"/>
      <c r="CF1035" s="11"/>
      <c r="CG1035" s="11"/>
      <c r="CH1035" s="11"/>
      <c r="CI1035" s="11"/>
      <c r="CJ1035" s="11"/>
      <c r="CK1035" s="11"/>
      <c r="CL1035" s="11"/>
      <c r="CM1035" s="11"/>
      <c r="CN1035" s="11"/>
      <c r="CO1035" s="11"/>
      <c r="CP1035" s="11"/>
      <c r="CQ1035" s="11"/>
      <c r="CR1035" s="11"/>
      <c r="CS1035" s="11"/>
      <c r="CT1035" s="11"/>
      <c r="CU1035" s="11"/>
      <c r="CV1035" s="11"/>
      <c r="CW1035" s="11"/>
      <c r="CX1035" s="11"/>
      <c r="CY1035" s="11"/>
      <c r="CZ1035" s="11"/>
      <c r="DA1035" s="11"/>
      <c r="DB1035" s="11"/>
      <c r="DC1035" s="11"/>
      <c r="DD1035" s="11"/>
      <c r="DE1035" s="11"/>
      <c r="DF1035" s="11"/>
      <c r="DG1035" s="11"/>
      <c r="DH1035" s="11"/>
      <c r="DI1035" s="11"/>
      <c r="DJ1035" s="11"/>
      <c r="DK1035" s="11"/>
      <c r="DL1035" s="11"/>
      <c r="DM1035" s="11"/>
      <c r="DN1035" s="11"/>
      <c r="DO1035" s="11"/>
      <c r="DP1035" s="11"/>
      <c r="DQ1035" s="11"/>
      <c r="DR1035" s="11"/>
      <c r="DS1035" s="11"/>
      <c r="DT1035" s="11"/>
      <c r="DU1035" s="11"/>
      <c r="DV1035" s="11"/>
      <c r="DW1035" s="11"/>
      <c r="DX1035" s="11"/>
      <c r="DY1035" s="11"/>
      <c r="DZ1035" s="11"/>
      <c r="EA1035" s="11"/>
      <c r="EB1035" s="11"/>
      <c r="EC1035" s="11"/>
      <c r="ED1035" s="11"/>
      <c r="EE1035" s="11"/>
      <c r="EF1035" s="11"/>
      <c r="EG1035" s="11"/>
      <c r="EH1035" s="11"/>
      <c r="EI1035" s="11"/>
    </row>
    <row r="1036" spans="1:139" s="52" customFormat="1">
      <c r="A1036" s="85"/>
      <c r="B1036" s="99"/>
      <c r="C1036" s="11"/>
      <c r="K1036" s="77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  <c r="AX1036" s="11"/>
      <c r="AY1036" s="11"/>
      <c r="AZ1036" s="11"/>
      <c r="BA1036" s="11"/>
      <c r="BB1036" s="11"/>
      <c r="BC1036" s="11"/>
      <c r="BD1036" s="11"/>
      <c r="BE1036" s="11"/>
      <c r="BF1036" s="11"/>
      <c r="BG1036" s="11"/>
      <c r="BH1036" s="11"/>
      <c r="BI1036" s="11"/>
      <c r="BJ1036" s="11"/>
      <c r="BK1036" s="11"/>
      <c r="BL1036" s="11"/>
      <c r="BM1036" s="11"/>
      <c r="BN1036" s="11"/>
      <c r="BO1036" s="11"/>
      <c r="BP1036" s="11"/>
      <c r="BQ1036" s="11"/>
      <c r="BR1036" s="11"/>
      <c r="BS1036" s="11"/>
      <c r="BT1036" s="11"/>
      <c r="BU1036" s="11"/>
      <c r="BV1036" s="11"/>
      <c r="BW1036" s="11"/>
      <c r="BX1036" s="11"/>
      <c r="BY1036" s="11"/>
      <c r="BZ1036" s="11"/>
      <c r="CA1036" s="11"/>
      <c r="CB1036" s="11"/>
      <c r="CC1036" s="11"/>
      <c r="CD1036" s="11"/>
      <c r="CE1036" s="11"/>
      <c r="CF1036" s="11"/>
      <c r="CG1036" s="11"/>
      <c r="CH1036" s="11"/>
      <c r="CI1036" s="11"/>
      <c r="CJ1036" s="11"/>
      <c r="CK1036" s="11"/>
      <c r="CL1036" s="11"/>
      <c r="CM1036" s="11"/>
      <c r="CN1036" s="11"/>
      <c r="CO1036" s="11"/>
      <c r="CP1036" s="11"/>
      <c r="CQ1036" s="11"/>
      <c r="CR1036" s="11"/>
      <c r="CS1036" s="11"/>
      <c r="CT1036" s="11"/>
      <c r="CU1036" s="11"/>
      <c r="CV1036" s="11"/>
      <c r="CW1036" s="11"/>
      <c r="CX1036" s="11"/>
      <c r="CY1036" s="11"/>
      <c r="CZ1036" s="11"/>
      <c r="DA1036" s="11"/>
      <c r="DB1036" s="11"/>
      <c r="DC1036" s="11"/>
      <c r="DD1036" s="11"/>
      <c r="DE1036" s="11"/>
      <c r="DF1036" s="11"/>
      <c r="DG1036" s="11"/>
      <c r="DH1036" s="11"/>
      <c r="DI1036" s="11"/>
      <c r="DJ1036" s="11"/>
      <c r="DK1036" s="11"/>
      <c r="DL1036" s="11"/>
      <c r="DM1036" s="11"/>
      <c r="DN1036" s="11"/>
      <c r="DO1036" s="11"/>
      <c r="DP1036" s="11"/>
      <c r="DQ1036" s="11"/>
      <c r="DR1036" s="11"/>
      <c r="DS1036" s="11"/>
      <c r="DT1036" s="11"/>
      <c r="DU1036" s="11"/>
      <c r="DV1036" s="11"/>
      <c r="DW1036" s="11"/>
      <c r="DX1036" s="11"/>
      <c r="DY1036" s="11"/>
      <c r="DZ1036" s="11"/>
      <c r="EA1036" s="11"/>
      <c r="EB1036" s="11"/>
      <c r="EC1036" s="11"/>
      <c r="ED1036" s="11"/>
      <c r="EE1036" s="11"/>
      <c r="EF1036" s="11"/>
      <c r="EG1036" s="11"/>
      <c r="EH1036" s="11"/>
      <c r="EI1036" s="11"/>
    </row>
    <row r="1037" spans="1:139" s="52" customFormat="1">
      <c r="A1037" s="85"/>
      <c r="B1037" s="99"/>
      <c r="C1037" s="11"/>
      <c r="K1037" s="77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  <c r="AX1037" s="11"/>
      <c r="AY1037" s="11"/>
      <c r="AZ1037" s="11"/>
      <c r="BA1037" s="11"/>
      <c r="BB1037" s="11"/>
      <c r="BC1037" s="11"/>
      <c r="BD1037" s="11"/>
      <c r="BE1037" s="11"/>
      <c r="BF1037" s="11"/>
      <c r="BG1037" s="11"/>
      <c r="BH1037" s="11"/>
      <c r="BI1037" s="11"/>
      <c r="BJ1037" s="11"/>
      <c r="BK1037" s="11"/>
      <c r="BL1037" s="11"/>
      <c r="BM1037" s="11"/>
      <c r="BN1037" s="11"/>
      <c r="BO1037" s="11"/>
      <c r="BP1037" s="11"/>
      <c r="BQ1037" s="11"/>
      <c r="BR1037" s="11"/>
      <c r="BS1037" s="11"/>
      <c r="BT1037" s="11"/>
      <c r="BU1037" s="11"/>
      <c r="BV1037" s="11"/>
      <c r="BW1037" s="11"/>
      <c r="BX1037" s="11"/>
      <c r="BY1037" s="11"/>
      <c r="BZ1037" s="11"/>
      <c r="CA1037" s="11"/>
      <c r="CB1037" s="11"/>
      <c r="CC1037" s="11"/>
      <c r="CD1037" s="11"/>
      <c r="CE1037" s="11"/>
      <c r="CF1037" s="11"/>
      <c r="CG1037" s="11"/>
      <c r="CH1037" s="11"/>
      <c r="CI1037" s="11"/>
      <c r="CJ1037" s="11"/>
      <c r="CK1037" s="11"/>
      <c r="CL1037" s="11"/>
      <c r="CM1037" s="11"/>
      <c r="CN1037" s="11"/>
      <c r="CO1037" s="11"/>
      <c r="CP1037" s="11"/>
      <c r="CQ1037" s="11"/>
      <c r="CR1037" s="11"/>
      <c r="CS1037" s="11"/>
      <c r="CT1037" s="11"/>
      <c r="CU1037" s="11"/>
      <c r="CV1037" s="11"/>
      <c r="CW1037" s="11"/>
      <c r="CX1037" s="11"/>
      <c r="CY1037" s="11"/>
      <c r="CZ1037" s="11"/>
      <c r="DA1037" s="11"/>
      <c r="DB1037" s="11"/>
      <c r="DC1037" s="11"/>
      <c r="DD1037" s="11"/>
      <c r="DE1037" s="11"/>
      <c r="DF1037" s="11"/>
      <c r="DG1037" s="11"/>
      <c r="DH1037" s="11"/>
      <c r="DI1037" s="11"/>
      <c r="DJ1037" s="11"/>
      <c r="DK1037" s="11"/>
      <c r="DL1037" s="11"/>
      <c r="DM1037" s="11"/>
      <c r="DN1037" s="11"/>
      <c r="DO1037" s="11"/>
      <c r="DP1037" s="11"/>
      <c r="DQ1037" s="11"/>
      <c r="DR1037" s="11"/>
      <c r="DS1037" s="11"/>
      <c r="DT1037" s="11"/>
      <c r="DU1037" s="11"/>
      <c r="DV1037" s="11"/>
      <c r="DW1037" s="11"/>
      <c r="DX1037" s="11"/>
      <c r="DY1037" s="11"/>
      <c r="DZ1037" s="11"/>
      <c r="EA1037" s="11"/>
      <c r="EB1037" s="11"/>
      <c r="EC1037" s="11"/>
      <c r="ED1037" s="11"/>
      <c r="EE1037" s="11"/>
      <c r="EF1037" s="11"/>
      <c r="EG1037" s="11"/>
      <c r="EH1037" s="11"/>
      <c r="EI1037" s="11"/>
    </row>
    <row r="1038" spans="1:139" s="52" customFormat="1">
      <c r="A1038" s="85"/>
      <c r="B1038" s="99"/>
      <c r="C1038" s="11"/>
      <c r="K1038" s="77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/>
      <c r="BE1038" s="11"/>
      <c r="BF1038" s="11"/>
      <c r="BG1038" s="11"/>
      <c r="BH1038" s="11"/>
      <c r="BI1038" s="11"/>
      <c r="BJ1038" s="11"/>
      <c r="BK1038" s="11"/>
      <c r="BL1038" s="11"/>
      <c r="BM1038" s="11"/>
      <c r="BN1038" s="11"/>
      <c r="BO1038" s="11"/>
      <c r="BP1038" s="11"/>
      <c r="BQ1038" s="11"/>
      <c r="BR1038" s="11"/>
      <c r="BS1038" s="11"/>
      <c r="BT1038" s="11"/>
      <c r="BU1038" s="11"/>
      <c r="BV1038" s="11"/>
      <c r="BW1038" s="11"/>
      <c r="BX1038" s="11"/>
      <c r="BY1038" s="11"/>
      <c r="BZ1038" s="11"/>
      <c r="CA1038" s="11"/>
      <c r="CB1038" s="11"/>
      <c r="CC1038" s="11"/>
      <c r="CD1038" s="11"/>
      <c r="CE1038" s="11"/>
      <c r="CF1038" s="11"/>
      <c r="CG1038" s="11"/>
      <c r="CH1038" s="11"/>
      <c r="CI1038" s="11"/>
      <c r="CJ1038" s="11"/>
      <c r="CK1038" s="11"/>
      <c r="CL1038" s="11"/>
      <c r="CM1038" s="11"/>
      <c r="CN1038" s="11"/>
      <c r="CO1038" s="11"/>
      <c r="CP1038" s="11"/>
      <c r="CQ1038" s="11"/>
      <c r="CR1038" s="11"/>
      <c r="CS1038" s="11"/>
      <c r="CT1038" s="11"/>
      <c r="CU1038" s="11"/>
      <c r="CV1038" s="11"/>
      <c r="CW1038" s="11"/>
      <c r="CX1038" s="11"/>
      <c r="CY1038" s="11"/>
      <c r="CZ1038" s="11"/>
      <c r="DA1038" s="11"/>
      <c r="DB1038" s="11"/>
      <c r="DC1038" s="11"/>
      <c r="DD1038" s="11"/>
      <c r="DE1038" s="11"/>
      <c r="DF1038" s="11"/>
      <c r="DG1038" s="11"/>
      <c r="DH1038" s="11"/>
      <c r="DI1038" s="11"/>
      <c r="DJ1038" s="11"/>
      <c r="DK1038" s="11"/>
      <c r="DL1038" s="11"/>
      <c r="DM1038" s="11"/>
      <c r="DN1038" s="11"/>
      <c r="DO1038" s="11"/>
      <c r="DP1038" s="11"/>
      <c r="DQ1038" s="11"/>
      <c r="DR1038" s="11"/>
      <c r="DS1038" s="11"/>
      <c r="DT1038" s="11"/>
      <c r="DU1038" s="11"/>
      <c r="DV1038" s="11"/>
      <c r="DW1038" s="11"/>
      <c r="DX1038" s="11"/>
      <c r="DY1038" s="11"/>
      <c r="DZ1038" s="11"/>
      <c r="EA1038" s="11"/>
      <c r="EB1038" s="11"/>
      <c r="EC1038" s="11"/>
      <c r="ED1038" s="11"/>
      <c r="EE1038" s="11"/>
      <c r="EF1038" s="11"/>
      <c r="EG1038" s="11"/>
      <c r="EH1038" s="11"/>
      <c r="EI1038" s="11"/>
    </row>
    <row r="1039" spans="1:139" s="52" customFormat="1">
      <c r="A1039" s="85"/>
      <c r="B1039" s="99"/>
      <c r="C1039" s="11"/>
      <c r="K1039" s="77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  <c r="AX1039" s="11"/>
      <c r="AY1039" s="11"/>
      <c r="AZ1039" s="11"/>
      <c r="BA1039" s="11"/>
      <c r="BB1039" s="11"/>
      <c r="BC1039" s="11"/>
      <c r="BD1039" s="11"/>
      <c r="BE1039" s="11"/>
      <c r="BF1039" s="11"/>
      <c r="BG1039" s="11"/>
      <c r="BH1039" s="11"/>
      <c r="BI1039" s="11"/>
      <c r="BJ1039" s="11"/>
      <c r="BK1039" s="11"/>
      <c r="BL1039" s="11"/>
      <c r="BM1039" s="11"/>
      <c r="BN1039" s="11"/>
      <c r="BO1039" s="11"/>
      <c r="BP1039" s="11"/>
      <c r="BQ1039" s="11"/>
      <c r="BR1039" s="11"/>
      <c r="BS1039" s="11"/>
      <c r="BT1039" s="11"/>
      <c r="BU1039" s="11"/>
      <c r="BV1039" s="11"/>
      <c r="BW1039" s="11"/>
      <c r="BX1039" s="11"/>
      <c r="BY1039" s="11"/>
      <c r="BZ1039" s="11"/>
      <c r="CA1039" s="11"/>
      <c r="CB1039" s="11"/>
      <c r="CC1039" s="11"/>
      <c r="CD1039" s="11"/>
      <c r="CE1039" s="11"/>
      <c r="CF1039" s="11"/>
      <c r="CG1039" s="11"/>
      <c r="CH1039" s="11"/>
      <c r="CI1039" s="11"/>
      <c r="CJ1039" s="11"/>
      <c r="CK1039" s="11"/>
      <c r="CL1039" s="11"/>
      <c r="CM1039" s="11"/>
      <c r="CN1039" s="11"/>
      <c r="CO1039" s="11"/>
      <c r="CP1039" s="11"/>
      <c r="CQ1039" s="11"/>
      <c r="CR1039" s="11"/>
      <c r="CS1039" s="11"/>
      <c r="CT1039" s="11"/>
      <c r="CU1039" s="11"/>
      <c r="CV1039" s="11"/>
      <c r="CW1039" s="11"/>
      <c r="CX1039" s="11"/>
      <c r="CY1039" s="11"/>
      <c r="CZ1039" s="11"/>
      <c r="DA1039" s="11"/>
      <c r="DB1039" s="11"/>
      <c r="DC1039" s="11"/>
      <c r="DD1039" s="11"/>
      <c r="DE1039" s="11"/>
      <c r="DF1039" s="11"/>
      <c r="DG1039" s="11"/>
      <c r="DH1039" s="11"/>
      <c r="DI1039" s="11"/>
      <c r="DJ1039" s="11"/>
      <c r="DK1039" s="11"/>
      <c r="DL1039" s="11"/>
      <c r="DM1039" s="11"/>
      <c r="DN1039" s="11"/>
      <c r="DO1039" s="11"/>
      <c r="DP1039" s="11"/>
      <c r="DQ1039" s="11"/>
      <c r="DR1039" s="11"/>
      <c r="DS1039" s="11"/>
      <c r="DT1039" s="11"/>
      <c r="DU1039" s="11"/>
      <c r="DV1039" s="11"/>
      <c r="DW1039" s="11"/>
      <c r="DX1039" s="11"/>
      <c r="DY1039" s="11"/>
      <c r="DZ1039" s="11"/>
      <c r="EA1039" s="11"/>
      <c r="EB1039" s="11"/>
      <c r="EC1039" s="11"/>
      <c r="ED1039" s="11"/>
      <c r="EE1039" s="11"/>
      <c r="EF1039" s="11"/>
      <c r="EG1039" s="11"/>
      <c r="EH1039" s="11"/>
      <c r="EI1039" s="11"/>
    </row>
    <row r="1040" spans="1:139" s="52" customFormat="1">
      <c r="A1040" s="85"/>
      <c r="B1040" s="99"/>
      <c r="C1040" s="11"/>
      <c r="K1040" s="77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  <c r="AX1040" s="11"/>
      <c r="AY1040" s="11"/>
      <c r="AZ1040" s="11"/>
      <c r="BA1040" s="11"/>
      <c r="BB1040" s="11"/>
      <c r="BC1040" s="11"/>
      <c r="BD1040" s="11"/>
      <c r="BE1040" s="11"/>
      <c r="BF1040" s="11"/>
      <c r="BG1040" s="11"/>
      <c r="BH1040" s="11"/>
      <c r="BI1040" s="11"/>
      <c r="BJ1040" s="11"/>
      <c r="BK1040" s="11"/>
      <c r="BL1040" s="11"/>
      <c r="BM1040" s="11"/>
      <c r="BN1040" s="11"/>
      <c r="BO1040" s="11"/>
      <c r="BP1040" s="11"/>
      <c r="BQ1040" s="11"/>
      <c r="BR1040" s="11"/>
      <c r="BS1040" s="11"/>
      <c r="BT1040" s="11"/>
      <c r="BU1040" s="11"/>
      <c r="BV1040" s="11"/>
      <c r="BW1040" s="11"/>
      <c r="BX1040" s="11"/>
      <c r="BY1040" s="11"/>
      <c r="BZ1040" s="11"/>
      <c r="CA1040" s="11"/>
      <c r="CB1040" s="11"/>
      <c r="CC1040" s="11"/>
      <c r="CD1040" s="11"/>
      <c r="CE1040" s="11"/>
      <c r="CF1040" s="11"/>
      <c r="CG1040" s="11"/>
      <c r="CH1040" s="11"/>
      <c r="CI1040" s="11"/>
      <c r="CJ1040" s="11"/>
      <c r="CK1040" s="11"/>
      <c r="CL1040" s="11"/>
      <c r="CM1040" s="11"/>
      <c r="CN1040" s="11"/>
      <c r="CO1040" s="11"/>
      <c r="CP1040" s="11"/>
      <c r="CQ1040" s="11"/>
      <c r="CR1040" s="11"/>
      <c r="CS1040" s="11"/>
      <c r="CT1040" s="11"/>
      <c r="CU1040" s="11"/>
      <c r="CV1040" s="11"/>
      <c r="CW1040" s="11"/>
      <c r="CX1040" s="11"/>
      <c r="CY1040" s="11"/>
      <c r="CZ1040" s="11"/>
      <c r="DA1040" s="11"/>
      <c r="DB1040" s="11"/>
      <c r="DC1040" s="11"/>
      <c r="DD1040" s="11"/>
      <c r="DE1040" s="11"/>
      <c r="DF1040" s="11"/>
      <c r="DG1040" s="11"/>
      <c r="DH1040" s="11"/>
      <c r="DI1040" s="11"/>
      <c r="DJ1040" s="11"/>
      <c r="DK1040" s="11"/>
      <c r="DL1040" s="11"/>
      <c r="DM1040" s="11"/>
      <c r="DN1040" s="11"/>
      <c r="DO1040" s="11"/>
      <c r="DP1040" s="11"/>
      <c r="DQ1040" s="11"/>
      <c r="DR1040" s="11"/>
      <c r="DS1040" s="11"/>
      <c r="DT1040" s="11"/>
      <c r="DU1040" s="11"/>
      <c r="DV1040" s="11"/>
      <c r="DW1040" s="11"/>
      <c r="DX1040" s="11"/>
      <c r="DY1040" s="11"/>
      <c r="DZ1040" s="11"/>
      <c r="EA1040" s="11"/>
      <c r="EB1040" s="11"/>
      <c r="EC1040" s="11"/>
      <c r="ED1040" s="11"/>
      <c r="EE1040" s="11"/>
      <c r="EF1040" s="11"/>
      <c r="EG1040" s="11"/>
      <c r="EH1040" s="11"/>
      <c r="EI1040" s="11"/>
    </row>
    <row r="1041" spans="1:139" s="52" customFormat="1">
      <c r="A1041" s="85"/>
      <c r="B1041" s="99"/>
      <c r="C1041" s="11"/>
      <c r="K1041" s="77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11"/>
      <c r="BF1041" s="11"/>
      <c r="BG1041" s="11"/>
      <c r="BH1041" s="11"/>
      <c r="BI1041" s="11"/>
      <c r="BJ1041" s="11"/>
      <c r="BK1041" s="11"/>
      <c r="BL1041" s="11"/>
      <c r="BM1041" s="11"/>
      <c r="BN1041" s="11"/>
      <c r="BO1041" s="11"/>
      <c r="BP1041" s="11"/>
      <c r="BQ1041" s="11"/>
      <c r="BR1041" s="11"/>
      <c r="BS1041" s="11"/>
      <c r="BT1041" s="11"/>
      <c r="BU1041" s="11"/>
      <c r="BV1041" s="11"/>
      <c r="BW1041" s="11"/>
      <c r="BX1041" s="11"/>
      <c r="BY1041" s="11"/>
      <c r="BZ1041" s="11"/>
      <c r="CA1041" s="11"/>
      <c r="CB1041" s="11"/>
      <c r="CC1041" s="11"/>
      <c r="CD1041" s="11"/>
      <c r="CE1041" s="11"/>
      <c r="CF1041" s="11"/>
      <c r="CG1041" s="11"/>
      <c r="CH1041" s="11"/>
      <c r="CI1041" s="11"/>
      <c r="CJ1041" s="11"/>
      <c r="CK1041" s="11"/>
      <c r="CL1041" s="11"/>
      <c r="CM1041" s="11"/>
      <c r="CN1041" s="11"/>
      <c r="CO1041" s="11"/>
      <c r="CP1041" s="11"/>
      <c r="CQ1041" s="11"/>
      <c r="CR1041" s="11"/>
      <c r="CS1041" s="11"/>
      <c r="CT1041" s="11"/>
      <c r="CU1041" s="11"/>
      <c r="CV1041" s="11"/>
      <c r="CW1041" s="11"/>
      <c r="CX1041" s="11"/>
      <c r="CY1041" s="11"/>
      <c r="CZ1041" s="11"/>
      <c r="DA1041" s="11"/>
      <c r="DB1041" s="11"/>
      <c r="DC1041" s="11"/>
      <c r="DD1041" s="11"/>
      <c r="DE1041" s="11"/>
      <c r="DF1041" s="11"/>
      <c r="DG1041" s="11"/>
      <c r="DH1041" s="11"/>
      <c r="DI1041" s="11"/>
      <c r="DJ1041" s="11"/>
      <c r="DK1041" s="11"/>
      <c r="DL1041" s="11"/>
      <c r="DM1041" s="11"/>
      <c r="DN1041" s="11"/>
      <c r="DO1041" s="11"/>
      <c r="DP1041" s="11"/>
      <c r="DQ1041" s="11"/>
      <c r="DR1041" s="11"/>
      <c r="DS1041" s="11"/>
      <c r="DT1041" s="11"/>
      <c r="DU1041" s="11"/>
      <c r="DV1041" s="11"/>
      <c r="DW1041" s="11"/>
      <c r="DX1041" s="11"/>
      <c r="DY1041" s="11"/>
      <c r="DZ1041" s="11"/>
      <c r="EA1041" s="11"/>
      <c r="EB1041" s="11"/>
      <c r="EC1041" s="11"/>
      <c r="ED1041" s="11"/>
      <c r="EE1041" s="11"/>
      <c r="EF1041" s="11"/>
      <c r="EG1041" s="11"/>
      <c r="EH1041" s="11"/>
      <c r="EI1041" s="11"/>
    </row>
    <row r="1042" spans="1:139" s="52" customFormat="1">
      <c r="A1042" s="85"/>
      <c r="B1042" s="99"/>
      <c r="C1042" s="11"/>
      <c r="K1042" s="77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/>
      <c r="BE1042" s="11"/>
      <c r="BF1042" s="11"/>
      <c r="BG1042" s="11"/>
      <c r="BH1042" s="11"/>
      <c r="BI1042" s="11"/>
      <c r="BJ1042" s="11"/>
      <c r="BK1042" s="11"/>
      <c r="BL1042" s="11"/>
      <c r="BM1042" s="11"/>
      <c r="BN1042" s="11"/>
      <c r="BO1042" s="11"/>
      <c r="BP1042" s="11"/>
      <c r="BQ1042" s="11"/>
      <c r="BR1042" s="11"/>
      <c r="BS1042" s="11"/>
      <c r="BT1042" s="11"/>
      <c r="BU1042" s="11"/>
      <c r="BV1042" s="11"/>
      <c r="BW1042" s="11"/>
      <c r="BX1042" s="11"/>
      <c r="BY1042" s="11"/>
      <c r="BZ1042" s="11"/>
      <c r="CA1042" s="11"/>
      <c r="CB1042" s="11"/>
      <c r="CC1042" s="11"/>
      <c r="CD1042" s="11"/>
      <c r="CE1042" s="11"/>
      <c r="CF1042" s="11"/>
      <c r="CG1042" s="11"/>
      <c r="CH1042" s="11"/>
      <c r="CI1042" s="11"/>
      <c r="CJ1042" s="11"/>
      <c r="CK1042" s="11"/>
      <c r="CL1042" s="11"/>
      <c r="CM1042" s="11"/>
      <c r="CN1042" s="11"/>
      <c r="CO1042" s="11"/>
      <c r="CP1042" s="11"/>
      <c r="CQ1042" s="11"/>
      <c r="CR1042" s="11"/>
      <c r="CS1042" s="11"/>
      <c r="CT1042" s="11"/>
      <c r="CU1042" s="11"/>
      <c r="CV1042" s="11"/>
      <c r="CW1042" s="11"/>
      <c r="CX1042" s="11"/>
      <c r="CY1042" s="11"/>
      <c r="CZ1042" s="11"/>
      <c r="DA1042" s="11"/>
      <c r="DB1042" s="11"/>
      <c r="DC1042" s="11"/>
      <c r="DD1042" s="11"/>
      <c r="DE1042" s="11"/>
      <c r="DF1042" s="11"/>
      <c r="DG1042" s="11"/>
      <c r="DH1042" s="11"/>
      <c r="DI1042" s="11"/>
      <c r="DJ1042" s="11"/>
      <c r="DK1042" s="11"/>
      <c r="DL1042" s="11"/>
      <c r="DM1042" s="11"/>
      <c r="DN1042" s="11"/>
      <c r="DO1042" s="11"/>
      <c r="DP1042" s="11"/>
      <c r="DQ1042" s="11"/>
      <c r="DR1042" s="11"/>
      <c r="DS1042" s="11"/>
      <c r="DT1042" s="11"/>
      <c r="DU1042" s="11"/>
      <c r="DV1042" s="11"/>
      <c r="DW1042" s="11"/>
      <c r="DX1042" s="11"/>
      <c r="DY1042" s="11"/>
      <c r="DZ1042" s="11"/>
      <c r="EA1042" s="11"/>
      <c r="EB1042" s="11"/>
      <c r="EC1042" s="11"/>
      <c r="ED1042" s="11"/>
      <c r="EE1042" s="11"/>
      <c r="EF1042" s="11"/>
      <c r="EG1042" s="11"/>
      <c r="EH1042" s="11"/>
      <c r="EI1042" s="11"/>
    </row>
    <row r="1043" spans="1:139" s="52" customFormat="1">
      <c r="A1043" s="85"/>
      <c r="B1043" s="99"/>
      <c r="C1043" s="11"/>
      <c r="K1043" s="77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1"/>
      <c r="AY1043" s="11"/>
      <c r="AZ1043" s="11"/>
      <c r="BA1043" s="11"/>
      <c r="BB1043" s="11"/>
      <c r="BC1043" s="11"/>
      <c r="BD1043" s="11"/>
      <c r="BE1043" s="11"/>
      <c r="BF1043" s="11"/>
      <c r="BG1043" s="11"/>
      <c r="BH1043" s="11"/>
      <c r="BI1043" s="11"/>
      <c r="BJ1043" s="11"/>
      <c r="BK1043" s="11"/>
      <c r="BL1043" s="11"/>
      <c r="BM1043" s="11"/>
      <c r="BN1043" s="11"/>
      <c r="BO1043" s="11"/>
      <c r="BP1043" s="11"/>
      <c r="BQ1043" s="11"/>
      <c r="BR1043" s="11"/>
      <c r="BS1043" s="11"/>
      <c r="BT1043" s="11"/>
      <c r="BU1043" s="11"/>
      <c r="BV1043" s="11"/>
      <c r="BW1043" s="11"/>
      <c r="BX1043" s="11"/>
      <c r="BY1043" s="11"/>
      <c r="BZ1043" s="11"/>
      <c r="CA1043" s="11"/>
      <c r="CB1043" s="11"/>
      <c r="CC1043" s="11"/>
      <c r="CD1043" s="11"/>
      <c r="CE1043" s="11"/>
      <c r="CF1043" s="11"/>
      <c r="CG1043" s="11"/>
      <c r="CH1043" s="11"/>
      <c r="CI1043" s="11"/>
      <c r="CJ1043" s="11"/>
      <c r="CK1043" s="11"/>
      <c r="CL1043" s="11"/>
      <c r="CM1043" s="11"/>
      <c r="CN1043" s="11"/>
      <c r="CO1043" s="11"/>
      <c r="CP1043" s="11"/>
      <c r="CQ1043" s="11"/>
      <c r="CR1043" s="11"/>
      <c r="CS1043" s="11"/>
      <c r="CT1043" s="11"/>
      <c r="CU1043" s="11"/>
      <c r="CV1043" s="11"/>
      <c r="CW1043" s="11"/>
      <c r="CX1043" s="11"/>
      <c r="CY1043" s="11"/>
      <c r="CZ1043" s="11"/>
      <c r="DA1043" s="11"/>
      <c r="DB1043" s="11"/>
      <c r="DC1043" s="11"/>
      <c r="DD1043" s="11"/>
      <c r="DE1043" s="11"/>
      <c r="DF1043" s="11"/>
      <c r="DG1043" s="11"/>
      <c r="DH1043" s="11"/>
      <c r="DI1043" s="11"/>
      <c r="DJ1043" s="11"/>
      <c r="DK1043" s="11"/>
      <c r="DL1043" s="11"/>
      <c r="DM1043" s="11"/>
      <c r="DN1043" s="11"/>
      <c r="DO1043" s="11"/>
      <c r="DP1043" s="11"/>
      <c r="DQ1043" s="11"/>
      <c r="DR1043" s="11"/>
      <c r="DS1043" s="11"/>
      <c r="DT1043" s="11"/>
      <c r="DU1043" s="11"/>
      <c r="DV1043" s="11"/>
      <c r="DW1043" s="11"/>
      <c r="DX1043" s="11"/>
      <c r="DY1043" s="11"/>
      <c r="DZ1043" s="11"/>
      <c r="EA1043" s="11"/>
      <c r="EB1043" s="11"/>
      <c r="EC1043" s="11"/>
      <c r="ED1043" s="11"/>
      <c r="EE1043" s="11"/>
      <c r="EF1043" s="11"/>
      <c r="EG1043" s="11"/>
      <c r="EH1043" s="11"/>
      <c r="EI1043" s="11"/>
    </row>
    <row r="1044" spans="1:139" s="52" customFormat="1">
      <c r="A1044" s="85"/>
      <c r="B1044" s="99"/>
      <c r="C1044" s="11"/>
      <c r="K1044" s="77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  <c r="AX1044" s="11"/>
      <c r="AY1044" s="11"/>
      <c r="AZ1044" s="11"/>
      <c r="BA1044" s="11"/>
      <c r="BB1044" s="11"/>
      <c r="BC1044" s="11"/>
      <c r="BD1044" s="11"/>
      <c r="BE1044" s="11"/>
      <c r="BF1044" s="11"/>
      <c r="BG1044" s="11"/>
      <c r="BH1044" s="11"/>
      <c r="BI1044" s="11"/>
      <c r="BJ1044" s="11"/>
      <c r="BK1044" s="11"/>
      <c r="BL1044" s="11"/>
      <c r="BM1044" s="11"/>
      <c r="BN1044" s="11"/>
      <c r="BO1044" s="11"/>
      <c r="BP1044" s="11"/>
      <c r="BQ1044" s="11"/>
      <c r="BR1044" s="11"/>
      <c r="BS1044" s="11"/>
      <c r="BT1044" s="11"/>
      <c r="BU1044" s="11"/>
      <c r="BV1044" s="11"/>
      <c r="BW1044" s="11"/>
      <c r="BX1044" s="11"/>
      <c r="BY1044" s="11"/>
      <c r="BZ1044" s="11"/>
      <c r="CA1044" s="11"/>
      <c r="CB1044" s="11"/>
      <c r="CC1044" s="11"/>
      <c r="CD1044" s="11"/>
      <c r="CE1044" s="11"/>
      <c r="CF1044" s="11"/>
      <c r="CG1044" s="11"/>
      <c r="CH1044" s="11"/>
      <c r="CI1044" s="11"/>
      <c r="CJ1044" s="11"/>
      <c r="CK1044" s="11"/>
      <c r="CL1044" s="11"/>
      <c r="CM1044" s="11"/>
      <c r="CN1044" s="11"/>
      <c r="CO1044" s="11"/>
      <c r="CP1044" s="11"/>
      <c r="CQ1044" s="11"/>
      <c r="CR1044" s="11"/>
      <c r="CS1044" s="11"/>
      <c r="CT1044" s="11"/>
      <c r="CU1044" s="11"/>
      <c r="CV1044" s="11"/>
      <c r="CW1044" s="11"/>
      <c r="CX1044" s="11"/>
      <c r="CY1044" s="11"/>
      <c r="CZ1044" s="11"/>
      <c r="DA1044" s="11"/>
      <c r="DB1044" s="11"/>
      <c r="DC1044" s="11"/>
      <c r="DD1044" s="11"/>
      <c r="DE1044" s="11"/>
      <c r="DF1044" s="11"/>
      <c r="DG1044" s="11"/>
      <c r="DH1044" s="11"/>
      <c r="DI1044" s="11"/>
      <c r="DJ1044" s="11"/>
      <c r="DK1044" s="11"/>
      <c r="DL1044" s="11"/>
      <c r="DM1044" s="11"/>
      <c r="DN1044" s="11"/>
      <c r="DO1044" s="11"/>
      <c r="DP1044" s="11"/>
      <c r="DQ1044" s="11"/>
      <c r="DR1044" s="11"/>
      <c r="DS1044" s="11"/>
      <c r="DT1044" s="11"/>
      <c r="DU1044" s="11"/>
      <c r="DV1044" s="11"/>
      <c r="DW1044" s="11"/>
      <c r="DX1044" s="11"/>
      <c r="DY1044" s="11"/>
      <c r="DZ1044" s="11"/>
      <c r="EA1044" s="11"/>
      <c r="EB1044" s="11"/>
      <c r="EC1044" s="11"/>
      <c r="ED1044" s="11"/>
      <c r="EE1044" s="11"/>
      <c r="EF1044" s="11"/>
      <c r="EG1044" s="11"/>
      <c r="EH1044" s="11"/>
      <c r="EI1044" s="11"/>
    </row>
    <row r="1045" spans="1:139" s="52" customFormat="1">
      <c r="A1045" s="85"/>
      <c r="B1045" s="99"/>
      <c r="C1045" s="11"/>
      <c r="K1045" s="77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  <c r="AX1045" s="11"/>
      <c r="AY1045" s="11"/>
      <c r="AZ1045" s="11"/>
      <c r="BA1045" s="11"/>
      <c r="BB1045" s="11"/>
      <c r="BC1045" s="11"/>
      <c r="BD1045" s="11"/>
      <c r="BE1045" s="11"/>
      <c r="BF1045" s="11"/>
      <c r="BG1045" s="11"/>
      <c r="BH1045" s="11"/>
      <c r="BI1045" s="11"/>
      <c r="BJ1045" s="11"/>
      <c r="BK1045" s="11"/>
      <c r="BL1045" s="11"/>
      <c r="BM1045" s="11"/>
      <c r="BN1045" s="11"/>
      <c r="BO1045" s="11"/>
      <c r="BP1045" s="11"/>
      <c r="BQ1045" s="11"/>
      <c r="BR1045" s="11"/>
      <c r="BS1045" s="11"/>
      <c r="BT1045" s="11"/>
      <c r="BU1045" s="11"/>
      <c r="BV1045" s="11"/>
      <c r="BW1045" s="11"/>
      <c r="BX1045" s="11"/>
      <c r="BY1045" s="11"/>
      <c r="BZ1045" s="11"/>
      <c r="CA1045" s="11"/>
      <c r="CB1045" s="11"/>
      <c r="CC1045" s="11"/>
      <c r="CD1045" s="11"/>
      <c r="CE1045" s="11"/>
      <c r="CF1045" s="11"/>
      <c r="CG1045" s="11"/>
      <c r="CH1045" s="11"/>
      <c r="CI1045" s="11"/>
      <c r="CJ1045" s="11"/>
      <c r="CK1045" s="11"/>
      <c r="CL1045" s="11"/>
      <c r="CM1045" s="11"/>
      <c r="CN1045" s="11"/>
      <c r="CO1045" s="11"/>
      <c r="CP1045" s="11"/>
      <c r="CQ1045" s="11"/>
      <c r="CR1045" s="11"/>
      <c r="CS1045" s="11"/>
      <c r="CT1045" s="11"/>
      <c r="CU1045" s="11"/>
      <c r="CV1045" s="11"/>
      <c r="CW1045" s="11"/>
      <c r="CX1045" s="11"/>
      <c r="CY1045" s="11"/>
      <c r="CZ1045" s="11"/>
      <c r="DA1045" s="11"/>
      <c r="DB1045" s="11"/>
      <c r="DC1045" s="11"/>
      <c r="DD1045" s="11"/>
      <c r="DE1045" s="11"/>
      <c r="DF1045" s="11"/>
      <c r="DG1045" s="11"/>
      <c r="DH1045" s="11"/>
      <c r="DI1045" s="11"/>
      <c r="DJ1045" s="11"/>
      <c r="DK1045" s="11"/>
      <c r="DL1045" s="11"/>
      <c r="DM1045" s="11"/>
      <c r="DN1045" s="11"/>
      <c r="DO1045" s="11"/>
      <c r="DP1045" s="11"/>
      <c r="DQ1045" s="11"/>
      <c r="DR1045" s="11"/>
      <c r="DS1045" s="11"/>
      <c r="DT1045" s="11"/>
      <c r="DU1045" s="11"/>
      <c r="DV1045" s="11"/>
      <c r="DW1045" s="11"/>
      <c r="DX1045" s="11"/>
      <c r="DY1045" s="11"/>
      <c r="DZ1045" s="11"/>
      <c r="EA1045" s="11"/>
      <c r="EB1045" s="11"/>
      <c r="EC1045" s="11"/>
      <c r="ED1045" s="11"/>
      <c r="EE1045" s="11"/>
      <c r="EF1045" s="11"/>
      <c r="EG1045" s="11"/>
      <c r="EH1045" s="11"/>
      <c r="EI1045" s="11"/>
    </row>
    <row r="1046" spans="1:139" s="52" customFormat="1">
      <c r="A1046" s="85"/>
      <c r="B1046" s="99"/>
      <c r="C1046" s="11"/>
      <c r="K1046" s="77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1"/>
      <c r="AY1046" s="11"/>
      <c r="AZ1046" s="11"/>
      <c r="BA1046" s="11"/>
      <c r="BB1046" s="11"/>
      <c r="BC1046" s="11"/>
      <c r="BD1046" s="11"/>
      <c r="BE1046" s="11"/>
      <c r="BF1046" s="11"/>
      <c r="BG1046" s="11"/>
      <c r="BH1046" s="11"/>
      <c r="BI1046" s="11"/>
      <c r="BJ1046" s="11"/>
      <c r="BK1046" s="11"/>
      <c r="BL1046" s="11"/>
      <c r="BM1046" s="11"/>
      <c r="BN1046" s="11"/>
      <c r="BO1046" s="11"/>
      <c r="BP1046" s="11"/>
      <c r="BQ1046" s="11"/>
      <c r="BR1046" s="11"/>
      <c r="BS1046" s="11"/>
      <c r="BT1046" s="11"/>
      <c r="BU1046" s="11"/>
      <c r="BV1046" s="11"/>
      <c r="BW1046" s="11"/>
      <c r="BX1046" s="11"/>
      <c r="BY1046" s="11"/>
      <c r="BZ1046" s="11"/>
      <c r="CA1046" s="11"/>
      <c r="CB1046" s="11"/>
      <c r="CC1046" s="11"/>
      <c r="CD1046" s="11"/>
      <c r="CE1046" s="11"/>
      <c r="CF1046" s="11"/>
      <c r="CG1046" s="11"/>
      <c r="CH1046" s="11"/>
      <c r="CI1046" s="11"/>
      <c r="CJ1046" s="11"/>
      <c r="CK1046" s="11"/>
      <c r="CL1046" s="11"/>
      <c r="CM1046" s="11"/>
      <c r="CN1046" s="11"/>
      <c r="CO1046" s="11"/>
      <c r="CP1046" s="11"/>
      <c r="CQ1046" s="11"/>
      <c r="CR1046" s="11"/>
      <c r="CS1046" s="11"/>
      <c r="CT1046" s="11"/>
      <c r="CU1046" s="11"/>
      <c r="CV1046" s="11"/>
      <c r="CW1046" s="11"/>
      <c r="CX1046" s="11"/>
      <c r="CY1046" s="11"/>
      <c r="CZ1046" s="11"/>
      <c r="DA1046" s="11"/>
      <c r="DB1046" s="11"/>
      <c r="DC1046" s="11"/>
      <c r="DD1046" s="11"/>
      <c r="DE1046" s="11"/>
      <c r="DF1046" s="11"/>
      <c r="DG1046" s="11"/>
      <c r="DH1046" s="11"/>
      <c r="DI1046" s="11"/>
      <c r="DJ1046" s="11"/>
      <c r="DK1046" s="11"/>
      <c r="DL1046" s="11"/>
      <c r="DM1046" s="11"/>
      <c r="DN1046" s="11"/>
      <c r="DO1046" s="11"/>
      <c r="DP1046" s="11"/>
      <c r="DQ1046" s="11"/>
      <c r="DR1046" s="11"/>
      <c r="DS1046" s="11"/>
      <c r="DT1046" s="11"/>
      <c r="DU1046" s="11"/>
      <c r="DV1046" s="11"/>
      <c r="DW1046" s="11"/>
      <c r="DX1046" s="11"/>
      <c r="DY1046" s="11"/>
      <c r="DZ1046" s="11"/>
      <c r="EA1046" s="11"/>
      <c r="EB1046" s="11"/>
      <c r="EC1046" s="11"/>
      <c r="ED1046" s="11"/>
      <c r="EE1046" s="11"/>
      <c r="EF1046" s="11"/>
      <c r="EG1046" s="11"/>
      <c r="EH1046" s="11"/>
      <c r="EI1046" s="11"/>
    </row>
    <row r="1047" spans="1:139" s="52" customFormat="1">
      <c r="A1047" s="85"/>
      <c r="B1047" s="99"/>
      <c r="C1047" s="11"/>
      <c r="K1047" s="77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1"/>
      <c r="AY1047" s="11"/>
      <c r="AZ1047" s="11"/>
      <c r="BA1047" s="11"/>
      <c r="BB1047" s="11"/>
      <c r="BC1047" s="11"/>
      <c r="BD1047" s="11"/>
      <c r="BE1047" s="11"/>
      <c r="BF1047" s="11"/>
      <c r="BG1047" s="11"/>
      <c r="BH1047" s="11"/>
      <c r="BI1047" s="11"/>
      <c r="BJ1047" s="11"/>
      <c r="BK1047" s="11"/>
      <c r="BL1047" s="11"/>
      <c r="BM1047" s="11"/>
      <c r="BN1047" s="11"/>
      <c r="BO1047" s="11"/>
      <c r="BP1047" s="11"/>
      <c r="BQ1047" s="11"/>
      <c r="BR1047" s="11"/>
      <c r="BS1047" s="11"/>
      <c r="BT1047" s="11"/>
      <c r="BU1047" s="11"/>
      <c r="BV1047" s="11"/>
      <c r="BW1047" s="11"/>
      <c r="BX1047" s="11"/>
      <c r="BY1047" s="11"/>
      <c r="BZ1047" s="11"/>
      <c r="CA1047" s="11"/>
      <c r="CB1047" s="11"/>
      <c r="CC1047" s="11"/>
      <c r="CD1047" s="11"/>
      <c r="CE1047" s="11"/>
      <c r="CF1047" s="11"/>
      <c r="CG1047" s="11"/>
      <c r="CH1047" s="11"/>
      <c r="CI1047" s="11"/>
      <c r="CJ1047" s="11"/>
      <c r="CK1047" s="11"/>
      <c r="CL1047" s="11"/>
      <c r="CM1047" s="11"/>
      <c r="CN1047" s="11"/>
      <c r="CO1047" s="11"/>
      <c r="CP1047" s="11"/>
      <c r="CQ1047" s="11"/>
      <c r="CR1047" s="11"/>
      <c r="CS1047" s="11"/>
      <c r="CT1047" s="11"/>
      <c r="CU1047" s="11"/>
      <c r="CV1047" s="11"/>
      <c r="CW1047" s="11"/>
      <c r="CX1047" s="11"/>
      <c r="CY1047" s="11"/>
      <c r="CZ1047" s="11"/>
      <c r="DA1047" s="11"/>
      <c r="DB1047" s="11"/>
      <c r="DC1047" s="11"/>
      <c r="DD1047" s="11"/>
      <c r="DE1047" s="11"/>
      <c r="DF1047" s="11"/>
      <c r="DG1047" s="11"/>
      <c r="DH1047" s="11"/>
      <c r="DI1047" s="11"/>
      <c r="DJ1047" s="11"/>
      <c r="DK1047" s="11"/>
      <c r="DL1047" s="11"/>
      <c r="DM1047" s="11"/>
      <c r="DN1047" s="11"/>
      <c r="DO1047" s="11"/>
      <c r="DP1047" s="11"/>
      <c r="DQ1047" s="11"/>
      <c r="DR1047" s="11"/>
      <c r="DS1047" s="11"/>
      <c r="DT1047" s="11"/>
      <c r="DU1047" s="11"/>
      <c r="DV1047" s="11"/>
      <c r="DW1047" s="11"/>
      <c r="DX1047" s="11"/>
      <c r="DY1047" s="11"/>
      <c r="DZ1047" s="11"/>
      <c r="EA1047" s="11"/>
      <c r="EB1047" s="11"/>
      <c r="EC1047" s="11"/>
      <c r="ED1047" s="11"/>
      <c r="EE1047" s="11"/>
      <c r="EF1047" s="11"/>
      <c r="EG1047" s="11"/>
      <c r="EH1047" s="11"/>
      <c r="EI1047" s="11"/>
    </row>
    <row r="1048" spans="1:139" s="52" customFormat="1">
      <c r="A1048" s="85"/>
      <c r="B1048" s="99"/>
      <c r="C1048" s="11"/>
      <c r="K1048" s="77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/>
      <c r="BE1048" s="11"/>
      <c r="BF1048" s="11"/>
      <c r="BG1048" s="11"/>
      <c r="BH1048" s="11"/>
      <c r="BI1048" s="11"/>
      <c r="BJ1048" s="11"/>
      <c r="BK1048" s="11"/>
      <c r="BL1048" s="11"/>
      <c r="BM1048" s="11"/>
      <c r="BN1048" s="11"/>
      <c r="BO1048" s="11"/>
      <c r="BP1048" s="11"/>
      <c r="BQ1048" s="11"/>
      <c r="BR1048" s="11"/>
      <c r="BS1048" s="11"/>
      <c r="BT1048" s="11"/>
      <c r="BU1048" s="11"/>
      <c r="BV1048" s="11"/>
      <c r="BW1048" s="11"/>
      <c r="BX1048" s="11"/>
      <c r="BY1048" s="11"/>
      <c r="BZ1048" s="11"/>
      <c r="CA1048" s="11"/>
      <c r="CB1048" s="11"/>
      <c r="CC1048" s="11"/>
      <c r="CD1048" s="11"/>
      <c r="CE1048" s="11"/>
      <c r="CF1048" s="11"/>
      <c r="CG1048" s="11"/>
      <c r="CH1048" s="11"/>
      <c r="CI1048" s="11"/>
      <c r="CJ1048" s="11"/>
      <c r="CK1048" s="11"/>
      <c r="CL1048" s="11"/>
      <c r="CM1048" s="11"/>
      <c r="CN1048" s="11"/>
      <c r="CO1048" s="11"/>
      <c r="CP1048" s="11"/>
      <c r="CQ1048" s="11"/>
      <c r="CR1048" s="11"/>
      <c r="CS1048" s="11"/>
      <c r="CT1048" s="11"/>
      <c r="CU1048" s="11"/>
      <c r="CV1048" s="11"/>
      <c r="CW1048" s="11"/>
      <c r="CX1048" s="11"/>
      <c r="CY1048" s="11"/>
      <c r="CZ1048" s="11"/>
      <c r="DA1048" s="11"/>
      <c r="DB1048" s="11"/>
      <c r="DC1048" s="11"/>
      <c r="DD1048" s="11"/>
      <c r="DE1048" s="11"/>
      <c r="DF1048" s="11"/>
      <c r="DG1048" s="11"/>
      <c r="DH1048" s="11"/>
      <c r="DI1048" s="11"/>
      <c r="DJ1048" s="11"/>
      <c r="DK1048" s="11"/>
      <c r="DL1048" s="11"/>
      <c r="DM1048" s="11"/>
      <c r="DN1048" s="11"/>
      <c r="DO1048" s="11"/>
      <c r="DP1048" s="11"/>
      <c r="DQ1048" s="11"/>
      <c r="DR1048" s="11"/>
      <c r="DS1048" s="11"/>
      <c r="DT1048" s="11"/>
      <c r="DU1048" s="11"/>
      <c r="DV1048" s="11"/>
      <c r="DW1048" s="11"/>
      <c r="DX1048" s="11"/>
      <c r="DY1048" s="11"/>
      <c r="DZ1048" s="11"/>
      <c r="EA1048" s="11"/>
      <c r="EB1048" s="11"/>
      <c r="EC1048" s="11"/>
      <c r="ED1048" s="11"/>
      <c r="EE1048" s="11"/>
      <c r="EF1048" s="11"/>
      <c r="EG1048" s="11"/>
      <c r="EH1048" s="11"/>
      <c r="EI1048" s="11"/>
    </row>
    <row r="1049" spans="1:139" s="52" customFormat="1">
      <c r="A1049" s="85"/>
      <c r="B1049" s="99"/>
      <c r="C1049" s="11"/>
      <c r="K1049" s="77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1"/>
      <c r="AZ1049" s="11"/>
      <c r="BA1049" s="11"/>
      <c r="BB1049" s="11"/>
      <c r="BC1049" s="11"/>
      <c r="BD1049" s="11"/>
      <c r="BE1049" s="11"/>
      <c r="BF1049" s="11"/>
      <c r="BG1049" s="11"/>
      <c r="BH1049" s="11"/>
      <c r="BI1049" s="11"/>
      <c r="BJ1049" s="11"/>
      <c r="BK1049" s="11"/>
      <c r="BL1049" s="11"/>
      <c r="BM1049" s="11"/>
      <c r="BN1049" s="11"/>
      <c r="BO1049" s="11"/>
      <c r="BP1049" s="11"/>
      <c r="BQ1049" s="11"/>
      <c r="BR1049" s="11"/>
      <c r="BS1049" s="11"/>
      <c r="BT1049" s="11"/>
      <c r="BU1049" s="11"/>
      <c r="BV1049" s="11"/>
      <c r="BW1049" s="11"/>
      <c r="BX1049" s="11"/>
      <c r="BY1049" s="11"/>
      <c r="BZ1049" s="11"/>
      <c r="CA1049" s="11"/>
      <c r="CB1049" s="11"/>
      <c r="CC1049" s="11"/>
      <c r="CD1049" s="11"/>
      <c r="CE1049" s="11"/>
      <c r="CF1049" s="11"/>
      <c r="CG1049" s="11"/>
      <c r="CH1049" s="11"/>
      <c r="CI1049" s="11"/>
      <c r="CJ1049" s="11"/>
      <c r="CK1049" s="11"/>
      <c r="CL1049" s="11"/>
      <c r="CM1049" s="11"/>
      <c r="CN1049" s="11"/>
      <c r="CO1049" s="11"/>
      <c r="CP1049" s="11"/>
      <c r="CQ1049" s="11"/>
      <c r="CR1049" s="11"/>
      <c r="CS1049" s="11"/>
      <c r="CT1049" s="11"/>
      <c r="CU1049" s="11"/>
      <c r="CV1049" s="11"/>
      <c r="CW1049" s="11"/>
      <c r="CX1049" s="11"/>
      <c r="CY1049" s="11"/>
      <c r="CZ1049" s="11"/>
      <c r="DA1049" s="11"/>
      <c r="DB1049" s="11"/>
      <c r="DC1049" s="11"/>
      <c r="DD1049" s="11"/>
      <c r="DE1049" s="11"/>
      <c r="DF1049" s="11"/>
      <c r="DG1049" s="11"/>
      <c r="DH1049" s="11"/>
      <c r="DI1049" s="11"/>
      <c r="DJ1049" s="11"/>
      <c r="DK1049" s="11"/>
      <c r="DL1049" s="11"/>
      <c r="DM1049" s="11"/>
      <c r="DN1049" s="11"/>
      <c r="DO1049" s="11"/>
      <c r="DP1049" s="11"/>
      <c r="DQ1049" s="11"/>
      <c r="DR1049" s="11"/>
      <c r="DS1049" s="11"/>
      <c r="DT1049" s="11"/>
      <c r="DU1049" s="11"/>
      <c r="DV1049" s="11"/>
      <c r="DW1049" s="11"/>
      <c r="DX1049" s="11"/>
      <c r="DY1049" s="11"/>
      <c r="DZ1049" s="11"/>
      <c r="EA1049" s="11"/>
      <c r="EB1049" s="11"/>
      <c r="EC1049" s="11"/>
      <c r="ED1049" s="11"/>
      <c r="EE1049" s="11"/>
      <c r="EF1049" s="11"/>
      <c r="EG1049" s="11"/>
      <c r="EH1049" s="11"/>
      <c r="EI1049" s="11"/>
    </row>
    <row r="1050" spans="1:139" s="52" customFormat="1">
      <c r="A1050" s="85"/>
      <c r="B1050" s="99"/>
      <c r="C1050" s="11"/>
      <c r="K1050" s="77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1"/>
      <c r="AY1050" s="11"/>
      <c r="AZ1050" s="11"/>
      <c r="BA1050" s="11"/>
      <c r="BB1050" s="11"/>
      <c r="BC1050" s="11"/>
      <c r="BD1050" s="11"/>
      <c r="BE1050" s="11"/>
      <c r="BF1050" s="11"/>
      <c r="BG1050" s="11"/>
      <c r="BH1050" s="11"/>
      <c r="BI1050" s="11"/>
      <c r="BJ1050" s="11"/>
      <c r="BK1050" s="11"/>
      <c r="BL1050" s="11"/>
      <c r="BM1050" s="11"/>
      <c r="BN1050" s="11"/>
      <c r="BO1050" s="11"/>
      <c r="BP1050" s="11"/>
      <c r="BQ1050" s="11"/>
      <c r="BR1050" s="11"/>
      <c r="BS1050" s="11"/>
      <c r="BT1050" s="11"/>
      <c r="BU1050" s="11"/>
      <c r="BV1050" s="11"/>
      <c r="BW1050" s="11"/>
      <c r="BX1050" s="11"/>
      <c r="BY1050" s="11"/>
      <c r="BZ1050" s="11"/>
      <c r="CA1050" s="11"/>
      <c r="CB1050" s="11"/>
      <c r="CC1050" s="11"/>
      <c r="CD1050" s="11"/>
      <c r="CE1050" s="11"/>
      <c r="CF1050" s="11"/>
      <c r="CG1050" s="11"/>
      <c r="CH1050" s="11"/>
      <c r="CI1050" s="11"/>
      <c r="CJ1050" s="11"/>
      <c r="CK1050" s="11"/>
      <c r="CL1050" s="11"/>
      <c r="CM1050" s="11"/>
      <c r="CN1050" s="11"/>
      <c r="CO1050" s="11"/>
      <c r="CP1050" s="11"/>
      <c r="CQ1050" s="11"/>
      <c r="CR1050" s="11"/>
      <c r="CS1050" s="11"/>
      <c r="CT1050" s="11"/>
      <c r="CU1050" s="11"/>
      <c r="CV1050" s="11"/>
      <c r="CW1050" s="11"/>
      <c r="CX1050" s="11"/>
      <c r="CY1050" s="11"/>
      <c r="CZ1050" s="11"/>
      <c r="DA1050" s="11"/>
      <c r="DB1050" s="11"/>
      <c r="DC1050" s="11"/>
      <c r="DD1050" s="11"/>
      <c r="DE1050" s="11"/>
      <c r="DF1050" s="11"/>
      <c r="DG1050" s="11"/>
      <c r="DH1050" s="11"/>
      <c r="DI1050" s="11"/>
      <c r="DJ1050" s="11"/>
      <c r="DK1050" s="11"/>
      <c r="DL1050" s="11"/>
      <c r="DM1050" s="11"/>
      <c r="DN1050" s="11"/>
      <c r="DO1050" s="11"/>
      <c r="DP1050" s="11"/>
      <c r="DQ1050" s="11"/>
      <c r="DR1050" s="11"/>
      <c r="DS1050" s="11"/>
      <c r="DT1050" s="11"/>
      <c r="DU1050" s="11"/>
      <c r="DV1050" s="11"/>
      <c r="DW1050" s="11"/>
      <c r="DX1050" s="11"/>
      <c r="DY1050" s="11"/>
      <c r="DZ1050" s="11"/>
      <c r="EA1050" s="11"/>
      <c r="EB1050" s="11"/>
      <c r="EC1050" s="11"/>
      <c r="ED1050" s="11"/>
      <c r="EE1050" s="11"/>
      <c r="EF1050" s="11"/>
      <c r="EG1050" s="11"/>
      <c r="EH1050" s="11"/>
      <c r="EI1050" s="11"/>
    </row>
    <row r="1051" spans="1:139" s="52" customFormat="1">
      <c r="A1051" s="85"/>
      <c r="B1051" s="99"/>
      <c r="C1051" s="11"/>
      <c r="K1051" s="77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  <c r="AX1051" s="11"/>
      <c r="AY1051" s="11"/>
      <c r="AZ1051" s="11"/>
      <c r="BA1051" s="11"/>
      <c r="BB1051" s="11"/>
      <c r="BC1051" s="11"/>
      <c r="BD1051" s="11"/>
      <c r="BE1051" s="11"/>
      <c r="BF1051" s="11"/>
      <c r="BG1051" s="11"/>
      <c r="BH1051" s="11"/>
      <c r="BI1051" s="11"/>
      <c r="BJ1051" s="11"/>
      <c r="BK1051" s="11"/>
      <c r="BL1051" s="11"/>
      <c r="BM1051" s="11"/>
      <c r="BN1051" s="11"/>
      <c r="BO1051" s="11"/>
      <c r="BP1051" s="11"/>
      <c r="BQ1051" s="11"/>
      <c r="BR1051" s="11"/>
      <c r="BS1051" s="11"/>
      <c r="BT1051" s="11"/>
      <c r="BU1051" s="11"/>
      <c r="BV1051" s="11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</row>
    <row r="1052" spans="1:139" s="52" customFormat="1">
      <c r="A1052" s="85"/>
      <c r="B1052" s="99"/>
      <c r="C1052" s="11"/>
      <c r="K1052" s="77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1"/>
      <c r="AY1052" s="11"/>
      <c r="AZ1052" s="11"/>
      <c r="BA1052" s="11"/>
      <c r="BB1052" s="11"/>
      <c r="BC1052" s="11"/>
      <c r="BD1052" s="11"/>
      <c r="BE1052" s="11"/>
      <c r="BF1052" s="11"/>
      <c r="BG1052" s="11"/>
      <c r="BH1052" s="11"/>
      <c r="BI1052" s="11"/>
      <c r="BJ1052" s="11"/>
      <c r="BK1052" s="11"/>
      <c r="BL1052" s="11"/>
      <c r="BM1052" s="11"/>
      <c r="BN1052" s="11"/>
      <c r="BO1052" s="11"/>
      <c r="BP1052" s="11"/>
      <c r="BQ1052" s="11"/>
      <c r="BR1052" s="11"/>
      <c r="BS1052" s="11"/>
      <c r="BT1052" s="11"/>
      <c r="BU1052" s="11"/>
      <c r="BV1052" s="11"/>
      <c r="BW1052" s="11"/>
      <c r="BX1052" s="11"/>
      <c r="BY1052" s="11"/>
      <c r="BZ1052" s="11"/>
      <c r="CA1052" s="11"/>
      <c r="CB1052" s="11"/>
      <c r="CC1052" s="11"/>
      <c r="CD1052" s="11"/>
      <c r="CE1052" s="11"/>
      <c r="CF1052" s="11"/>
      <c r="CG1052" s="11"/>
      <c r="CH1052" s="11"/>
      <c r="CI1052" s="11"/>
      <c r="CJ1052" s="11"/>
      <c r="CK1052" s="11"/>
      <c r="CL1052" s="11"/>
      <c r="CM1052" s="11"/>
      <c r="CN1052" s="11"/>
      <c r="CO1052" s="11"/>
      <c r="CP1052" s="11"/>
      <c r="CQ1052" s="11"/>
      <c r="CR1052" s="11"/>
      <c r="CS1052" s="11"/>
      <c r="CT1052" s="11"/>
      <c r="CU1052" s="11"/>
      <c r="CV1052" s="11"/>
      <c r="CW1052" s="11"/>
      <c r="CX1052" s="11"/>
      <c r="CY1052" s="11"/>
      <c r="CZ1052" s="11"/>
      <c r="DA1052" s="11"/>
      <c r="DB1052" s="11"/>
      <c r="DC1052" s="11"/>
      <c r="DD1052" s="11"/>
      <c r="DE1052" s="11"/>
      <c r="DF1052" s="11"/>
      <c r="DG1052" s="11"/>
      <c r="DH1052" s="11"/>
      <c r="DI1052" s="11"/>
      <c r="DJ1052" s="11"/>
      <c r="DK1052" s="11"/>
      <c r="DL1052" s="11"/>
      <c r="DM1052" s="11"/>
      <c r="DN1052" s="11"/>
      <c r="DO1052" s="11"/>
      <c r="DP1052" s="11"/>
      <c r="DQ1052" s="11"/>
      <c r="DR1052" s="11"/>
      <c r="DS1052" s="11"/>
      <c r="DT1052" s="11"/>
      <c r="DU1052" s="11"/>
      <c r="DV1052" s="11"/>
      <c r="DW1052" s="11"/>
      <c r="DX1052" s="11"/>
      <c r="DY1052" s="11"/>
      <c r="DZ1052" s="11"/>
      <c r="EA1052" s="11"/>
      <c r="EB1052" s="11"/>
      <c r="EC1052" s="11"/>
      <c r="ED1052" s="11"/>
      <c r="EE1052" s="11"/>
      <c r="EF1052" s="11"/>
      <c r="EG1052" s="11"/>
      <c r="EH1052" s="11"/>
      <c r="EI1052" s="11"/>
    </row>
    <row r="1053" spans="1:139" s="52" customFormat="1">
      <c r="A1053" s="85"/>
      <c r="B1053" s="99"/>
      <c r="C1053" s="11"/>
      <c r="K1053" s="77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  <c r="AX1053" s="11"/>
      <c r="AY1053" s="11"/>
      <c r="AZ1053" s="11"/>
      <c r="BA1053" s="11"/>
      <c r="BB1053" s="11"/>
      <c r="BC1053" s="11"/>
      <c r="BD1053" s="11"/>
      <c r="BE1053" s="11"/>
      <c r="BF1053" s="11"/>
      <c r="BG1053" s="11"/>
      <c r="BH1053" s="11"/>
      <c r="BI1053" s="11"/>
      <c r="BJ1053" s="11"/>
      <c r="BK1053" s="11"/>
      <c r="BL1053" s="11"/>
      <c r="BM1053" s="11"/>
      <c r="BN1053" s="11"/>
      <c r="BO1053" s="11"/>
      <c r="BP1053" s="11"/>
      <c r="BQ1053" s="11"/>
      <c r="BR1053" s="11"/>
      <c r="BS1053" s="11"/>
      <c r="BT1053" s="11"/>
      <c r="BU1053" s="11"/>
      <c r="BV1053" s="11"/>
      <c r="BW1053" s="11"/>
      <c r="BX1053" s="11"/>
      <c r="BY1053" s="11"/>
      <c r="BZ1053" s="11"/>
      <c r="CA1053" s="11"/>
      <c r="CB1053" s="11"/>
      <c r="CC1053" s="11"/>
      <c r="CD1053" s="11"/>
      <c r="CE1053" s="11"/>
      <c r="CF1053" s="11"/>
      <c r="CG1053" s="11"/>
      <c r="CH1053" s="11"/>
      <c r="CI1053" s="11"/>
      <c r="CJ1053" s="11"/>
      <c r="CK1053" s="11"/>
      <c r="CL1053" s="11"/>
      <c r="CM1053" s="11"/>
      <c r="CN1053" s="11"/>
      <c r="CO1053" s="11"/>
      <c r="CP1053" s="11"/>
      <c r="CQ1053" s="11"/>
      <c r="CR1053" s="11"/>
      <c r="CS1053" s="11"/>
      <c r="CT1053" s="11"/>
      <c r="CU1053" s="11"/>
      <c r="CV1053" s="11"/>
      <c r="CW1053" s="11"/>
      <c r="CX1053" s="11"/>
      <c r="CY1053" s="11"/>
      <c r="CZ1053" s="11"/>
      <c r="DA1053" s="11"/>
      <c r="DB1053" s="11"/>
      <c r="DC1053" s="11"/>
      <c r="DD1053" s="11"/>
      <c r="DE1053" s="11"/>
      <c r="DF1053" s="11"/>
      <c r="DG1053" s="11"/>
      <c r="DH1053" s="11"/>
      <c r="DI1053" s="11"/>
      <c r="DJ1053" s="11"/>
      <c r="DK1053" s="11"/>
      <c r="DL1053" s="11"/>
      <c r="DM1053" s="11"/>
      <c r="DN1053" s="11"/>
      <c r="DO1053" s="11"/>
      <c r="DP1053" s="11"/>
      <c r="DQ1053" s="11"/>
      <c r="DR1053" s="11"/>
      <c r="DS1053" s="11"/>
      <c r="DT1053" s="11"/>
      <c r="DU1053" s="11"/>
      <c r="DV1053" s="11"/>
      <c r="DW1053" s="11"/>
      <c r="DX1053" s="11"/>
      <c r="DY1053" s="11"/>
      <c r="DZ1053" s="11"/>
      <c r="EA1053" s="11"/>
      <c r="EB1053" s="11"/>
      <c r="EC1053" s="11"/>
      <c r="ED1053" s="11"/>
      <c r="EE1053" s="11"/>
      <c r="EF1053" s="11"/>
      <c r="EG1053" s="11"/>
      <c r="EH1053" s="11"/>
      <c r="EI1053" s="11"/>
    </row>
    <row r="1054" spans="1:139" s="52" customFormat="1">
      <c r="A1054" s="85"/>
      <c r="B1054" s="99"/>
      <c r="C1054" s="11"/>
      <c r="K1054" s="77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  <c r="AX1054" s="11"/>
      <c r="AY1054" s="11"/>
      <c r="AZ1054" s="11"/>
      <c r="BA1054" s="11"/>
      <c r="BB1054" s="11"/>
      <c r="BC1054" s="11"/>
      <c r="BD1054" s="11"/>
      <c r="BE1054" s="11"/>
      <c r="BF1054" s="11"/>
      <c r="BG1054" s="11"/>
      <c r="BH1054" s="11"/>
      <c r="BI1054" s="11"/>
      <c r="BJ1054" s="11"/>
      <c r="BK1054" s="11"/>
      <c r="BL1054" s="11"/>
      <c r="BM1054" s="11"/>
      <c r="BN1054" s="11"/>
      <c r="BO1054" s="11"/>
      <c r="BP1054" s="11"/>
      <c r="BQ1054" s="11"/>
      <c r="BR1054" s="11"/>
      <c r="BS1054" s="11"/>
      <c r="BT1054" s="11"/>
      <c r="BU1054" s="11"/>
      <c r="BV1054" s="11"/>
      <c r="BW1054" s="11"/>
      <c r="BX1054" s="11"/>
      <c r="BY1054" s="11"/>
      <c r="BZ1054" s="11"/>
      <c r="CA1054" s="11"/>
      <c r="CB1054" s="11"/>
      <c r="CC1054" s="11"/>
      <c r="CD1054" s="11"/>
      <c r="CE1054" s="11"/>
      <c r="CF1054" s="11"/>
      <c r="CG1054" s="11"/>
      <c r="CH1054" s="11"/>
      <c r="CI1054" s="11"/>
      <c r="CJ1054" s="11"/>
      <c r="CK1054" s="11"/>
      <c r="CL1054" s="11"/>
      <c r="CM1054" s="11"/>
      <c r="CN1054" s="11"/>
      <c r="CO1054" s="11"/>
      <c r="CP1054" s="11"/>
      <c r="CQ1054" s="11"/>
      <c r="CR1054" s="11"/>
      <c r="CS1054" s="11"/>
      <c r="CT1054" s="11"/>
      <c r="CU1054" s="11"/>
      <c r="CV1054" s="11"/>
      <c r="CW1054" s="11"/>
      <c r="CX1054" s="11"/>
      <c r="CY1054" s="11"/>
      <c r="CZ1054" s="11"/>
      <c r="DA1054" s="11"/>
      <c r="DB1054" s="11"/>
      <c r="DC1054" s="11"/>
      <c r="DD1054" s="11"/>
      <c r="DE1054" s="11"/>
      <c r="DF1054" s="11"/>
      <c r="DG1054" s="11"/>
      <c r="DH1054" s="11"/>
      <c r="DI1054" s="11"/>
      <c r="DJ1054" s="11"/>
      <c r="DK1054" s="11"/>
      <c r="DL1054" s="11"/>
      <c r="DM1054" s="11"/>
      <c r="DN1054" s="11"/>
      <c r="DO1054" s="11"/>
      <c r="DP1054" s="11"/>
      <c r="DQ1054" s="11"/>
      <c r="DR1054" s="11"/>
      <c r="DS1054" s="11"/>
      <c r="DT1054" s="11"/>
      <c r="DU1054" s="11"/>
      <c r="DV1054" s="11"/>
      <c r="DW1054" s="11"/>
      <c r="DX1054" s="11"/>
      <c r="DY1054" s="11"/>
      <c r="DZ1054" s="11"/>
      <c r="EA1054" s="11"/>
      <c r="EB1054" s="11"/>
      <c r="EC1054" s="11"/>
      <c r="ED1054" s="11"/>
      <c r="EE1054" s="11"/>
      <c r="EF1054" s="11"/>
      <c r="EG1054" s="11"/>
      <c r="EH1054" s="11"/>
      <c r="EI1054" s="11"/>
    </row>
    <row r="1055" spans="1:139" s="52" customFormat="1">
      <c r="A1055" s="85"/>
      <c r="B1055" s="99"/>
      <c r="C1055" s="11"/>
      <c r="K1055" s="77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  <c r="AX1055" s="11"/>
      <c r="AY1055" s="11"/>
      <c r="AZ1055" s="11"/>
      <c r="BA1055" s="11"/>
      <c r="BB1055" s="11"/>
      <c r="BC1055" s="11"/>
      <c r="BD1055" s="11"/>
      <c r="BE1055" s="11"/>
      <c r="BF1055" s="11"/>
      <c r="BG1055" s="11"/>
      <c r="BH1055" s="11"/>
      <c r="BI1055" s="11"/>
      <c r="BJ1055" s="11"/>
      <c r="BK1055" s="11"/>
      <c r="BL1055" s="11"/>
      <c r="BM1055" s="11"/>
      <c r="BN1055" s="11"/>
      <c r="BO1055" s="11"/>
      <c r="BP1055" s="11"/>
      <c r="BQ1055" s="11"/>
      <c r="BR1055" s="11"/>
      <c r="BS1055" s="11"/>
      <c r="BT1055" s="11"/>
      <c r="BU1055" s="11"/>
      <c r="BV1055" s="11"/>
      <c r="BW1055" s="11"/>
      <c r="BX1055" s="11"/>
      <c r="BY1055" s="11"/>
      <c r="BZ1055" s="11"/>
      <c r="CA1055" s="11"/>
      <c r="CB1055" s="11"/>
      <c r="CC1055" s="11"/>
      <c r="CD1055" s="11"/>
      <c r="CE1055" s="11"/>
      <c r="CF1055" s="11"/>
      <c r="CG1055" s="11"/>
      <c r="CH1055" s="11"/>
      <c r="CI1055" s="11"/>
      <c r="CJ1055" s="11"/>
      <c r="CK1055" s="11"/>
      <c r="CL1055" s="11"/>
      <c r="CM1055" s="11"/>
      <c r="CN1055" s="11"/>
      <c r="CO1055" s="11"/>
      <c r="CP1055" s="11"/>
      <c r="CQ1055" s="11"/>
      <c r="CR1055" s="11"/>
      <c r="CS1055" s="11"/>
      <c r="CT1055" s="11"/>
      <c r="CU1055" s="11"/>
      <c r="CV1055" s="11"/>
      <c r="CW1055" s="11"/>
      <c r="CX1055" s="11"/>
      <c r="CY1055" s="11"/>
      <c r="CZ1055" s="11"/>
      <c r="DA1055" s="11"/>
      <c r="DB1055" s="11"/>
      <c r="DC1055" s="11"/>
      <c r="DD1055" s="11"/>
      <c r="DE1055" s="11"/>
      <c r="DF1055" s="11"/>
      <c r="DG1055" s="11"/>
      <c r="DH1055" s="11"/>
      <c r="DI1055" s="11"/>
      <c r="DJ1055" s="11"/>
      <c r="DK1055" s="11"/>
      <c r="DL1055" s="11"/>
      <c r="DM1055" s="11"/>
      <c r="DN1055" s="11"/>
      <c r="DO1055" s="11"/>
      <c r="DP1055" s="11"/>
      <c r="DQ1055" s="11"/>
      <c r="DR1055" s="11"/>
      <c r="DS1055" s="11"/>
      <c r="DT1055" s="11"/>
      <c r="DU1055" s="11"/>
      <c r="DV1055" s="11"/>
      <c r="DW1055" s="11"/>
      <c r="DX1055" s="11"/>
      <c r="DY1055" s="11"/>
      <c r="DZ1055" s="11"/>
      <c r="EA1055" s="11"/>
      <c r="EB1055" s="11"/>
      <c r="EC1055" s="11"/>
      <c r="ED1055" s="11"/>
      <c r="EE1055" s="11"/>
      <c r="EF1055" s="11"/>
      <c r="EG1055" s="11"/>
      <c r="EH1055" s="11"/>
      <c r="EI1055" s="11"/>
    </row>
    <row r="1056" spans="1:139" s="52" customFormat="1">
      <c r="A1056" s="85"/>
      <c r="B1056" s="99"/>
      <c r="C1056" s="11"/>
      <c r="K1056" s="77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11"/>
      <c r="AW1056" s="11"/>
      <c r="AX1056" s="11"/>
      <c r="AY1056" s="11"/>
      <c r="AZ1056" s="11"/>
      <c r="BA1056" s="11"/>
      <c r="BB1056" s="11"/>
      <c r="BC1056" s="11"/>
      <c r="BD1056" s="11"/>
      <c r="BE1056" s="11"/>
      <c r="BF1056" s="11"/>
      <c r="BG1056" s="11"/>
      <c r="BH1056" s="11"/>
      <c r="BI1056" s="11"/>
      <c r="BJ1056" s="11"/>
      <c r="BK1056" s="11"/>
      <c r="BL1056" s="11"/>
      <c r="BM1056" s="11"/>
      <c r="BN1056" s="11"/>
      <c r="BO1056" s="11"/>
      <c r="BP1056" s="11"/>
      <c r="BQ1056" s="11"/>
      <c r="BR1056" s="11"/>
      <c r="BS1056" s="11"/>
      <c r="BT1056" s="11"/>
      <c r="BU1056" s="11"/>
      <c r="BV1056" s="11"/>
      <c r="BW1056" s="11"/>
      <c r="BX1056" s="11"/>
      <c r="BY1056" s="11"/>
      <c r="BZ1056" s="11"/>
      <c r="CA1056" s="11"/>
      <c r="CB1056" s="11"/>
      <c r="CC1056" s="11"/>
      <c r="CD1056" s="11"/>
      <c r="CE1056" s="11"/>
      <c r="CF1056" s="11"/>
      <c r="CG1056" s="11"/>
      <c r="CH1056" s="11"/>
      <c r="CI1056" s="11"/>
      <c r="CJ1056" s="11"/>
      <c r="CK1056" s="11"/>
      <c r="CL1056" s="11"/>
      <c r="CM1056" s="11"/>
      <c r="CN1056" s="11"/>
      <c r="CO1056" s="11"/>
      <c r="CP1056" s="11"/>
      <c r="CQ1056" s="11"/>
      <c r="CR1056" s="11"/>
      <c r="CS1056" s="11"/>
      <c r="CT1056" s="11"/>
      <c r="CU1056" s="11"/>
      <c r="CV1056" s="11"/>
      <c r="CW1056" s="11"/>
      <c r="CX1056" s="11"/>
      <c r="CY1056" s="11"/>
      <c r="CZ1056" s="11"/>
      <c r="DA1056" s="11"/>
      <c r="DB1056" s="11"/>
      <c r="DC1056" s="11"/>
      <c r="DD1056" s="11"/>
      <c r="DE1056" s="11"/>
      <c r="DF1056" s="11"/>
      <c r="DG1056" s="11"/>
      <c r="DH1056" s="11"/>
      <c r="DI1056" s="11"/>
      <c r="DJ1056" s="11"/>
      <c r="DK1056" s="11"/>
      <c r="DL1056" s="11"/>
      <c r="DM1056" s="11"/>
      <c r="DN1056" s="11"/>
      <c r="DO1056" s="11"/>
      <c r="DP1056" s="11"/>
      <c r="DQ1056" s="11"/>
      <c r="DR1056" s="11"/>
      <c r="DS1056" s="11"/>
      <c r="DT1056" s="11"/>
      <c r="DU1056" s="11"/>
      <c r="DV1056" s="11"/>
      <c r="DW1056" s="11"/>
      <c r="DX1056" s="11"/>
      <c r="DY1056" s="11"/>
      <c r="DZ1056" s="11"/>
      <c r="EA1056" s="11"/>
      <c r="EB1056" s="11"/>
      <c r="EC1056" s="11"/>
      <c r="ED1056" s="11"/>
      <c r="EE1056" s="11"/>
      <c r="EF1056" s="11"/>
      <c r="EG1056" s="11"/>
      <c r="EH1056" s="11"/>
      <c r="EI1056" s="11"/>
    </row>
    <row r="1057" spans="1:139" s="52" customFormat="1">
      <c r="A1057" s="85"/>
      <c r="B1057" s="99"/>
      <c r="C1057" s="11"/>
      <c r="K1057" s="77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  <c r="AX1057" s="11"/>
      <c r="AY1057" s="11"/>
      <c r="AZ1057" s="11"/>
      <c r="BA1057" s="11"/>
      <c r="BB1057" s="11"/>
      <c r="BC1057" s="11"/>
      <c r="BD1057" s="11"/>
      <c r="BE1057" s="11"/>
      <c r="BF1057" s="11"/>
      <c r="BG1057" s="11"/>
      <c r="BH1057" s="11"/>
      <c r="BI1057" s="11"/>
      <c r="BJ1057" s="11"/>
      <c r="BK1057" s="11"/>
      <c r="BL1057" s="11"/>
      <c r="BM1057" s="11"/>
      <c r="BN1057" s="11"/>
      <c r="BO1057" s="11"/>
      <c r="BP1057" s="11"/>
      <c r="BQ1057" s="11"/>
      <c r="BR1057" s="11"/>
      <c r="BS1057" s="11"/>
      <c r="BT1057" s="11"/>
      <c r="BU1057" s="11"/>
      <c r="BV1057" s="11"/>
      <c r="BW1057" s="11"/>
      <c r="BX1057" s="11"/>
      <c r="BY1057" s="11"/>
      <c r="BZ1057" s="11"/>
      <c r="CA1057" s="11"/>
      <c r="CB1057" s="11"/>
      <c r="CC1057" s="11"/>
      <c r="CD1057" s="11"/>
      <c r="CE1057" s="11"/>
      <c r="CF1057" s="11"/>
      <c r="CG1057" s="11"/>
      <c r="CH1057" s="11"/>
      <c r="CI1057" s="11"/>
      <c r="CJ1057" s="11"/>
      <c r="CK1057" s="11"/>
      <c r="CL1057" s="11"/>
      <c r="CM1057" s="11"/>
      <c r="CN1057" s="11"/>
      <c r="CO1057" s="11"/>
      <c r="CP1057" s="11"/>
      <c r="CQ1057" s="11"/>
      <c r="CR1057" s="11"/>
      <c r="CS1057" s="11"/>
      <c r="CT1057" s="11"/>
      <c r="CU1057" s="11"/>
      <c r="CV1057" s="11"/>
      <c r="CW1057" s="11"/>
      <c r="CX1057" s="11"/>
      <c r="CY1057" s="11"/>
      <c r="CZ1057" s="11"/>
      <c r="DA1057" s="11"/>
      <c r="DB1057" s="11"/>
      <c r="DC1057" s="11"/>
      <c r="DD1057" s="11"/>
      <c r="DE1057" s="11"/>
      <c r="DF1057" s="11"/>
      <c r="DG1057" s="11"/>
      <c r="DH1057" s="11"/>
      <c r="DI1057" s="11"/>
      <c r="DJ1057" s="11"/>
      <c r="DK1057" s="11"/>
      <c r="DL1057" s="11"/>
      <c r="DM1057" s="11"/>
      <c r="DN1057" s="11"/>
      <c r="DO1057" s="11"/>
      <c r="DP1057" s="11"/>
      <c r="DQ1057" s="11"/>
      <c r="DR1057" s="11"/>
      <c r="DS1057" s="11"/>
      <c r="DT1057" s="11"/>
      <c r="DU1057" s="11"/>
      <c r="DV1057" s="11"/>
      <c r="DW1057" s="11"/>
      <c r="DX1057" s="11"/>
      <c r="DY1057" s="11"/>
      <c r="DZ1057" s="11"/>
      <c r="EA1057" s="11"/>
      <c r="EB1057" s="11"/>
      <c r="EC1057" s="11"/>
      <c r="ED1057" s="11"/>
      <c r="EE1057" s="11"/>
      <c r="EF1057" s="11"/>
      <c r="EG1057" s="11"/>
      <c r="EH1057" s="11"/>
      <c r="EI1057" s="11"/>
    </row>
    <row r="1058" spans="1:139" s="52" customFormat="1">
      <c r="A1058" s="85"/>
      <c r="B1058" s="99"/>
      <c r="C1058" s="11"/>
      <c r="K1058" s="77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1"/>
      <c r="AY1058" s="11"/>
      <c r="AZ1058" s="11"/>
      <c r="BA1058" s="11"/>
      <c r="BB1058" s="11"/>
      <c r="BC1058" s="11"/>
      <c r="BD1058" s="11"/>
      <c r="BE1058" s="11"/>
      <c r="BF1058" s="11"/>
      <c r="BG1058" s="11"/>
      <c r="BH1058" s="11"/>
      <c r="BI1058" s="11"/>
      <c r="BJ1058" s="11"/>
      <c r="BK1058" s="11"/>
      <c r="BL1058" s="11"/>
      <c r="BM1058" s="11"/>
      <c r="BN1058" s="11"/>
      <c r="BO1058" s="11"/>
      <c r="BP1058" s="11"/>
      <c r="BQ1058" s="11"/>
      <c r="BR1058" s="11"/>
      <c r="BS1058" s="11"/>
      <c r="BT1058" s="11"/>
      <c r="BU1058" s="11"/>
      <c r="BV1058" s="11"/>
      <c r="BW1058" s="11"/>
      <c r="BX1058" s="11"/>
      <c r="BY1058" s="11"/>
      <c r="BZ1058" s="11"/>
      <c r="CA1058" s="11"/>
      <c r="CB1058" s="11"/>
      <c r="CC1058" s="11"/>
      <c r="CD1058" s="11"/>
      <c r="CE1058" s="11"/>
      <c r="CF1058" s="11"/>
      <c r="CG1058" s="11"/>
      <c r="CH1058" s="11"/>
      <c r="CI1058" s="11"/>
      <c r="CJ1058" s="11"/>
      <c r="CK1058" s="11"/>
      <c r="CL1058" s="11"/>
      <c r="CM1058" s="11"/>
      <c r="CN1058" s="11"/>
      <c r="CO1058" s="11"/>
      <c r="CP1058" s="11"/>
      <c r="CQ1058" s="11"/>
      <c r="CR1058" s="11"/>
      <c r="CS1058" s="11"/>
      <c r="CT1058" s="11"/>
      <c r="CU1058" s="11"/>
      <c r="CV1058" s="11"/>
      <c r="CW1058" s="11"/>
      <c r="CX1058" s="11"/>
      <c r="CY1058" s="11"/>
      <c r="CZ1058" s="11"/>
      <c r="DA1058" s="11"/>
      <c r="DB1058" s="11"/>
      <c r="DC1058" s="11"/>
      <c r="DD1058" s="11"/>
      <c r="DE1058" s="11"/>
      <c r="DF1058" s="11"/>
      <c r="DG1058" s="11"/>
      <c r="DH1058" s="11"/>
      <c r="DI1058" s="11"/>
      <c r="DJ1058" s="11"/>
      <c r="DK1058" s="11"/>
      <c r="DL1058" s="11"/>
      <c r="DM1058" s="11"/>
      <c r="DN1058" s="11"/>
      <c r="DO1058" s="11"/>
      <c r="DP1058" s="11"/>
      <c r="DQ1058" s="11"/>
      <c r="DR1058" s="11"/>
      <c r="DS1058" s="11"/>
      <c r="DT1058" s="11"/>
      <c r="DU1058" s="11"/>
      <c r="DV1058" s="11"/>
      <c r="DW1058" s="11"/>
      <c r="DX1058" s="11"/>
      <c r="DY1058" s="11"/>
      <c r="DZ1058" s="11"/>
      <c r="EA1058" s="11"/>
      <c r="EB1058" s="11"/>
      <c r="EC1058" s="11"/>
      <c r="ED1058" s="11"/>
      <c r="EE1058" s="11"/>
      <c r="EF1058" s="11"/>
      <c r="EG1058" s="11"/>
      <c r="EH1058" s="11"/>
      <c r="EI1058" s="11"/>
    </row>
    <row r="1059" spans="1:139" s="52" customFormat="1">
      <c r="A1059" s="85"/>
      <c r="B1059" s="99"/>
      <c r="C1059" s="11"/>
      <c r="K1059" s="77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  <c r="AX1059" s="11"/>
      <c r="AY1059" s="11"/>
      <c r="AZ1059" s="11"/>
      <c r="BA1059" s="11"/>
      <c r="BB1059" s="11"/>
      <c r="BC1059" s="11"/>
      <c r="BD1059" s="11"/>
      <c r="BE1059" s="11"/>
      <c r="BF1059" s="11"/>
      <c r="BG1059" s="11"/>
      <c r="BH1059" s="11"/>
      <c r="BI1059" s="11"/>
      <c r="BJ1059" s="11"/>
      <c r="BK1059" s="11"/>
      <c r="BL1059" s="11"/>
      <c r="BM1059" s="11"/>
      <c r="BN1059" s="11"/>
      <c r="BO1059" s="11"/>
      <c r="BP1059" s="11"/>
      <c r="BQ1059" s="11"/>
      <c r="BR1059" s="11"/>
      <c r="BS1059" s="11"/>
      <c r="BT1059" s="11"/>
      <c r="BU1059" s="11"/>
      <c r="BV1059" s="11"/>
      <c r="BW1059" s="11"/>
      <c r="BX1059" s="11"/>
      <c r="BY1059" s="11"/>
      <c r="BZ1059" s="11"/>
      <c r="CA1059" s="11"/>
      <c r="CB1059" s="11"/>
      <c r="CC1059" s="11"/>
      <c r="CD1059" s="11"/>
      <c r="CE1059" s="11"/>
      <c r="CF1059" s="11"/>
      <c r="CG1059" s="11"/>
      <c r="CH1059" s="11"/>
      <c r="CI1059" s="11"/>
      <c r="CJ1059" s="11"/>
      <c r="CK1059" s="11"/>
      <c r="CL1059" s="11"/>
      <c r="CM1059" s="11"/>
      <c r="CN1059" s="11"/>
      <c r="CO1059" s="11"/>
      <c r="CP1059" s="11"/>
      <c r="CQ1059" s="11"/>
      <c r="CR1059" s="11"/>
      <c r="CS1059" s="11"/>
      <c r="CT1059" s="11"/>
      <c r="CU1059" s="11"/>
      <c r="CV1059" s="11"/>
      <c r="CW1059" s="11"/>
      <c r="CX1059" s="11"/>
      <c r="CY1059" s="11"/>
      <c r="CZ1059" s="11"/>
      <c r="DA1059" s="11"/>
      <c r="DB1059" s="11"/>
      <c r="DC1059" s="11"/>
      <c r="DD1059" s="11"/>
      <c r="DE1059" s="11"/>
      <c r="DF1059" s="11"/>
      <c r="DG1059" s="11"/>
      <c r="DH1059" s="11"/>
      <c r="DI1059" s="11"/>
      <c r="DJ1059" s="11"/>
      <c r="DK1059" s="11"/>
      <c r="DL1059" s="11"/>
      <c r="DM1059" s="11"/>
      <c r="DN1059" s="11"/>
      <c r="DO1059" s="11"/>
      <c r="DP1059" s="11"/>
      <c r="DQ1059" s="11"/>
      <c r="DR1059" s="11"/>
      <c r="DS1059" s="11"/>
      <c r="DT1059" s="11"/>
      <c r="DU1059" s="11"/>
      <c r="DV1059" s="11"/>
      <c r="DW1059" s="11"/>
      <c r="DX1059" s="11"/>
      <c r="DY1059" s="11"/>
      <c r="DZ1059" s="11"/>
      <c r="EA1059" s="11"/>
      <c r="EB1059" s="11"/>
      <c r="EC1059" s="11"/>
      <c r="ED1059" s="11"/>
      <c r="EE1059" s="11"/>
      <c r="EF1059" s="11"/>
      <c r="EG1059" s="11"/>
      <c r="EH1059" s="11"/>
      <c r="EI1059" s="11"/>
    </row>
    <row r="1060" spans="1:139" s="52" customFormat="1">
      <c r="A1060" s="85"/>
      <c r="B1060" s="99"/>
      <c r="C1060" s="11"/>
      <c r="K1060" s="77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1"/>
      <c r="AY1060" s="11"/>
      <c r="AZ1060" s="11"/>
      <c r="BA1060" s="11"/>
      <c r="BB1060" s="11"/>
      <c r="BC1060" s="11"/>
      <c r="BD1060" s="11"/>
      <c r="BE1060" s="11"/>
      <c r="BF1060" s="11"/>
      <c r="BG1060" s="11"/>
      <c r="BH1060" s="11"/>
      <c r="BI1060" s="11"/>
      <c r="BJ1060" s="11"/>
      <c r="BK1060" s="11"/>
      <c r="BL1060" s="11"/>
      <c r="BM1060" s="11"/>
      <c r="BN1060" s="11"/>
      <c r="BO1060" s="11"/>
      <c r="BP1060" s="11"/>
      <c r="BQ1060" s="11"/>
      <c r="BR1060" s="11"/>
      <c r="BS1060" s="11"/>
      <c r="BT1060" s="11"/>
      <c r="BU1060" s="11"/>
      <c r="BV1060" s="11"/>
      <c r="BW1060" s="11"/>
      <c r="BX1060" s="11"/>
      <c r="BY1060" s="11"/>
      <c r="BZ1060" s="11"/>
      <c r="CA1060" s="11"/>
      <c r="CB1060" s="11"/>
      <c r="CC1060" s="11"/>
      <c r="CD1060" s="11"/>
      <c r="CE1060" s="11"/>
      <c r="CF1060" s="11"/>
      <c r="CG1060" s="11"/>
      <c r="CH1060" s="11"/>
      <c r="CI1060" s="11"/>
      <c r="CJ1060" s="11"/>
      <c r="CK1060" s="11"/>
      <c r="CL1060" s="11"/>
      <c r="CM1060" s="11"/>
      <c r="CN1060" s="11"/>
      <c r="CO1060" s="11"/>
      <c r="CP1060" s="11"/>
      <c r="CQ1060" s="11"/>
      <c r="CR1060" s="11"/>
      <c r="CS1060" s="11"/>
      <c r="CT1060" s="11"/>
      <c r="CU1060" s="11"/>
      <c r="CV1060" s="11"/>
      <c r="CW1060" s="11"/>
      <c r="CX1060" s="11"/>
      <c r="CY1060" s="11"/>
      <c r="CZ1060" s="11"/>
      <c r="DA1060" s="11"/>
      <c r="DB1060" s="11"/>
      <c r="DC1060" s="11"/>
      <c r="DD1060" s="11"/>
      <c r="DE1060" s="11"/>
      <c r="DF1060" s="11"/>
      <c r="DG1060" s="11"/>
      <c r="DH1060" s="11"/>
      <c r="DI1060" s="11"/>
      <c r="DJ1060" s="11"/>
      <c r="DK1060" s="11"/>
      <c r="DL1060" s="11"/>
      <c r="DM1060" s="11"/>
      <c r="DN1060" s="11"/>
      <c r="DO1060" s="11"/>
      <c r="DP1060" s="11"/>
      <c r="DQ1060" s="11"/>
      <c r="DR1060" s="11"/>
      <c r="DS1060" s="11"/>
      <c r="DT1060" s="11"/>
      <c r="DU1060" s="11"/>
      <c r="DV1060" s="11"/>
      <c r="DW1060" s="11"/>
      <c r="DX1060" s="11"/>
      <c r="DY1060" s="11"/>
      <c r="DZ1060" s="11"/>
      <c r="EA1060" s="11"/>
      <c r="EB1060" s="11"/>
      <c r="EC1060" s="11"/>
      <c r="ED1060" s="11"/>
      <c r="EE1060" s="11"/>
      <c r="EF1060" s="11"/>
      <c r="EG1060" s="11"/>
      <c r="EH1060" s="11"/>
      <c r="EI1060" s="11"/>
    </row>
    <row r="1061" spans="1:139" s="52" customFormat="1">
      <c r="A1061" s="85"/>
      <c r="B1061" s="99"/>
      <c r="C1061" s="11"/>
      <c r="K1061" s="77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1"/>
      <c r="AY1061" s="11"/>
      <c r="AZ1061" s="11"/>
      <c r="BA1061" s="11"/>
      <c r="BB1061" s="11"/>
      <c r="BC1061" s="11"/>
      <c r="BD1061" s="11"/>
      <c r="BE1061" s="11"/>
      <c r="BF1061" s="11"/>
      <c r="BG1061" s="11"/>
      <c r="BH1061" s="11"/>
      <c r="BI1061" s="11"/>
      <c r="BJ1061" s="11"/>
      <c r="BK1061" s="11"/>
      <c r="BL1061" s="11"/>
      <c r="BM1061" s="11"/>
      <c r="BN1061" s="11"/>
      <c r="BO1061" s="11"/>
      <c r="BP1061" s="11"/>
      <c r="BQ1061" s="11"/>
      <c r="BR1061" s="11"/>
      <c r="BS1061" s="11"/>
      <c r="BT1061" s="11"/>
      <c r="BU1061" s="11"/>
      <c r="BV1061" s="11"/>
      <c r="BW1061" s="11"/>
      <c r="BX1061" s="11"/>
      <c r="BY1061" s="11"/>
      <c r="BZ1061" s="11"/>
      <c r="CA1061" s="11"/>
      <c r="CB1061" s="11"/>
      <c r="CC1061" s="11"/>
      <c r="CD1061" s="11"/>
      <c r="CE1061" s="11"/>
      <c r="CF1061" s="11"/>
      <c r="CG1061" s="11"/>
      <c r="CH1061" s="11"/>
      <c r="CI1061" s="11"/>
      <c r="CJ1061" s="11"/>
      <c r="CK1061" s="11"/>
      <c r="CL1061" s="11"/>
      <c r="CM1061" s="11"/>
      <c r="CN1061" s="11"/>
      <c r="CO1061" s="11"/>
      <c r="CP1061" s="11"/>
      <c r="CQ1061" s="11"/>
      <c r="CR1061" s="11"/>
      <c r="CS1061" s="11"/>
      <c r="CT1061" s="11"/>
      <c r="CU1061" s="11"/>
      <c r="CV1061" s="11"/>
      <c r="CW1061" s="11"/>
      <c r="CX1061" s="11"/>
      <c r="CY1061" s="11"/>
      <c r="CZ1061" s="11"/>
      <c r="DA1061" s="11"/>
      <c r="DB1061" s="11"/>
      <c r="DC1061" s="11"/>
      <c r="DD1061" s="11"/>
      <c r="DE1061" s="11"/>
      <c r="DF1061" s="11"/>
      <c r="DG1061" s="11"/>
      <c r="DH1061" s="11"/>
      <c r="DI1061" s="11"/>
      <c r="DJ1061" s="11"/>
      <c r="DK1061" s="11"/>
      <c r="DL1061" s="11"/>
      <c r="DM1061" s="11"/>
      <c r="DN1061" s="11"/>
      <c r="DO1061" s="11"/>
      <c r="DP1061" s="11"/>
      <c r="DQ1061" s="11"/>
      <c r="DR1061" s="11"/>
      <c r="DS1061" s="11"/>
      <c r="DT1061" s="11"/>
      <c r="DU1061" s="11"/>
      <c r="DV1061" s="11"/>
      <c r="DW1061" s="11"/>
      <c r="DX1061" s="11"/>
      <c r="DY1061" s="11"/>
      <c r="DZ1061" s="11"/>
      <c r="EA1061" s="11"/>
      <c r="EB1061" s="11"/>
      <c r="EC1061" s="11"/>
      <c r="ED1061" s="11"/>
      <c r="EE1061" s="11"/>
      <c r="EF1061" s="11"/>
      <c r="EG1061" s="11"/>
      <c r="EH1061" s="11"/>
      <c r="EI1061" s="11"/>
    </row>
    <row r="1062" spans="1:139" s="52" customFormat="1">
      <c r="A1062" s="85"/>
      <c r="B1062" s="99"/>
      <c r="C1062" s="11"/>
      <c r="K1062" s="77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  <c r="AW1062" s="11"/>
      <c r="AX1062" s="11"/>
      <c r="AY1062" s="11"/>
      <c r="AZ1062" s="11"/>
      <c r="BA1062" s="11"/>
      <c r="BB1062" s="11"/>
      <c r="BC1062" s="11"/>
      <c r="BD1062" s="11"/>
      <c r="BE1062" s="11"/>
      <c r="BF1062" s="11"/>
      <c r="BG1062" s="11"/>
      <c r="BH1062" s="11"/>
      <c r="BI1062" s="11"/>
      <c r="BJ1062" s="11"/>
      <c r="BK1062" s="11"/>
      <c r="BL1062" s="11"/>
      <c r="BM1062" s="11"/>
      <c r="BN1062" s="11"/>
      <c r="BO1062" s="11"/>
      <c r="BP1062" s="11"/>
      <c r="BQ1062" s="11"/>
      <c r="BR1062" s="11"/>
      <c r="BS1062" s="11"/>
      <c r="BT1062" s="11"/>
      <c r="BU1062" s="11"/>
      <c r="BV1062" s="11"/>
      <c r="BW1062" s="11"/>
      <c r="BX1062" s="11"/>
      <c r="BY1062" s="11"/>
      <c r="BZ1062" s="11"/>
      <c r="CA1062" s="11"/>
      <c r="CB1062" s="11"/>
      <c r="CC1062" s="11"/>
      <c r="CD1062" s="11"/>
      <c r="CE1062" s="11"/>
      <c r="CF1062" s="11"/>
      <c r="CG1062" s="11"/>
      <c r="CH1062" s="11"/>
      <c r="CI1062" s="11"/>
      <c r="CJ1062" s="11"/>
      <c r="CK1062" s="11"/>
      <c r="CL1062" s="11"/>
      <c r="CM1062" s="11"/>
      <c r="CN1062" s="11"/>
      <c r="CO1062" s="11"/>
      <c r="CP1062" s="11"/>
      <c r="CQ1062" s="11"/>
      <c r="CR1062" s="11"/>
      <c r="CS1062" s="11"/>
      <c r="CT1062" s="11"/>
      <c r="CU1062" s="11"/>
      <c r="CV1062" s="11"/>
      <c r="CW1062" s="11"/>
      <c r="CX1062" s="11"/>
      <c r="CY1062" s="11"/>
      <c r="CZ1062" s="11"/>
      <c r="DA1062" s="11"/>
      <c r="DB1062" s="11"/>
      <c r="DC1062" s="11"/>
      <c r="DD1062" s="11"/>
      <c r="DE1062" s="11"/>
      <c r="DF1062" s="11"/>
      <c r="DG1062" s="11"/>
      <c r="DH1062" s="11"/>
      <c r="DI1062" s="11"/>
      <c r="DJ1062" s="11"/>
      <c r="DK1062" s="11"/>
      <c r="DL1062" s="11"/>
      <c r="DM1062" s="11"/>
      <c r="DN1062" s="11"/>
      <c r="DO1062" s="11"/>
      <c r="DP1062" s="11"/>
      <c r="DQ1062" s="11"/>
      <c r="DR1062" s="11"/>
      <c r="DS1062" s="11"/>
      <c r="DT1062" s="11"/>
      <c r="DU1062" s="11"/>
      <c r="DV1062" s="11"/>
      <c r="DW1062" s="11"/>
      <c r="DX1062" s="11"/>
      <c r="DY1062" s="11"/>
      <c r="DZ1062" s="11"/>
      <c r="EA1062" s="11"/>
      <c r="EB1062" s="11"/>
      <c r="EC1062" s="11"/>
      <c r="ED1062" s="11"/>
      <c r="EE1062" s="11"/>
      <c r="EF1062" s="11"/>
      <c r="EG1062" s="11"/>
      <c r="EH1062" s="11"/>
      <c r="EI1062" s="11"/>
    </row>
    <row r="1063" spans="1:139" s="52" customFormat="1">
      <c r="A1063" s="85"/>
      <c r="B1063" s="99"/>
      <c r="C1063" s="11"/>
      <c r="K1063" s="77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11"/>
      <c r="AW1063" s="11"/>
      <c r="AX1063" s="11"/>
      <c r="AY1063" s="11"/>
      <c r="AZ1063" s="11"/>
      <c r="BA1063" s="11"/>
      <c r="BB1063" s="11"/>
      <c r="BC1063" s="11"/>
      <c r="BD1063" s="11"/>
      <c r="BE1063" s="11"/>
      <c r="BF1063" s="11"/>
      <c r="BG1063" s="11"/>
      <c r="BH1063" s="11"/>
      <c r="BI1063" s="11"/>
      <c r="BJ1063" s="11"/>
      <c r="BK1063" s="11"/>
      <c r="BL1063" s="11"/>
      <c r="BM1063" s="11"/>
      <c r="BN1063" s="11"/>
      <c r="BO1063" s="11"/>
      <c r="BP1063" s="11"/>
      <c r="BQ1063" s="11"/>
      <c r="BR1063" s="11"/>
      <c r="BS1063" s="11"/>
      <c r="BT1063" s="11"/>
      <c r="BU1063" s="11"/>
      <c r="BV1063" s="11"/>
      <c r="BW1063" s="11"/>
      <c r="BX1063" s="11"/>
      <c r="BY1063" s="11"/>
      <c r="BZ1063" s="11"/>
      <c r="CA1063" s="11"/>
      <c r="CB1063" s="11"/>
      <c r="CC1063" s="11"/>
      <c r="CD1063" s="11"/>
      <c r="CE1063" s="11"/>
      <c r="CF1063" s="11"/>
      <c r="CG1063" s="11"/>
      <c r="CH1063" s="11"/>
      <c r="CI1063" s="11"/>
      <c r="CJ1063" s="11"/>
      <c r="CK1063" s="11"/>
      <c r="CL1063" s="11"/>
      <c r="CM1063" s="11"/>
      <c r="CN1063" s="11"/>
      <c r="CO1063" s="11"/>
      <c r="CP1063" s="11"/>
      <c r="CQ1063" s="11"/>
      <c r="CR1063" s="11"/>
      <c r="CS1063" s="11"/>
      <c r="CT1063" s="11"/>
      <c r="CU1063" s="11"/>
      <c r="CV1063" s="11"/>
      <c r="CW1063" s="11"/>
      <c r="CX1063" s="11"/>
      <c r="CY1063" s="11"/>
      <c r="CZ1063" s="11"/>
      <c r="DA1063" s="11"/>
      <c r="DB1063" s="11"/>
      <c r="DC1063" s="11"/>
      <c r="DD1063" s="11"/>
      <c r="DE1063" s="11"/>
      <c r="DF1063" s="11"/>
      <c r="DG1063" s="11"/>
      <c r="DH1063" s="11"/>
      <c r="DI1063" s="11"/>
      <c r="DJ1063" s="11"/>
      <c r="DK1063" s="11"/>
      <c r="DL1063" s="11"/>
      <c r="DM1063" s="11"/>
      <c r="DN1063" s="11"/>
      <c r="DO1063" s="11"/>
      <c r="DP1063" s="11"/>
      <c r="DQ1063" s="11"/>
      <c r="DR1063" s="11"/>
      <c r="DS1063" s="11"/>
      <c r="DT1063" s="11"/>
      <c r="DU1063" s="11"/>
      <c r="DV1063" s="11"/>
      <c r="DW1063" s="11"/>
      <c r="DX1063" s="11"/>
      <c r="DY1063" s="11"/>
      <c r="DZ1063" s="11"/>
      <c r="EA1063" s="11"/>
      <c r="EB1063" s="11"/>
      <c r="EC1063" s="11"/>
      <c r="ED1063" s="11"/>
      <c r="EE1063" s="11"/>
      <c r="EF1063" s="11"/>
      <c r="EG1063" s="11"/>
      <c r="EH1063" s="11"/>
      <c r="EI1063" s="11"/>
    </row>
    <row r="1064" spans="1:139" s="52" customFormat="1">
      <c r="A1064" s="85"/>
      <c r="B1064" s="99"/>
      <c r="C1064" s="11"/>
      <c r="K1064" s="77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  <c r="AZ1064" s="11"/>
      <c r="BA1064" s="11"/>
      <c r="BB1064" s="11"/>
      <c r="BC1064" s="11"/>
      <c r="BD1064" s="11"/>
      <c r="BE1064" s="11"/>
      <c r="BF1064" s="11"/>
      <c r="BG1064" s="11"/>
      <c r="BH1064" s="11"/>
      <c r="BI1064" s="11"/>
      <c r="BJ1064" s="11"/>
      <c r="BK1064" s="11"/>
      <c r="BL1064" s="11"/>
      <c r="BM1064" s="11"/>
      <c r="BN1064" s="11"/>
      <c r="BO1064" s="11"/>
      <c r="BP1064" s="11"/>
      <c r="BQ1064" s="11"/>
      <c r="BR1064" s="11"/>
      <c r="BS1064" s="11"/>
      <c r="BT1064" s="11"/>
      <c r="BU1064" s="11"/>
      <c r="BV1064" s="11"/>
      <c r="BW1064" s="11"/>
      <c r="BX1064" s="11"/>
      <c r="BY1064" s="11"/>
      <c r="BZ1064" s="11"/>
      <c r="CA1064" s="11"/>
      <c r="CB1064" s="11"/>
      <c r="CC1064" s="11"/>
      <c r="CD1064" s="11"/>
      <c r="CE1064" s="11"/>
      <c r="CF1064" s="11"/>
      <c r="CG1064" s="11"/>
      <c r="CH1064" s="11"/>
      <c r="CI1064" s="11"/>
      <c r="CJ1064" s="11"/>
      <c r="CK1064" s="11"/>
      <c r="CL1064" s="11"/>
      <c r="CM1064" s="11"/>
      <c r="CN1064" s="11"/>
      <c r="CO1064" s="11"/>
      <c r="CP1064" s="11"/>
      <c r="CQ1064" s="11"/>
      <c r="CR1064" s="11"/>
      <c r="CS1064" s="11"/>
      <c r="CT1064" s="11"/>
      <c r="CU1064" s="11"/>
      <c r="CV1064" s="11"/>
      <c r="CW1064" s="11"/>
      <c r="CX1064" s="11"/>
      <c r="CY1064" s="11"/>
      <c r="CZ1064" s="11"/>
      <c r="DA1064" s="11"/>
      <c r="DB1064" s="11"/>
      <c r="DC1064" s="11"/>
      <c r="DD1064" s="11"/>
      <c r="DE1064" s="11"/>
      <c r="DF1064" s="11"/>
      <c r="DG1064" s="11"/>
      <c r="DH1064" s="11"/>
      <c r="DI1064" s="11"/>
      <c r="DJ1064" s="11"/>
      <c r="DK1064" s="11"/>
      <c r="DL1064" s="11"/>
      <c r="DM1064" s="11"/>
      <c r="DN1064" s="11"/>
      <c r="DO1064" s="11"/>
      <c r="DP1064" s="11"/>
      <c r="DQ1064" s="11"/>
      <c r="DR1064" s="11"/>
      <c r="DS1064" s="11"/>
      <c r="DT1064" s="11"/>
      <c r="DU1064" s="11"/>
      <c r="DV1064" s="11"/>
      <c r="DW1064" s="11"/>
      <c r="DX1064" s="11"/>
      <c r="DY1064" s="11"/>
      <c r="DZ1064" s="11"/>
      <c r="EA1064" s="11"/>
      <c r="EB1064" s="11"/>
      <c r="EC1064" s="11"/>
      <c r="ED1064" s="11"/>
      <c r="EE1064" s="11"/>
      <c r="EF1064" s="11"/>
      <c r="EG1064" s="11"/>
      <c r="EH1064" s="11"/>
      <c r="EI1064" s="11"/>
    </row>
    <row r="1065" spans="1:139" s="52" customFormat="1">
      <c r="A1065" s="85"/>
      <c r="B1065" s="99"/>
      <c r="C1065" s="11"/>
      <c r="K1065" s="77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1"/>
      <c r="AY1065" s="11"/>
      <c r="AZ1065" s="11"/>
      <c r="BA1065" s="11"/>
      <c r="BB1065" s="11"/>
      <c r="BC1065" s="11"/>
      <c r="BD1065" s="11"/>
      <c r="BE1065" s="11"/>
      <c r="BF1065" s="11"/>
      <c r="BG1065" s="11"/>
      <c r="BH1065" s="11"/>
      <c r="BI1065" s="11"/>
      <c r="BJ1065" s="11"/>
      <c r="BK1065" s="11"/>
      <c r="BL1065" s="11"/>
      <c r="BM1065" s="11"/>
      <c r="BN1065" s="11"/>
      <c r="BO1065" s="11"/>
      <c r="BP1065" s="11"/>
      <c r="BQ1065" s="11"/>
      <c r="BR1065" s="11"/>
      <c r="BS1065" s="11"/>
      <c r="BT1065" s="11"/>
      <c r="BU1065" s="11"/>
      <c r="BV1065" s="11"/>
      <c r="BW1065" s="11"/>
      <c r="BX1065" s="11"/>
      <c r="BY1065" s="11"/>
      <c r="BZ1065" s="11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</row>
    <row r="1066" spans="1:139" s="52" customFormat="1">
      <c r="A1066" s="85"/>
      <c r="B1066" s="99"/>
      <c r="C1066" s="11"/>
      <c r="K1066" s="77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  <c r="AW1066" s="11"/>
      <c r="AX1066" s="11"/>
      <c r="AY1066" s="11"/>
      <c r="AZ1066" s="11"/>
      <c r="BA1066" s="11"/>
      <c r="BB1066" s="11"/>
      <c r="BC1066" s="11"/>
      <c r="BD1066" s="11"/>
      <c r="BE1066" s="11"/>
      <c r="BF1066" s="11"/>
      <c r="BG1066" s="11"/>
      <c r="BH1066" s="11"/>
      <c r="BI1066" s="11"/>
      <c r="BJ1066" s="11"/>
      <c r="BK1066" s="11"/>
      <c r="BL1066" s="11"/>
      <c r="BM1066" s="11"/>
      <c r="BN1066" s="11"/>
      <c r="BO1066" s="11"/>
      <c r="BP1066" s="11"/>
      <c r="BQ1066" s="11"/>
      <c r="BR1066" s="11"/>
      <c r="BS1066" s="11"/>
      <c r="BT1066" s="11"/>
      <c r="BU1066" s="11"/>
      <c r="BV1066" s="11"/>
      <c r="BW1066" s="11"/>
      <c r="BX1066" s="11"/>
      <c r="BY1066" s="11"/>
      <c r="BZ1066" s="11"/>
      <c r="CA1066" s="11"/>
      <c r="CB1066" s="11"/>
      <c r="CC1066" s="11"/>
      <c r="CD1066" s="11"/>
      <c r="CE1066" s="11"/>
      <c r="CF1066" s="11"/>
      <c r="CG1066" s="11"/>
      <c r="CH1066" s="11"/>
      <c r="CI1066" s="11"/>
      <c r="CJ1066" s="11"/>
      <c r="CK1066" s="11"/>
      <c r="CL1066" s="11"/>
      <c r="CM1066" s="11"/>
      <c r="CN1066" s="11"/>
      <c r="CO1066" s="11"/>
      <c r="CP1066" s="11"/>
      <c r="CQ1066" s="11"/>
      <c r="CR1066" s="11"/>
      <c r="CS1066" s="11"/>
      <c r="CT1066" s="11"/>
      <c r="CU1066" s="11"/>
      <c r="CV1066" s="11"/>
      <c r="CW1066" s="11"/>
      <c r="CX1066" s="11"/>
      <c r="CY1066" s="11"/>
      <c r="CZ1066" s="11"/>
      <c r="DA1066" s="11"/>
      <c r="DB1066" s="11"/>
      <c r="DC1066" s="11"/>
      <c r="DD1066" s="11"/>
      <c r="DE1066" s="11"/>
      <c r="DF1066" s="11"/>
      <c r="DG1066" s="11"/>
      <c r="DH1066" s="11"/>
      <c r="DI1066" s="11"/>
      <c r="DJ1066" s="11"/>
      <c r="DK1066" s="11"/>
      <c r="DL1066" s="11"/>
      <c r="DM1066" s="11"/>
      <c r="DN1066" s="11"/>
      <c r="DO1066" s="11"/>
      <c r="DP1066" s="11"/>
      <c r="DQ1066" s="11"/>
      <c r="DR1066" s="11"/>
      <c r="DS1066" s="11"/>
      <c r="DT1066" s="11"/>
      <c r="DU1066" s="11"/>
      <c r="DV1066" s="11"/>
      <c r="DW1066" s="11"/>
      <c r="DX1066" s="11"/>
      <c r="DY1066" s="11"/>
      <c r="DZ1066" s="11"/>
      <c r="EA1066" s="11"/>
      <c r="EB1066" s="11"/>
      <c r="EC1066" s="11"/>
      <c r="ED1066" s="11"/>
      <c r="EE1066" s="11"/>
      <c r="EF1066" s="11"/>
      <c r="EG1066" s="11"/>
      <c r="EH1066" s="11"/>
      <c r="EI1066" s="11"/>
    </row>
    <row r="1067" spans="1:139" s="52" customFormat="1">
      <c r="A1067" s="85"/>
      <c r="B1067" s="99"/>
      <c r="C1067" s="11"/>
      <c r="K1067" s="77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1"/>
      <c r="AY1067" s="11"/>
      <c r="AZ1067" s="11"/>
      <c r="BA1067" s="11"/>
      <c r="BB1067" s="11"/>
      <c r="BC1067" s="11"/>
      <c r="BD1067" s="11"/>
      <c r="BE1067" s="11"/>
      <c r="BF1067" s="11"/>
      <c r="BG1067" s="11"/>
      <c r="BH1067" s="11"/>
      <c r="BI1067" s="11"/>
      <c r="BJ1067" s="11"/>
      <c r="BK1067" s="11"/>
      <c r="BL1067" s="11"/>
      <c r="BM1067" s="11"/>
      <c r="BN1067" s="11"/>
      <c r="BO1067" s="11"/>
      <c r="BP1067" s="11"/>
      <c r="BQ1067" s="11"/>
      <c r="BR1067" s="11"/>
      <c r="BS1067" s="11"/>
      <c r="BT1067" s="11"/>
      <c r="BU1067" s="11"/>
      <c r="BV1067" s="11"/>
      <c r="BW1067" s="11"/>
      <c r="BX1067" s="11"/>
      <c r="BY1067" s="11"/>
      <c r="BZ1067" s="11"/>
      <c r="CA1067" s="11"/>
      <c r="CB1067" s="11"/>
      <c r="CC1067" s="11"/>
      <c r="CD1067" s="11"/>
      <c r="CE1067" s="11"/>
      <c r="CF1067" s="11"/>
      <c r="CG1067" s="11"/>
      <c r="CH1067" s="11"/>
      <c r="CI1067" s="11"/>
      <c r="CJ1067" s="11"/>
      <c r="CK1067" s="11"/>
      <c r="CL1067" s="11"/>
      <c r="CM1067" s="11"/>
      <c r="CN1067" s="11"/>
      <c r="CO1067" s="11"/>
      <c r="CP1067" s="11"/>
      <c r="CQ1067" s="11"/>
      <c r="CR1067" s="11"/>
      <c r="CS1067" s="11"/>
      <c r="CT1067" s="11"/>
      <c r="CU1067" s="11"/>
      <c r="CV1067" s="11"/>
      <c r="CW1067" s="11"/>
      <c r="CX1067" s="11"/>
      <c r="CY1067" s="11"/>
      <c r="CZ1067" s="11"/>
      <c r="DA1067" s="11"/>
      <c r="DB1067" s="11"/>
      <c r="DC1067" s="11"/>
      <c r="DD1067" s="11"/>
      <c r="DE1067" s="11"/>
      <c r="DF1067" s="11"/>
      <c r="DG1067" s="11"/>
      <c r="DH1067" s="11"/>
      <c r="DI1067" s="11"/>
      <c r="DJ1067" s="11"/>
      <c r="DK1067" s="11"/>
      <c r="DL1067" s="11"/>
      <c r="DM1067" s="11"/>
      <c r="DN1067" s="11"/>
      <c r="DO1067" s="11"/>
      <c r="DP1067" s="11"/>
      <c r="DQ1067" s="11"/>
      <c r="DR1067" s="11"/>
      <c r="DS1067" s="11"/>
      <c r="DT1067" s="11"/>
      <c r="DU1067" s="11"/>
      <c r="DV1067" s="11"/>
      <c r="DW1067" s="11"/>
      <c r="DX1067" s="11"/>
      <c r="DY1067" s="11"/>
      <c r="DZ1067" s="11"/>
      <c r="EA1067" s="11"/>
      <c r="EB1067" s="11"/>
      <c r="EC1067" s="11"/>
      <c r="ED1067" s="11"/>
      <c r="EE1067" s="11"/>
      <c r="EF1067" s="11"/>
      <c r="EG1067" s="11"/>
      <c r="EH1067" s="11"/>
      <c r="EI1067" s="11"/>
    </row>
    <row r="1068" spans="1:139" s="52" customFormat="1">
      <c r="A1068" s="85"/>
      <c r="B1068" s="99"/>
      <c r="C1068" s="11"/>
      <c r="K1068" s="77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  <c r="AV1068" s="11"/>
      <c r="AW1068" s="11"/>
      <c r="AX1068" s="11"/>
      <c r="AY1068" s="11"/>
      <c r="AZ1068" s="11"/>
      <c r="BA1068" s="11"/>
      <c r="BB1068" s="11"/>
      <c r="BC1068" s="11"/>
      <c r="BD1068" s="11"/>
      <c r="BE1068" s="11"/>
      <c r="BF1068" s="11"/>
      <c r="BG1068" s="11"/>
      <c r="BH1068" s="11"/>
      <c r="BI1068" s="11"/>
      <c r="BJ1068" s="11"/>
      <c r="BK1068" s="11"/>
      <c r="BL1068" s="11"/>
      <c r="BM1068" s="11"/>
      <c r="BN1068" s="11"/>
      <c r="BO1068" s="11"/>
      <c r="BP1068" s="11"/>
      <c r="BQ1068" s="11"/>
      <c r="BR1068" s="11"/>
      <c r="BS1068" s="11"/>
      <c r="BT1068" s="11"/>
      <c r="BU1068" s="11"/>
      <c r="BV1068" s="11"/>
      <c r="BW1068" s="11"/>
      <c r="BX1068" s="11"/>
      <c r="BY1068" s="11"/>
      <c r="BZ1068" s="11"/>
      <c r="CA1068" s="11"/>
      <c r="CB1068" s="11"/>
      <c r="CC1068" s="11"/>
      <c r="CD1068" s="11"/>
      <c r="CE1068" s="11"/>
      <c r="CF1068" s="11"/>
      <c r="CG1068" s="11"/>
      <c r="CH1068" s="11"/>
      <c r="CI1068" s="11"/>
      <c r="CJ1068" s="11"/>
      <c r="CK1068" s="11"/>
      <c r="CL1068" s="11"/>
      <c r="CM1068" s="11"/>
      <c r="CN1068" s="11"/>
      <c r="CO1068" s="11"/>
      <c r="CP1068" s="11"/>
      <c r="CQ1068" s="11"/>
      <c r="CR1068" s="11"/>
      <c r="CS1068" s="11"/>
      <c r="CT1068" s="11"/>
      <c r="CU1068" s="11"/>
      <c r="CV1068" s="11"/>
      <c r="CW1068" s="11"/>
      <c r="CX1068" s="11"/>
      <c r="CY1068" s="11"/>
      <c r="CZ1068" s="11"/>
      <c r="DA1068" s="11"/>
      <c r="DB1068" s="11"/>
      <c r="DC1068" s="11"/>
      <c r="DD1068" s="11"/>
      <c r="DE1068" s="11"/>
      <c r="DF1068" s="11"/>
      <c r="DG1068" s="11"/>
      <c r="DH1068" s="11"/>
      <c r="DI1068" s="11"/>
      <c r="DJ1068" s="11"/>
      <c r="DK1068" s="11"/>
      <c r="DL1068" s="11"/>
      <c r="DM1068" s="11"/>
      <c r="DN1068" s="11"/>
      <c r="DO1068" s="11"/>
      <c r="DP1068" s="11"/>
      <c r="DQ1068" s="11"/>
      <c r="DR1068" s="11"/>
      <c r="DS1068" s="11"/>
      <c r="DT1068" s="11"/>
      <c r="DU1068" s="11"/>
      <c r="DV1068" s="11"/>
      <c r="DW1068" s="11"/>
      <c r="DX1068" s="11"/>
      <c r="DY1068" s="11"/>
      <c r="DZ1068" s="11"/>
      <c r="EA1068" s="11"/>
      <c r="EB1068" s="11"/>
      <c r="EC1068" s="11"/>
      <c r="ED1068" s="11"/>
      <c r="EE1068" s="11"/>
      <c r="EF1068" s="11"/>
      <c r="EG1068" s="11"/>
      <c r="EH1068" s="11"/>
      <c r="EI1068" s="11"/>
    </row>
    <row r="1069" spans="1:139" s="52" customFormat="1">
      <c r="A1069" s="85"/>
      <c r="B1069" s="99"/>
      <c r="C1069" s="11"/>
      <c r="K1069" s="77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11"/>
      <c r="AW1069" s="11"/>
      <c r="AX1069" s="11"/>
      <c r="AY1069" s="11"/>
      <c r="AZ1069" s="11"/>
      <c r="BA1069" s="11"/>
      <c r="BB1069" s="11"/>
      <c r="BC1069" s="11"/>
      <c r="BD1069" s="11"/>
      <c r="BE1069" s="11"/>
      <c r="BF1069" s="11"/>
      <c r="BG1069" s="11"/>
      <c r="BH1069" s="11"/>
      <c r="BI1069" s="11"/>
      <c r="BJ1069" s="11"/>
      <c r="BK1069" s="11"/>
      <c r="BL1069" s="11"/>
      <c r="BM1069" s="11"/>
      <c r="BN1069" s="11"/>
      <c r="BO1069" s="11"/>
      <c r="BP1069" s="11"/>
      <c r="BQ1069" s="11"/>
      <c r="BR1069" s="11"/>
      <c r="BS1069" s="11"/>
      <c r="BT1069" s="11"/>
      <c r="BU1069" s="11"/>
      <c r="BV1069" s="11"/>
      <c r="BW1069" s="11"/>
      <c r="BX1069" s="11"/>
      <c r="BY1069" s="11"/>
      <c r="BZ1069" s="11"/>
      <c r="CA1069" s="11"/>
      <c r="CB1069" s="11"/>
      <c r="CC1069" s="11"/>
      <c r="CD1069" s="11"/>
      <c r="CE1069" s="11"/>
      <c r="CF1069" s="11"/>
      <c r="CG1069" s="11"/>
      <c r="CH1069" s="11"/>
      <c r="CI1069" s="11"/>
      <c r="CJ1069" s="11"/>
      <c r="CK1069" s="11"/>
      <c r="CL1069" s="11"/>
      <c r="CM1069" s="11"/>
      <c r="CN1069" s="11"/>
      <c r="CO1069" s="11"/>
      <c r="CP1069" s="11"/>
      <c r="CQ1069" s="11"/>
      <c r="CR1069" s="11"/>
      <c r="CS1069" s="11"/>
      <c r="CT1069" s="11"/>
      <c r="CU1069" s="11"/>
      <c r="CV1069" s="11"/>
      <c r="CW1069" s="11"/>
      <c r="CX1069" s="11"/>
      <c r="CY1069" s="11"/>
      <c r="CZ1069" s="11"/>
      <c r="DA1069" s="11"/>
      <c r="DB1069" s="11"/>
      <c r="DC1069" s="11"/>
      <c r="DD1069" s="11"/>
      <c r="DE1069" s="11"/>
      <c r="DF1069" s="11"/>
      <c r="DG1069" s="11"/>
      <c r="DH1069" s="11"/>
      <c r="DI1069" s="11"/>
      <c r="DJ1069" s="11"/>
      <c r="DK1069" s="11"/>
      <c r="DL1069" s="11"/>
      <c r="DM1069" s="11"/>
      <c r="DN1069" s="11"/>
      <c r="DO1069" s="11"/>
      <c r="DP1069" s="11"/>
      <c r="DQ1069" s="11"/>
      <c r="DR1069" s="11"/>
      <c r="DS1069" s="11"/>
      <c r="DT1069" s="11"/>
      <c r="DU1069" s="11"/>
      <c r="DV1069" s="11"/>
      <c r="DW1069" s="11"/>
      <c r="DX1069" s="11"/>
      <c r="DY1069" s="11"/>
      <c r="DZ1069" s="11"/>
      <c r="EA1069" s="11"/>
      <c r="EB1069" s="11"/>
      <c r="EC1069" s="11"/>
      <c r="ED1069" s="11"/>
      <c r="EE1069" s="11"/>
      <c r="EF1069" s="11"/>
      <c r="EG1069" s="11"/>
      <c r="EH1069" s="11"/>
      <c r="EI1069" s="11"/>
    </row>
    <row r="1070" spans="1:139" s="52" customFormat="1">
      <c r="A1070" s="85"/>
      <c r="B1070" s="99"/>
      <c r="C1070" s="11"/>
      <c r="K1070" s="77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1"/>
      <c r="AY1070" s="11"/>
      <c r="AZ1070" s="11"/>
      <c r="BA1070" s="11"/>
      <c r="BB1070" s="11"/>
      <c r="BC1070" s="11"/>
      <c r="BD1070" s="11"/>
      <c r="BE1070" s="11"/>
      <c r="BF1070" s="11"/>
      <c r="BG1070" s="11"/>
      <c r="BH1070" s="11"/>
      <c r="BI1070" s="11"/>
      <c r="BJ1070" s="11"/>
      <c r="BK1070" s="11"/>
      <c r="BL1070" s="11"/>
      <c r="BM1070" s="11"/>
      <c r="BN1070" s="11"/>
      <c r="BO1070" s="11"/>
      <c r="BP1070" s="11"/>
      <c r="BQ1070" s="11"/>
      <c r="BR1070" s="11"/>
      <c r="BS1070" s="11"/>
      <c r="BT1070" s="11"/>
      <c r="BU1070" s="11"/>
      <c r="BV1070" s="11"/>
      <c r="BW1070" s="11"/>
      <c r="BX1070" s="11"/>
      <c r="BY1070" s="11"/>
      <c r="BZ1070" s="11"/>
      <c r="CA1070" s="11"/>
      <c r="CB1070" s="11"/>
      <c r="CC1070" s="11"/>
      <c r="CD1070" s="11"/>
      <c r="CE1070" s="11"/>
      <c r="CF1070" s="11"/>
      <c r="CG1070" s="11"/>
      <c r="CH1070" s="11"/>
      <c r="CI1070" s="11"/>
      <c r="CJ1070" s="11"/>
      <c r="CK1070" s="11"/>
      <c r="CL1070" s="11"/>
      <c r="CM1070" s="11"/>
      <c r="CN1070" s="11"/>
      <c r="CO1070" s="11"/>
      <c r="CP1070" s="11"/>
      <c r="CQ1070" s="11"/>
      <c r="CR1070" s="11"/>
      <c r="CS1070" s="11"/>
      <c r="CT1070" s="11"/>
      <c r="CU1070" s="11"/>
      <c r="CV1070" s="11"/>
      <c r="CW1070" s="11"/>
      <c r="CX1070" s="11"/>
      <c r="CY1070" s="11"/>
      <c r="CZ1070" s="11"/>
      <c r="DA1070" s="11"/>
      <c r="DB1070" s="11"/>
      <c r="DC1070" s="11"/>
      <c r="DD1070" s="11"/>
      <c r="DE1070" s="11"/>
      <c r="DF1070" s="11"/>
      <c r="DG1070" s="11"/>
      <c r="DH1070" s="11"/>
      <c r="DI1070" s="11"/>
      <c r="DJ1070" s="11"/>
      <c r="DK1070" s="11"/>
      <c r="DL1070" s="11"/>
      <c r="DM1070" s="11"/>
      <c r="DN1070" s="11"/>
      <c r="DO1070" s="11"/>
      <c r="DP1070" s="11"/>
      <c r="DQ1070" s="11"/>
      <c r="DR1070" s="11"/>
      <c r="DS1070" s="11"/>
      <c r="DT1070" s="11"/>
      <c r="DU1070" s="11"/>
      <c r="DV1070" s="11"/>
      <c r="DW1070" s="11"/>
      <c r="DX1070" s="11"/>
      <c r="DY1070" s="11"/>
      <c r="DZ1070" s="11"/>
      <c r="EA1070" s="11"/>
      <c r="EB1070" s="11"/>
      <c r="EC1070" s="11"/>
      <c r="ED1070" s="11"/>
      <c r="EE1070" s="11"/>
      <c r="EF1070" s="11"/>
      <c r="EG1070" s="11"/>
      <c r="EH1070" s="11"/>
      <c r="EI1070" s="11"/>
    </row>
    <row r="1071" spans="1:139" s="52" customFormat="1">
      <c r="A1071" s="85"/>
      <c r="B1071" s="99"/>
      <c r="C1071" s="11"/>
      <c r="K1071" s="77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11"/>
      <c r="AW1071" s="11"/>
      <c r="AX1071" s="11"/>
      <c r="AY1071" s="11"/>
      <c r="AZ1071" s="11"/>
      <c r="BA1071" s="11"/>
      <c r="BB1071" s="11"/>
      <c r="BC1071" s="11"/>
      <c r="BD1071" s="11"/>
      <c r="BE1071" s="11"/>
      <c r="BF1071" s="11"/>
      <c r="BG1071" s="11"/>
      <c r="BH1071" s="11"/>
      <c r="BI1071" s="11"/>
      <c r="BJ1071" s="11"/>
      <c r="BK1071" s="11"/>
      <c r="BL1071" s="11"/>
      <c r="BM1071" s="11"/>
      <c r="BN1071" s="11"/>
      <c r="BO1071" s="11"/>
      <c r="BP1071" s="11"/>
      <c r="BQ1071" s="11"/>
      <c r="BR1071" s="11"/>
      <c r="BS1071" s="11"/>
      <c r="BT1071" s="11"/>
      <c r="BU1071" s="11"/>
      <c r="BV1071" s="11"/>
      <c r="BW1071" s="11"/>
      <c r="BX1071" s="11"/>
      <c r="BY1071" s="11"/>
      <c r="BZ1071" s="11"/>
      <c r="CA1071" s="11"/>
      <c r="CB1071" s="11"/>
      <c r="CC1071" s="11"/>
      <c r="CD1071" s="11"/>
      <c r="CE1071" s="11"/>
      <c r="CF1071" s="11"/>
      <c r="CG1071" s="11"/>
      <c r="CH1071" s="11"/>
      <c r="CI1071" s="11"/>
      <c r="CJ1071" s="11"/>
      <c r="CK1071" s="11"/>
      <c r="CL1071" s="11"/>
      <c r="CM1071" s="11"/>
      <c r="CN1071" s="11"/>
      <c r="CO1071" s="11"/>
      <c r="CP1071" s="11"/>
      <c r="CQ1071" s="11"/>
      <c r="CR1071" s="11"/>
      <c r="CS1071" s="11"/>
      <c r="CT1071" s="11"/>
      <c r="CU1071" s="11"/>
      <c r="CV1071" s="11"/>
      <c r="CW1071" s="11"/>
      <c r="CX1071" s="11"/>
      <c r="CY1071" s="11"/>
      <c r="CZ1071" s="11"/>
      <c r="DA1071" s="11"/>
      <c r="DB1071" s="11"/>
      <c r="DC1071" s="11"/>
      <c r="DD1071" s="11"/>
      <c r="DE1071" s="11"/>
      <c r="DF1071" s="11"/>
      <c r="DG1071" s="11"/>
      <c r="DH1071" s="11"/>
      <c r="DI1071" s="11"/>
      <c r="DJ1071" s="11"/>
      <c r="DK1071" s="11"/>
      <c r="DL1071" s="11"/>
      <c r="DM1071" s="11"/>
      <c r="DN1071" s="11"/>
      <c r="DO1071" s="11"/>
      <c r="DP1071" s="11"/>
      <c r="DQ1071" s="11"/>
      <c r="DR1071" s="11"/>
      <c r="DS1071" s="11"/>
      <c r="DT1071" s="11"/>
      <c r="DU1071" s="11"/>
      <c r="DV1071" s="11"/>
      <c r="DW1071" s="11"/>
      <c r="DX1071" s="11"/>
      <c r="DY1071" s="11"/>
      <c r="DZ1071" s="11"/>
      <c r="EA1071" s="11"/>
      <c r="EB1071" s="11"/>
      <c r="EC1071" s="11"/>
      <c r="ED1071" s="11"/>
      <c r="EE1071" s="11"/>
      <c r="EF1071" s="11"/>
      <c r="EG1071" s="11"/>
      <c r="EH1071" s="11"/>
      <c r="EI1071" s="11"/>
    </row>
    <row r="1072" spans="1:139" s="52" customFormat="1">
      <c r="A1072" s="85"/>
      <c r="B1072" s="99"/>
      <c r="C1072" s="11"/>
      <c r="K1072" s="77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11"/>
      <c r="AW1072" s="11"/>
      <c r="AX1072" s="11"/>
      <c r="AY1072" s="11"/>
      <c r="AZ1072" s="11"/>
      <c r="BA1072" s="11"/>
      <c r="BB1072" s="11"/>
      <c r="BC1072" s="11"/>
      <c r="BD1072" s="11"/>
      <c r="BE1072" s="11"/>
      <c r="BF1072" s="11"/>
      <c r="BG1072" s="11"/>
      <c r="BH1072" s="11"/>
      <c r="BI1072" s="11"/>
      <c r="BJ1072" s="11"/>
      <c r="BK1072" s="11"/>
      <c r="BL1072" s="11"/>
      <c r="BM1072" s="11"/>
      <c r="BN1072" s="11"/>
      <c r="BO1072" s="11"/>
      <c r="BP1072" s="11"/>
      <c r="BQ1072" s="11"/>
      <c r="BR1072" s="11"/>
      <c r="BS1072" s="11"/>
      <c r="BT1072" s="11"/>
      <c r="BU1072" s="11"/>
      <c r="BV1072" s="11"/>
      <c r="BW1072" s="11"/>
      <c r="BX1072" s="11"/>
      <c r="BY1072" s="11"/>
      <c r="BZ1072" s="11"/>
      <c r="CA1072" s="11"/>
      <c r="CB1072" s="11"/>
      <c r="CC1072" s="11"/>
      <c r="CD1072" s="11"/>
      <c r="CE1072" s="11"/>
      <c r="CF1072" s="11"/>
      <c r="CG1072" s="11"/>
      <c r="CH1072" s="11"/>
      <c r="CI1072" s="11"/>
      <c r="CJ1072" s="11"/>
      <c r="CK1072" s="11"/>
      <c r="CL1072" s="11"/>
      <c r="CM1072" s="11"/>
      <c r="CN1072" s="11"/>
      <c r="CO1072" s="11"/>
      <c r="CP1072" s="11"/>
      <c r="CQ1072" s="11"/>
      <c r="CR1072" s="11"/>
      <c r="CS1072" s="11"/>
      <c r="CT1072" s="11"/>
      <c r="CU1072" s="11"/>
      <c r="CV1072" s="11"/>
      <c r="CW1072" s="11"/>
      <c r="CX1072" s="11"/>
      <c r="CY1072" s="11"/>
      <c r="CZ1072" s="11"/>
      <c r="DA1072" s="11"/>
      <c r="DB1072" s="11"/>
      <c r="DC1072" s="11"/>
      <c r="DD1072" s="11"/>
      <c r="DE1072" s="11"/>
      <c r="DF1072" s="11"/>
      <c r="DG1072" s="11"/>
      <c r="DH1072" s="11"/>
      <c r="DI1072" s="11"/>
      <c r="DJ1072" s="11"/>
      <c r="DK1072" s="11"/>
      <c r="DL1072" s="11"/>
      <c r="DM1072" s="11"/>
      <c r="DN1072" s="11"/>
      <c r="DO1072" s="11"/>
      <c r="DP1072" s="11"/>
      <c r="DQ1072" s="11"/>
      <c r="DR1072" s="11"/>
      <c r="DS1072" s="11"/>
      <c r="DT1072" s="11"/>
      <c r="DU1072" s="11"/>
      <c r="DV1072" s="11"/>
      <c r="DW1072" s="11"/>
      <c r="DX1072" s="11"/>
      <c r="DY1072" s="11"/>
      <c r="DZ1072" s="11"/>
      <c r="EA1072" s="11"/>
      <c r="EB1072" s="11"/>
      <c r="EC1072" s="11"/>
      <c r="ED1072" s="11"/>
      <c r="EE1072" s="11"/>
      <c r="EF1072" s="11"/>
      <c r="EG1072" s="11"/>
      <c r="EH1072" s="11"/>
      <c r="EI1072" s="11"/>
    </row>
    <row r="1073" spans="1:139" s="52" customFormat="1">
      <c r="A1073" s="85"/>
      <c r="B1073" s="99"/>
      <c r="C1073" s="11"/>
      <c r="K1073" s="77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11"/>
      <c r="BF1073" s="11"/>
      <c r="BG1073" s="11"/>
      <c r="BH1073" s="11"/>
      <c r="BI1073" s="11"/>
      <c r="BJ1073" s="11"/>
      <c r="BK1073" s="11"/>
      <c r="BL1073" s="11"/>
      <c r="BM1073" s="11"/>
      <c r="BN1073" s="11"/>
      <c r="BO1073" s="11"/>
      <c r="BP1073" s="11"/>
      <c r="BQ1073" s="11"/>
      <c r="BR1073" s="11"/>
      <c r="BS1073" s="11"/>
      <c r="BT1073" s="11"/>
      <c r="BU1073" s="11"/>
      <c r="BV1073" s="11"/>
      <c r="BW1073" s="11"/>
      <c r="BX1073" s="11"/>
      <c r="BY1073" s="11"/>
      <c r="BZ1073" s="11"/>
      <c r="CA1073" s="11"/>
      <c r="CB1073" s="11"/>
      <c r="CC1073" s="11"/>
      <c r="CD1073" s="11"/>
      <c r="CE1073" s="11"/>
      <c r="CF1073" s="11"/>
      <c r="CG1073" s="11"/>
      <c r="CH1073" s="11"/>
      <c r="CI1073" s="11"/>
      <c r="CJ1073" s="11"/>
      <c r="CK1073" s="11"/>
      <c r="CL1073" s="11"/>
      <c r="CM1073" s="11"/>
      <c r="CN1073" s="11"/>
      <c r="CO1073" s="11"/>
      <c r="CP1073" s="11"/>
      <c r="CQ1073" s="11"/>
      <c r="CR1073" s="11"/>
      <c r="CS1073" s="11"/>
      <c r="CT1073" s="11"/>
      <c r="CU1073" s="11"/>
      <c r="CV1073" s="11"/>
      <c r="CW1073" s="11"/>
      <c r="CX1073" s="11"/>
      <c r="CY1073" s="11"/>
      <c r="CZ1073" s="11"/>
      <c r="DA1073" s="11"/>
      <c r="DB1073" s="11"/>
      <c r="DC1073" s="11"/>
      <c r="DD1073" s="11"/>
      <c r="DE1073" s="11"/>
      <c r="DF1073" s="11"/>
      <c r="DG1073" s="11"/>
      <c r="DH1073" s="11"/>
      <c r="DI1073" s="11"/>
      <c r="DJ1073" s="11"/>
      <c r="DK1073" s="11"/>
      <c r="DL1073" s="11"/>
      <c r="DM1073" s="11"/>
      <c r="DN1073" s="11"/>
      <c r="DO1073" s="11"/>
      <c r="DP1073" s="11"/>
      <c r="DQ1073" s="11"/>
      <c r="DR1073" s="11"/>
      <c r="DS1073" s="11"/>
      <c r="DT1073" s="11"/>
      <c r="DU1073" s="11"/>
      <c r="DV1073" s="11"/>
      <c r="DW1073" s="11"/>
      <c r="DX1073" s="11"/>
      <c r="DY1073" s="11"/>
      <c r="DZ1073" s="11"/>
      <c r="EA1073" s="11"/>
      <c r="EB1073" s="11"/>
      <c r="EC1073" s="11"/>
      <c r="ED1073" s="11"/>
      <c r="EE1073" s="11"/>
      <c r="EF1073" s="11"/>
      <c r="EG1073" s="11"/>
      <c r="EH1073" s="11"/>
      <c r="EI1073" s="11"/>
    </row>
    <row r="1074" spans="1:139" s="52" customFormat="1">
      <c r="A1074" s="85"/>
      <c r="B1074" s="99"/>
      <c r="C1074" s="11"/>
      <c r="K1074" s="77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  <c r="AW1074" s="11"/>
      <c r="AX1074" s="11"/>
      <c r="AY1074" s="11"/>
      <c r="AZ1074" s="11"/>
      <c r="BA1074" s="11"/>
      <c r="BB1074" s="11"/>
      <c r="BC1074" s="11"/>
      <c r="BD1074" s="11"/>
      <c r="BE1074" s="11"/>
      <c r="BF1074" s="11"/>
      <c r="BG1074" s="11"/>
      <c r="BH1074" s="11"/>
      <c r="BI1074" s="11"/>
      <c r="BJ1074" s="11"/>
      <c r="BK1074" s="11"/>
      <c r="BL1074" s="11"/>
      <c r="BM1074" s="11"/>
      <c r="BN1074" s="11"/>
      <c r="BO1074" s="11"/>
      <c r="BP1074" s="11"/>
      <c r="BQ1074" s="11"/>
      <c r="BR1074" s="11"/>
      <c r="BS1074" s="11"/>
      <c r="BT1074" s="11"/>
      <c r="BU1074" s="11"/>
      <c r="BV1074" s="11"/>
      <c r="BW1074" s="11"/>
      <c r="BX1074" s="11"/>
      <c r="BY1074" s="11"/>
      <c r="BZ1074" s="11"/>
      <c r="CA1074" s="11"/>
      <c r="CB1074" s="11"/>
      <c r="CC1074" s="11"/>
      <c r="CD1074" s="11"/>
      <c r="CE1074" s="11"/>
      <c r="CF1074" s="11"/>
      <c r="CG1074" s="11"/>
      <c r="CH1074" s="11"/>
      <c r="CI1074" s="11"/>
      <c r="CJ1074" s="11"/>
      <c r="CK1074" s="11"/>
      <c r="CL1074" s="11"/>
      <c r="CM1074" s="11"/>
      <c r="CN1074" s="11"/>
      <c r="CO1074" s="11"/>
      <c r="CP1074" s="11"/>
      <c r="CQ1074" s="11"/>
      <c r="CR1074" s="11"/>
      <c r="CS1074" s="11"/>
      <c r="CT1074" s="11"/>
      <c r="CU1074" s="11"/>
      <c r="CV1074" s="11"/>
      <c r="CW1074" s="11"/>
      <c r="CX1074" s="11"/>
      <c r="CY1074" s="11"/>
      <c r="CZ1074" s="11"/>
      <c r="DA1074" s="11"/>
      <c r="DB1074" s="11"/>
      <c r="DC1074" s="11"/>
      <c r="DD1074" s="11"/>
      <c r="DE1074" s="11"/>
      <c r="DF1074" s="11"/>
      <c r="DG1074" s="11"/>
      <c r="DH1074" s="11"/>
      <c r="DI1074" s="11"/>
      <c r="DJ1074" s="11"/>
      <c r="DK1074" s="11"/>
      <c r="DL1074" s="11"/>
      <c r="DM1074" s="11"/>
      <c r="DN1074" s="11"/>
      <c r="DO1074" s="11"/>
      <c r="DP1074" s="11"/>
      <c r="DQ1074" s="11"/>
      <c r="DR1074" s="11"/>
      <c r="DS1074" s="11"/>
      <c r="DT1074" s="11"/>
      <c r="DU1074" s="11"/>
      <c r="DV1074" s="11"/>
      <c r="DW1074" s="11"/>
      <c r="DX1074" s="11"/>
      <c r="DY1074" s="11"/>
      <c r="DZ1074" s="11"/>
      <c r="EA1074" s="11"/>
      <c r="EB1074" s="11"/>
      <c r="EC1074" s="11"/>
      <c r="ED1074" s="11"/>
      <c r="EE1074" s="11"/>
      <c r="EF1074" s="11"/>
      <c r="EG1074" s="11"/>
      <c r="EH1074" s="11"/>
      <c r="EI1074" s="11"/>
    </row>
    <row r="1075" spans="1:139" s="52" customFormat="1">
      <c r="A1075" s="85"/>
      <c r="B1075" s="99"/>
      <c r="C1075" s="11"/>
      <c r="K1075" s="77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  <c r="AV1075" s="11"/>
      <c r="AW1075" s="11"/>
      <c r="AX1075" s="11"/>
      <c r="AY1075" s="11"/>
      <c r="AZ1075" s="11"/>
      <c r="BA1075" s="11"/>
      <c r="BB1075" s="11"/>
      <c r="BC1075" s="11"/>
      <c r="BD1075" s="11"/>
      <c r="BE1075" s="11"/>
      <c r="BF1075" s="11"/>
      <c r="BG1075" s="11"/>
      <c r="BH1075" s="11"/>
      <c r="BI1075" s="11"/>
      <c r="BJ1075" s="11"/>
      <c r="BK1075" s="11"/>
      <c r="BL1075" s="11"/>
      <c r="BM1075" s="11"/>
      <c r="BN1075" s="11"/>
      <c r="BO1075" s="11"/>
      <c r="BP1075" s="11"/>
      <c r="BQ1075" s="11"/>
      <c r="BR1075" s="11"/>
      <c r="BS1075" s="11"/>
      <c r="BT1075" s="11"/>
      <c r="BU1075" s="11"/>
      <c r="BV1075" s="11"/>
      <c r="BW1075" s="11"/>
      <c r="BX1075" s="11"/>
      <c r="BY1075" s="11"/>
      <c r="BZ1075" s="11"/>
      <c r="CA1075" s="11"/>
      <c r="CB1075" s="11"/>
      <c r="CC1075" s="11"/>
      <c r="CD1075" s="11"/>
      <c r="CE1075" s="11"/>
      <c r="CF1075" s="11"/>
      <c r="CG1075" s="11"/>
      <c r="CH1075" s="11"/>
      <c r="CI1075" s="11"/>
      <c r="CJ1075" s="11"/>
      <c r="CK1075" s="11"/>
      <c r="CL1075" s="11"/>
      <c r="CM1075" s="11"/>
      <c r="CN1075" s="11"/>
      <c r="CO1075" s="11"/>
      <c r="CP1075" s="11"/>
      <c r="CQ1075" s="11"/>
      <c r="CR1075" s="11"/>
      <c r="CS1075" s="11"/>
      <c r="CT1075" s="11"/>
      <c r="CU1075" s="11"/>
      <c r="CV1075" s="11"/>
      <c r="CW1075" s="11"/>
      <c r="CX1075" s="11"/>
      <c r="CY1075" s="11"/>
      <c r="CZ1075" s="11"/>
      <c r="DA1075" s="11"/>
      <c r="DB1075" s="11"/>
      <c r="DC1075" s="11"/>
      <c r="DD1075" s="11"/>
      <c r="DE1075" s="11"/>
      <c r="DF1075" s="11"/>
      <c r="DG1075" s="11"/>
      <c r="DH1075" s="11"/>
      <c r="DI1075" s="11"/>
      <c r="DJ1075" s="11"/>
      <c r="DK1075" s="11"/>
      <c r="DL1075" s="11"/>
      <c r="DM1075" s="11"/>
      <c r="DN1075" s="11"/>
      <c r="DO1075" s="11"/>
      <c r="DP1075" s="11"/>
      <c r="DQ1075" s="11"/>
      <c r="DR1075" s="11"/>
      <c r="DS1075" s="11"/>
      <c r="DT1075" s="11"/>
      <c r="DU1075" s="11"/>
      <c r="DV1075" s="11"/>
      <c r="DW1075" s="11"/>
      <c r="DX1075" s="11"/>
      <c r="DY1075" s="11"/>
      <c r="DZ1075" s="11"/>
      <c r="EA1075" s="11"/>
      <c r="EB1075" s="11"/>
      <c r="EC1075" s="11"/>
      <c r="ED1075" s="11"/>
      <c r="EE1075" s="11"/>
      <c r="EF1075" s="11"/>
      <c r="EG1075" s="11"/>
      <c r="EH1075" s="11"/>
      <c r="EI1075" s="11"/>
    </row>
    <row r="1076" spans="1:139" s="52" customFormat="1">
      <c r="A1076" s="85"/>
      <c r="B1076" s="99"/>
      <c r="C1076" s="11"/>
      <c r="K1076" s="77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1"/>
      <c r="AY1076" s="11"/>
      <c r="AZ1076" s="11"/>
      <c r="BA1076" s="11"/>
      <c r="BB1076" s="11"/>
      <c r="BC1076" s="11"/>
      <c r="BD1076" s="11"/>
      <c r="BE1076" s="11"/>
      <c r="BF1076" s="11"/>
      <c r="BG1076" s="11"/>
      <c r="BH1076" s="11"/>
      <c r="BI1076" s="11"/>
      <c r="BJ1076" s="11"/>
      <c r="BK1076" s="11"/>
      <c r="BL1076" s="11"/>
      <c r="BM1076" s="11"/>
      <c r="BN1076" s="11"/>
      <c r="BO1076" s="11"/>
      <c r="BP1076" s="11"/>
      <c r="BQ1076" s="11"/>
      <c r="BR1076" s="11"/>
      <c r="BS1076" s="11"/>
      <c r="BT1076" s="11"/>
      <c r="BU1076" s="11"/>
      <c r="BV1076" s="11"/>
      <c r="BW1076" s="11"/>
      <c r="BX1076" s="11"/>
      <c r="BY1076" s="11"/>
      <c r="BZ1076" s="11"/>
      <c r="CA1076" s="11"/>
      <c r="CB1076" s="11"/>
      <c r="CC1076" s="11"/>
      <c r="CD1076" s="11"/>
      <c r="CE1076" s="11"/>
      <c r="CF1076" s="11"/>
      <c r="CG1076" s="11"/>
      <c r="CH1076" s="11"/>
      <c r="CI1076" s="11"/>
      <c r="CJ1076" s="11"/>
      <c r="CK1076" s="11"/>
      <c r="CL1076" s="11"/>
      <c r="CM1076" s="11"/>
      <c r="CN1076" s="11"/>
      <c r="CO1076" s="11"/>
      <c r="CP1076" s="11"/>
      <c r="CQ1076" s="11"/>
      <c r="CR1076" s="11"/>
      <c r="CS1076" s="11"/>
      <c r="CT1076" s="11"/>
      <c r="CU1076" s="11"/>
      <c r="CV1076" s="11"/>
      <c r="CW1076" s="11"/>
      <c r="CX1076" s="11"/>
      <c r="CY1076" s="11"/>
      <c r="CZ1076" s="11"/>
      <c r="DA1076" s="11"/>
      <c r="DB1076" s="11"/>
      <c r="DC1076" s="11"/>
      <c r="DD1076" s="11"/>
      <c r="DE1076" s="11"/>
      <c r="DF1076" s="11"/>
      <c r="DG1076" s="11"/>
      <c r="DH1076" s="11"/>
      <c r="DI1076" s="11"/>
      <c r="DJ1076" s="11"/>
      <c r="DK1076" s="11"/>
      <c r="DL1076" s="11"/>
      <c r="DM1076" s="11"/>
      <c r="DN1076" s="11"/>
      <c r="DO1076" s="11"/>
      <c r="DP1076" s="11"/>
      <c r="DQ1076" s="11"/>
      <c r="DR1076" s="11"/>
      <c r="DS1076" s="11"/>
      <c r="DT1076" s="11"/>
      <c r="DU1076" s="11"/>
      <c r="DV1076" s="11"/>
      <c r="DW1076" s="11"/>
      <c r="DX1076" s="11"/>
      <c r="DY1076" s="11"/>
      <c r="DZ1076" s="11"/>
      <c r="EA1076" s="11"/>
      <c r="EB1076" s="11"/>
      <c r="EC1076" s="11"/>
      <c r="ED1076" s="11"/>
      <c r="EE1076" s="11"/>
      <c r="EF1076" s="11"/>
      <c r="EG1076" s="11"/>
      <c r="EH1076" s="11"/>
      <c r="EI1076" s="11"/>
    </row>
    <row r="1077" spans="1:139" s="52" customFormat="1">
      <c r="A1077" s="85"/>
      <c r="B1077" s="99"/>
      <c r="C1077" s="11"/>
      <c r="K1077" s="77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1"/>
      <c r="AY1077" s="11"/>
      <c r="AZ1077" s="11"/>
      <c r="BA1077" s="11"/>
      <c r="BB1077" s="11"/>
      <c r="BC1077" s="11"/>
      <c r="BD1077" s="11"/>
      <c r="BE1077" s="11"/>
      <c r="BF1077" s="11"/>
      <c r="BG1077" s="11"/>
      <c r="BH1077" s="11"/>
      <c r="BI1077" s="11"/>
      <c r="BJ1077" s="11"/>
      <c r="BK1077" s="11"/>
      <c r="BL1077" s="11"/>
      <c r="BM1077" s="11"/>
      <c r="BN1077" s="11"/>
      <c r="BO1077" s="11"/>
      <c r="BP1077" s="11"/>
      <c r="BQ1077" s="11"/>
      <c r="BR1077" s="11"/>
      <c r="BS1077" s="11"/>
      <c r="BT1077" s="11"/>
      <c r="BU1077" s="11"/>
      <c r="BV1077" s="11"/>
      <c r="BW1077" s="11"/>
      <c r="BX1077" s="11"/>
      <c r="BY1077" s="11"/>
      <c r="BZ1077" s="11"/>
      <c r="CA1077" s="11"/>
      <c r="CB1077" s="11"/>
      <c r="CC1077" s="11"/>
      <c r="CD1077" s="11"/>
      <c r="CE1077" s="11"/>
      <c r="CF1077" s="11"/>
      <c r="CG1077" s="11"/>
      <c r="CH1077" s="11"/>
      <c r="CI1077" s="11"/>
      <c r="CJ1077" s="11"/>
      <c r="CK1077" s="11"/>
      <c r="CL1077" s="11"/>
      <c r="CM1077" s="11"/>
      <c r="CN1077" s="11"/>
      <c r="CO1077" s="11"/>
      <c r="CP1077" s="11"/>
      <c r="CQ1077" s="11"/>
      <c r="CR1077" s="11"/>
      <c r="CS1077" s="11"/>
      <c r="CT1077" s="11"/>
      <c r="CU1077" s="11"/>
      <c r="CV1077" s="11"/>
      <c r="CW1077" s="11"/>
      <c r="CX1077" s="11"/>
      <c r="CY1077" s="11"/>
      <c r="CZ1077" s="11"/>
      <c r="DA1077" s="11"/>
      <c r="DB1077" s="11"/>
      <c r="DC1077" s="11"/>
      <c r="DD1077" s="11"/>
      <c r="DE1077" s="11"/>
      <c r="DF1077" s="11"/>
      <c r="DG1077" s="11"/>
      <c r="DH1077" s="11"/>
      <c r="DI1077" s="11"/>
      <c r="DJ1077" s="11"/>
      <c r="DK1077" s="11"/>
      <c r="DL1077" s="11"/>
      <c r="DM1077" s="11"/>
      <c r="DN1077" s="11"/>
      <c r="DO1077" s="11"/>
      <c r="DP1077" s="11"/>
      <c r="DQ1077" s="11"/>
      <c r="DR1077" s="11"/>
      <c r="DS1077" s="11"/>
      <c r="DT1077" s="11"/>
      <c r="DU1077" s="11"/>
      <c r="DV1077" s="11"/>
      <c r="DW1077" s="11"/>
      <c r="DX1077" s="11"/>
      <c r="DY1077" s="11"/>
      <c r="DZ1077" s="11"/>
      <c r="EA1077" s="11"/>
      <c r="EB1077" s="11"/>
      <c r="EC1077" s="11"/>
      <c r="ED1077" s="11"/>
      <c r="EE1077" s="11"/>
      <c r="EF1077" s="11"/>
      <c r="EG1077" s="11"/>
      <c r="EH1077" s="11"/>
      <c r="EI1077" s="11"/>
    </row>
    <row r="1078" spans="1:139" s="52" customFormat="1">
      <c r="A1078" s="85"/>
      <c r="B1078" s="99"/>
      <c r="C1078" s="11"/>
      <c r="K1078" s="77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11"/>
      <c r="AW1078" s="11"/>
      <c r="AX1078" s="11"/>
      <c r="AY1078" s="11"/>
      <c r="AZ1078" s="11"/>
      <c r="BA1078" s="11"/>
      <c r="BB1078" s="11"/>
      <c r="BC1078" s="11"/>
      <c r="BD1078" s="11"/>
      <c r="BE1078" s="11"/>
      <c r="BF1078" s="11"/>
      <c r="BG1078" s="11"/>
      <c r="BH1078" s="11"/>
      <c r="BI1078" s="11"/>
      <c r="BJ1078" s="11"/>
      <c r="BK1078" s="11"/>
      <c r="BL1078" s="11"/>
      <c r="BM1078" s="11"/>
      <c r="BN1078" s="11"/>
      <c r="BO1078" s="11"/>
      <c r="BP1078" s="11"/>
      <c r="BQ1078" s="11"/>
      <c r="BR1078" s="11"/>
      <c r="BS1078" s="11"/>
      <c r="BT1078" s="11"/>
      <c r="BU1078" s="11"/>
      <c r="BV1078" s="11"/>
      <c r="BW1078" s="11"/>
      <c r="BX1078" s="11"/>
      <c r="BY1078" s="11"/>
      <c r="BZ1078" s="11"/>
      <c r="CA1078" s="11"/>
      <c r="CB1078" s="11"/>
      <c r="CC1078" s="11"/>
      <c r="CD1078" s="11"/>
      <c r="CE1078" s="11"/>
      <c r="CF1078" s="11"/>
      <c r="CG1078" s="11"/>
      <c r="CH1078" s="11"/>
      <c r="CI1078" s="11"/>
      <c r="CJ1078" s="11"/>
      <c r="CK1078" s="11"/>
      <c r="CL1078" s="11"/>
      <c r="CM1078" s="11"/>
      <c r="CN1078" s="11"/>
      <c r="CO1078" s="11"/>
      <c r="CP1078" s="11"/>
      <c r="CQ1078" s="11"/>
      <c r="CR1078" s="11"/>
      <c r="CS1078" s="11"/>
      <c r="CT1078" s="11"/>
      <c r="CU1078" s="11"/>
      <c r="CV1078" s="11"/>
      <c r="CW1078" s="11"/>
      <c r="CX1078" s="11"/>
      <c r="CY1078" s="11"/>
      <c r="CZ1078" s="11"/>
      <c r="DA1078" s="11"/>
      <c r="DB1078" s="11"/>
      <c r="DC1078" s="11"/>
      <c r="DD1078" s="11"/>
      <c r="DE1078" s="11"/>
      <c r="DF1078" s="11"/>
      <c r="DG1078" s="11"/>
      <c r="DH1078" s="11"/>
      <c r="DI1078" s="11"/>
      <c r="DJ1078" s="11"/>
      <c r="DK1078" s="11"/>
      <c r="DL1078" s="11"/>
      <c r="DM1078" s="11"/>
      <c r="DN1078" s="11"/>
      <c r="DO1078" s="11"/>
      <c r="DP1078" s="11"/>
      <c r="DQ1078" s="11"/>
      <c r="DR1078" s="11"/>
      <c r="DS1078" s="11"/>
      <c r="DT1078" s="11"/>
      <c r="DU1078" s="11"/>
      <c r="DV1078" s="11"/>
      <c r="DW1078" s="11"/>
      <c r="DX1078" s="11"/>
      <c r="DY1078" s="11"/>
      <c r="DZ1078" s="11"/>
      <c r="EA1078" s="11"/>
      <c r="EB1078" s="11"/>
      <c r="EC1078" s="11"/>
      <c r="ED1078" s="11"/>
      <c r="EE1078" s="11"/>
      <c r="EF1078" s="11"/>
      <c r="EG1078" s="11"/>
      <c r="EH1078" s="11"/>
      <c r="EI1078" s="11"/>
    </row>
    <row r="1079" spans="1:139" s="52" customFormat="1">
      <c r="A1079" s="85"/>
      <c r="B1079" s="99"/>
      <c r="C1079" s="11"/>
      <c r="K1079" s="77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11"/>
      <c r="AW1079" s="11"/>
      <c r="AX1079" s="11"/>
      <c r="AY1079" s="11"/>
      <c r="AZ1079" s="11"/>
      <c r="BA1079" s="11"/>
      <c r="BB1079" s="11"/>
      <c r="BC1079" s="11"/>
      <c r="BD1079" s="11"/>
      <c r="BE1079" s="11"/>
      <c r="BF1079" s="11"/>
      <c r="BG1079" s="11"/>
      <c r="BH1079" s="11"/>
      <c r="BI1079" s="11"/>
      <c r="BJ1079" s="11"/>
      <c r="BK1079" s="11"/>
      <c r="BL1079" s="11"/>
      <c r="BM1079" s="11"/>
      <c r="BN1079" s="11"/>
      <c r="BO1079" s="11"/>
      <c r="BP1079" s="11"/>
      <c r="BQ1079" s="11"/>
      <c r="BR1079" s="11"/>
      <c r="BS1079" s="11"/>
      <c r="BT1079" s="11"/>
      <c r="BU1079" s="11"/>
      <c r="BV1079" s="11"/>
      <c r="BW1079" s="11"/>
      <c r="BX1079" s="11"/>
      <c r="BY1079" s="11"/>
      <c r="BZ1079" s="11"/>
      <c r="CA1079" s="11"/>
      <c r="CB1079" s="11"/>
      <c r="CC1079" s="11"/>
      <c r="CD1079" s="11"/>
      <c r="CE1079" s="11"/>
      <c r="CF1079" s="11"/>
      <c r="CG1079" s="11"/>
      <c r="CH1079" s="11"/>
      <c r="CI1079" s="11"/>
      <c r="CJ1079" s="11"/>
      <c r="CK1079" s="11"/>
      <c r="CL1079" s="11"/>
      <c r="CM1079" s="11"/>
      <c r="CN1079" s="11"/>
      <c r="CO1079" s="11"/>
      <c r="CP1079" s="11"/>
      <c r="CQ1079" s="11"/>
      <c r="CR1079" s="11"/>
      <c r="CS1079" s="11"/>
      <c r="CT1079" s="11"/>
      <c r="CU1079" s="11"/>
      <c r="CV1079" s="11"/>
      <c r="CW1079" s="11"/>
      <c r="CX1079" s="11"/>
      <c r="CY1079" s="11"/>
      <c r="CZ1079" s="11"/>
      <c r="DA1079" s="11"/>
      <c r="DB1079" s="11"/>
      <c r="DC1079" s="11"/>
      <c r="DD1079" s="11"/>
      <c r="DE1079" s="11"/>
      <c r="DF1079" s="11"/>
      <c r="DG1079" s="11"/>
      <c r="DH1079" s="11"/>
      <c r="DI1079" s="11"/>
      <c r="DJ1079" s="11"/>
      <c r="DK1079" s="11"/>
      <c r="DL1079" s="11"/>
      <c r="DM1079" s="11"/>
      <c r="DN1079" s="11"/>
      <c r="DO1079" s="11"/>
      <c r="DP1079" s="11"/>
      <c r="DQ1079" s="11"/>
      <c r="DR1079" s="11"/>
      <c r="DS1079" s="11"/>
      <c r="DT1079" s="11"/>
      <c r="DU1079" s="11"/>
      <c r="DV1079" s="11"/>
      <c r="DW1079" s="11"/>
      <c r="DX1079" s="11"/>
      <c r="DY1079" s="11"/>
      <c r="DZ1079" s="11"/>
      <c r="EA1079" s="11"/>
      <c r="EB1079" s="11"/>
      <c r="EC1079" s="11"/>
      <c r="ED1079" s="11"/>
      <c r="EE1079" s="11"/>
      <c r="EF1079" s="11"/>
      <c r="EG1079" s="11"/>
      <c r="EH1079" s="11"/>
      <c r="EI1079" s="11"/>
    </row>
    <row r="1080" spans="1:139" s="52" customFormat="1">
      <c r="A1080" s="85"/>
      <c r="B1080" s="99"/>
      <c r="C1080" s="11"/>
      <c r="K1080" s="77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  <c r="AV1080" s="11"/>
      <c r="AW1080" s="11"/>
      <c r="AX1080" s="11"/>
      <c r="AY1080" s="11"/>
      <c r="AZ1080" s="11"/>
      <c r="BA1080" s="11"/>
      <c r="BB1080" s="11"/>
      <c r="BC1080" s="11"/>
      <c r="BD1080" s="11"/>
      <c r="BE1080" s="11"/>
      <c r="BF1080" s="11"/>
      <c r="BG1080" s="11"/>
      <c r="BH1080" s="11"/>
      <c r="BI1080" s="11"/>
      <c r="BJ1080" s="11"/>
      <c r="BK1080" s="11"/>
      <c r="BL1080" s="11"/>
      <c r="BM1080" s="11"/>
      <c r="BN1080" s="11"/>
      <c r="BO1080" s="11"/>
      <c r="BP1080" s="11"/>
      <c r="BQ1080" s="11"/>
      <c r="BR1080" s="11"/>
      <c r="BS1080" s="11"/>
      <c r="BT1080" s="11"/>
      <c r="BU1080" s="11"/>
      <c r="BV1080" s="11"/>
      <c r="BW1080" s="11"/>
      <c r="BX1080" s="11"/>
      <c r="BY1080" s="11"/>
      <c r="BZ1080" s="11"/>
      <c r="CA1080" s="11"/>
      <c r="CB1080" s="11"/>
      <c r="CC1080" s="11"/>
      <c r="CD1080" s="11"/>
      <c r="CE1080" s="11"/>
      <c r="CF1080" s="11"/>
      <c r="CG1080" s="11"/>
      <c r="CH1080" s="11"/>
      <c r="CI1080" s="11"/>
      <c r="CJ1080" s="11"/>
      <c r="CK1080" s="11"/>
      <c r="CL1080" s="11"/>
      <c r="CM1080" s="11"/>
      <c r="CN1080" s="11"/>
      <c r="CO1080" s="11"/>
      <c r="CP1080" s="11"/>
      <c r="CQ1080" s="11"/>
      <c r="CR1080" s="11"/>
      <c r="CS1080" s="11"/>
      <c r="CT1080" s="11"/>
      <c r="CU1080" s="11"/>
      <c r="CV1080" s="11"/>
      <c r="CW1080" s="11"/>
      <c r="CX1080" s="11"/>
      <c r="CY1080" s="11"/>
      <c r="CZ1080" s="11"/>
      <c r="DA1080" s="11"/>
      <c r="DB1080" s="11"/>
      <c r="DC1080" s="11"/>
      <c r="DD1080" s="11"/>
      <c r="DE1080" s="11"/>
      <c r="DF1080" s="11"/>
      <c r="DG1080" s="11"/>
      <c r="DH1080" s="11"/>
      <c r="DI1080" s="11"/>
      <c r="DJ1080" s="11"/>
      <c r="DK1080" s="11"/>
      <c r="DL1080" s="11"/>
      <c r="DM1080" s="11"/>
      <c r="DN1080" s="11"/>
      <c r="DO1080" s="11"/>
      <c r="DP1080" s="11"/>
      <c r="DQ1080" s="11"/>
      <c r="DR1080" s="11"/>
      <c r="DS1080" s="11"/>
      <c r="DT1080" s="11"/>
      <c r="DU1080" s="11"/>
      <c r="DV1080" s="11"/>
      <c r="DW1080" s="11"/>
      <c r="DX1080" s="11"/>
      <c r="DY1080" s="11"/>
      <c r="DZ1080" s="11"/>
      <c r="EA1080" s="11"/>
      <c r="EB1080" s="11"/>
      <c r="EC1080" s="11"/>
      <c r="ED1080" s="11"/>
      <c r="EE1080" s="11"/>
      <c r="EF1080" s="11"/>
      <c r="EG1080" s="11"/>
      <c r="EH1080" s="11"/>
      <c r="EI1080" s="11"/>
    </row>
    <row r="1081" spans="1:139" s="52" customFormat="1">
      <c r="A1081" s="85"/>
      <c r="B1081" s="99"/>
      <c r="C1081" s="11"/>
      <c r="K1081" s="77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11"/>
      <c r="AW1081" s="11"/>
      <c r="AX1081" s="11"/>
      <c r="AY1081" s="11"/>
      <c r="AZ1081" s="11"/>
      <c r="BA1081" s="11"/>
      <c r="BB1081" s="11"/>
      <c r="BC1081" s="11"/>
      <c r="BD1081" s="11"/>
      <c r="BE1081" s="11"/>
      <c r="BF1081" s="11"/>
      <c r="BG1081" s="11"/>
      <c r="BH1081" s="11"/>
      <c r="BI1081" s="11"/>
      <c r="BJ1081" s="11"/>
      <c r="BK1081" s="11"/>
      <c r="BL1081" s="11"/>
      <c r="BM1081" s="11"/>
      <c r="BN1081" s="11"/>
      <c r="BO1081" s="11"/>
      <c r="BP1081" s="11"/>
      <c r="BQ1081" s="11"/>
      <c r="BR1081" s="11"/>
      <c r="BS1081" s="11"/>
      <c r="BT1081" s="11"/>
      <c r="BU1081" s="11"/>
      <c r="BV1081" s="11"/>
      <c r="BW1081" s="11"/>
      <c r="BX1081" s="11"/>
      <c r="BY1081" s="11"/>
      <c r="BZ1081" s="11"/>
      <c r="CA1081" s="11"/>
      <c r="CB1081" s="11"/>
      <c r="CC1081" s="11"/>
      <c r="CD1081" s="11"/>
      <c r="CE1081" s="11"/>
      <c r="CF1081" s="11"/>
      <c r="CG1081" s="11"/>
      <c r="CH1081" s="11"/>
      <c r="CI1081" s="11"/>
      <c r="CJ1081" s="11"/>
      <c r="CK1081" s="11"/>
      <c r="CL1081" s="11"/>
      <c r="CM1081" s="11"/>
      <c r="CN1081" s="11"/>
      <c r="CO1081" s="11"/>
      <c r="CP1081" s="11"/>
      <c r="CQ1081" s="11"/>
      <c r="CR1081" s="11"/>
      <c r="CS1081" s="11"/>
      <c r="CT1081" s="11"/>
      <c r="CU1081" s="11"/>
      <c r="CV1081" s="11"/>
      <c r="CW1081" s="11"/>
      <c r="CX1081" s="11"/>
      <c r="CY1081" s="11"/>
      <c r="CZ1081" s="11"/>
      <c r="DA1081" s="11"/>
      <c r="DB1081" s="11"/>
      <c r="DC1081" s="11"/>
      <c r="DD1081" s="11"/>
      <c r="DE1081" s="11"/>
      <c r="DF1081" s="11"/>
      <c r="DG1081" s="11"/>
      <c r="DH1081" s="11"/>
      <c r="DI1081" s="11"/>
      <c r="DJ1081" s="11"/>
      <c r="DK1081" s="11"/>
      <c r="DL1081" s="11"/>
      <c r="DM1081" s="11"/>
      <c r="DN1081" s="11"/>
      <c r="DO1081" s="11"/>
      <c r="DP1081" s="11"/>
      <c r="DQ1081" s="11"/>
      <c r="DR1081" s="11"/>
      <c r="DS1081" s="11"/>
      <c r="DT1081" s="11"/>
      <c r="DU1081" s="11"/>
      <c r="DV1081" s="11"/>
      <c r="DW1081" s="11"/>
      <c r="DX1081" s="11"/>
      <c r="DY1081" s="11"/>
      <c r="DZ1081" s="11"/>
      <c r="EA1081" s="11"/>
      <c r="EB1081" s="11"/>
      <c r="EC1081" s="11"/>
      <c r="ED1081" s="11"/>
      <c r="EE1081" s="11"/>
      <c r="EF1081" s="11"/>
      <c r="EG1081" s="11"/>
      <c r="EH1081" s="11"/>
      <c r="EI1081" s="11"/>
    </row>
    <row r="1082" spans="1:139" s="52" customFormat="1">
      <c r="A1082" s="85"/>
      <c r="B1082" s="99"/>
      <c r="C1082" s="11"/>
      <c r="K1082" s="77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  <c r="AW1082" s="11"/>
      <c r="AX1082" s="11"/>
      <c r="AY1082" s="11"/>
      <c r="AZ1082" s="11"/>
      <c r="BA1082" s="11"/>
      <c r="BB1082" s="11"/>
      <c r="BC1082" s="11"/>
      <c r="BD1082" s="11"/>
      <c r="BE1082" s="11"/>
      <c r="BF1082" s="11"/>
      <c r="BG1082" s="11"/>
      <c r="BH1082" s="11"/>
      <c r="BI1082" s="11"/>
      <c r="BJ1082" s="11"/>
      <c r="BK1082" s="11"/>
      <c r="BL1082" s="11"/>
      <c r="BM1082" s="11"/>
      <c r="BN1082" s="11"/>
      <c r="BO1082" s="11"/>
      <c r="BP1082" s="11"/>
      <c r="BQ1082" s="11"/>
      <c r="BR1082" s="11"/>
      <c r="BS1082" s="11"/>
      <c r="BT1082" s="11"/>
      <c r="BU1082" s="11"/>
      <c r="BV1082" s="11"/>
      <c r="BW1082" s="11"/>
      <c r="BX1082" s="11"/>
      <c r="BY1082" s="11"/>
      <c r="BZ1082" s="11"/>
      <c r="CA1082" s="11"/>
      <c r="CB1082" s="11"/>
      <c r="CC1082" s="11"/>
      <c r="CD1082" s="11"/>
      <c r="CE1082" s="11"/>
      <c r="CF1082" s="11"/>
      <c r="CG1082" s="11"/>
      <c r="CH1082" s="11"/>
      <c r="CI1082" s="11"/>
      <c r="CJ1082" s="11"/>
      <c r="CK1082" s="11"/>
      <c r="CL1082" s="11"/>
      <c r="CM1082" s="11"/>
      <c r="CN1082" s="11"/>
      <c r="CO1082" s="11"/>
      <c r="CP1082" s="11"/>
      <c r="CQ1082" s="11"/>
      <c r="CR1082" s="11"/>
      <c r="CS1082" s="11"/>
      <c r="CT1082" s="11"/>
      <c r="CU1082" s="11"/>
      <c r="CV1082" s="11"/>
      <c r="CW1082" s="11"/>
      <c r="CX1082" s="11"/>
      <c r="CY1082" s="11"/>
      <c r="CZ1082" s="11"/>
      <c r="DA1082" s="11"/>
      <c r="DB1082" s="11"/>
      <c r="DC1082" s="11"/>
      <c r="DD1082" s="11"/>
      <c r="DE1082" s="11"/>
      <c r="DF1082" s="11"/>
      <c r="DG1082" s="11"/>
      <c r="DH1082" s="11"/>
      <c r="DI1082" s="11"/>
      <c r="DJ1082" s="11"/>
      <c r="DK1082" s="11"/>
      <c r="DL1082" s="11"/>
      <c r="DM1082" s="11"/>
      <c r="DN1082" s="11"/>
      <c r="DO1082" s="11"/>
      <c r="DP1082" s="11"/>
      <c r="DQ1082" s="11"/>
      <c r="DR1082" s="11"/>
      <c r="DS1082" s="11"/>
      <c r="DT1082" s="11"/>
      <c r="DU1082" s="11"/>
      <c r="DV1082" s="11"/>
      <c r="DW1082" s="11"/>
      <c r="DX1082" s="11"/>
      <c r="DY1082" s="11"/>
      <c r="DZ1082" s="11"/>
      <c r="EA1082" s="11"/>
      <c r="EB1082" s="11"/>
      <c r="EC1082" s="11"/>
      <c r="ED1082" s="11"/>
      <c r="EE1082" s="11"/>
      <c r="EF1082" s="11"/>
      <c r="EG1082" s="11"/>
      <c r="EH1082" s="11"/>
      <c r="EI1082" s="11"/>
    </row>
    <row r="1083" spans="1:139" s="52" customFormat="1">
      <c r="A1083" s="85"/>
      <c r="B1083" s="99"/>
      <c r="C1083" s="11"/>
      <c r="K1083" s="77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1"/>
      <c r="AY1083" s="11"/>
      <c r="AZ1083" s="11"/>
      <c r="BA1083" s="11"/>
      <c r="BB1083" s="11"/>
      <c r="BC1083" s="11"/>
      <c r="BD1083" s="11"/>
      <c r="BE1083" s="11"/>
      <c r="BF1083" s="11"/>
      <c r="BG1083" s="11"/>
      <c r="BH1083" s="11"/>
      <c r="BI1083" s="11"/>
      <c r="BJ1083" s="11"/>
      <c r="BK1083" s="11"/>
      <c r="BL1083" s="11"/>
      <c r="BM1083" s="11"/>
      <c r="BN1083" s="11"/>
      <c r="BO1083" s="11"/>
      <c r="BP1083" s="11"/>
      <c r="BQ1083" s="11"/>
      <c r="BR1083" s="11"/>
      <c r="BS1083" s="11"/>
      <c r="BT1083" s="11"/>
      <c r="BU1083" s="11"/>
      <c r="BV1083" s="11"/>
      <c r="BW1083" s="11"/>
      <c r="BX1083" s="11"/>
      <c r="BY1083" s="11"/>
      <c r="BZ1083" s="11"/>
      <c r="CA1083" s="11"/>
      <c r="CB1083" s="11"/>
      <c r="CC1083" s="11"/>
      <c r="CD1083" s="11"/>
      <c r="CE1083" s="11"/>
      <c r="CF1083" s="11"/>
      <c r="CG1083" s="11"/>
      <c r="CH1083" s="11"/>
      <c r="CI1083" s="11"/>
      <c r="CJ1083" s="11"/>
      <c r="CK1083" s="11"/>
      <c r="CL1083" s="11"/>
      <c r="CM1083" s="11"/>
      <c r="CN1083" s="11"/>
      <c r="CO1083" s="11"/>
      <c r="CP1083" s="11"/>
      <c r="CQ1083" s="11"/>
      <c r="CR1083" s="11"/>
      <c r="CS1083" s="11"/>
      <c r="CT1083" s="11"/>
      <c r="CU1083" s="11"/>
      <c r="CV1083" s="11"/>
      <c r="CW1083" s="11"/>
      <c r="CX1083" s="11"/>
      <c r="CY1083" s="11"/>
      <c r="CZ1083" s="11"/>
      <c r="DA1083" s="11"/>
      <c r="DB1083" s="11"/>
      <c r="DC1083" s="11"/>
      <c r="DD1083" s="11"/>
      <c r="DE1083" s="11"/>
      <c r="DF1083" s="11"/>
      <c r="DG1083" s="11"/>
      <c r="DH1083" s="11"/>
      <c r="DI1083" s="11"/>
      <c r="DJ1083" s="11"/>
      <c r="DK1083" s="11"/>
      <c r="DL1083" s="11"/>
      <c r="DM1083" s="11"/>
      <c r="DN1083" s="11"/>
      <c r="DO1083" s="11"/>
      <c r="DP1083" s="11"/>
      <c r="DQ1083" s="11"/>
      <c r="DR1083" s="11"/>
      <c r="DS1083" s="11"/>
      <c r="DT1083" s="11"/>
      <c r="DU1083" s="11"/>
      <c r="DV1083" s="11"/>
      <c r="DW1083" s="11"/>
      <c r="DX1083" s="11"/>
      <c r="DY1083" s="11"/>
      <c r="DZ1083" s="11"/>
      <c r="EA1083" s="11"/>
      <c r="EB1083" s="11"/>
      <c r="EC1083" s="11"/>
      <c r="ED1083" s="11"/>
      <c r="EE1083" s="11"/>
      <c r="EF1083" s="11"/>
      <c r="EG1083" s="11"/>
      <c r="EH1083" s="11"/>
      <c r="EI1083" s="11"/>
    </row>
    <row r="1084" spans="1:139" s="52" customFormat="1">
      <c r="A1084" s="85"/>
      <c r="B1084" s="99"/>
      <c r="C1084" s="11"/>
      <c r="K1084" s="77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  <c r="AV1084" s="11"/>
      <c r="AW1084" s="11"/>
      <c r="AX1084" s="11"/>
      <c r="AY1084" s="11"/>
      <c r="AZ1084" s="11"/>
      <c r="BA1084" s="11"/>
      <c r="BB1084" s="11"/>
      <c r="BC1084" s="11"/>
      <c r="BD1084" s="11"/>
      <c r="BE1084" s="11"/>
      <c r="BF1084" s="11"/>
      <c r="BG1084" s="11"/>
      <c r="BH1084" s="11"/>
      <c r="BI1084" s="11"/>
      <c r="BJ1084" s="11"/>
      <c r="BK1084" s="11"/>
      <c r="BL1084" s="11"/>
      <c r="BM1084" s="11"/>
      <c r="BN1084" s="11"/>
      <c r="BO1084" s="11"/>
      <c r="BP1084" s="11"/>
      <c r="BQ1084" s="11"/>
      <c r="BR1084" s="11"/>
      <c r="BS1084" s="11"/>
      <c r="BT1084" s="11"/>
      <c r="BU1084" s="11"/>
      <c r="BV1084" s="11"/>
      <c r="BW1084" s="11"/>
      <c r="BX1084" s="11"/>
      <c r="BY1084" s="11"/>
      <c r="BZ1084" s="11"/>
      <c r="CA1084" s="11"/>
      <c r="CB1084" s="11"/>
      <c r="CC1084" s="11"/>
      <c r="CD1084" s="11"/>
      <c r="CE1084" s="11"/>
      <c r="CF1084" s="11"/>
      <c r="CG1084" s="11"/>
      <c r="CH1084" s="11"/>
      <c r="CI1084" s="11"/>
      <c r="CJ1084" s="11"/>
      <c r="CK1084" s="11"/>
      <c r="CL1084" s="11"/>
      <c r="CM1084" s="11"/>
      <c r="CN1084" s="11"/>
      <c r="CO1084" s="11"/>
      <c r="CP1084" s="11"/>
      <c r="CQ1084" s="11"/>
      <c r="CR1084" s="11"/>
      <c r="CS1084" s="11"/>
      <c r="CT1084" s="11"/>
      <c r="CU1084" s="11"/>
      <c r="CV1084" s="11"/>
      <c r="CW1084" s="11"/>
      <c r="CX1084" s="11"/>
      <c r="CY1084" s="11"/>
      <c r="CZ1084" s="11"/>
      <c r="DA1084" s="11"/>
      <c r="DB1084" s="11"/>
      <c r="DC1084" s="11"/>
      <c r="DD1084" s="11"/>
      <c r="DE1084" s="11"/>
      <c r="DF1084" s="11"/>
      <c r="DG1084" s="11"/>
      <c r="DH1084" s="11"/>
      <c r="DI1084" s="11"/>
      <c r="DJ1084" s="11"/>
      <c r="DK1084" s="11"/>
      <c r="DL1084" s="11"/>
      <c r="DM1084" s="11"/>
      <c r="DN1084" s="11"/>
      <c r="DO1084" s="11"/>
      <c r="DP1084" s="11"/>
      <c r="DQ1084" s="11"/>
      <c r="DR1084" s="11"/>
      <c r="DS1084" s="11"/>
      <c r="DT1084" s="11"/>
      <c r="DU1084" s="11"/>
      <c r="DV1084" s="11"/>
      <c r="DW1084" s="11"/>
      <c r="DX1084" s="11"/>
      <c r="DY1084" s="11"/>
      <c r="DZ1084" s="11"/>
      <c r="EA1084" s="11"/>
      <c r="EB1084" s="11"/>
      <c r="EC1084" s="11"/>
      <c r="ED1084" s="11"/>
      <c r="EE1084" s="11"/>
      <c r="EF1084" s="11"/>
      <c r="EG1084" s="11"/>
      <c r="EH1084" s="11"/>
      <c r="EI1084" s="11"/>
    </row>
    <row r="1085" spans="1:139" s="52" customFormat="1">
      <c r="A1085" s="85"/>
      <c r="B1085" s="99"/>
      <c r="C1085" s="11"/>
      <c r="K1085" s="77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11"/>
      <c r="AW1085" s="11"/>
      <c r="AX1085" s="11"/>
      <c r="AY1085" s="11"/>
      <c r="AZ1085" s="11"/>
      <c r="BA1085" s="11"/>
      <c r="BB1085" s="11"/>
      <c r="BC1085" s="11"/>
      <c r="BD1085" s="11"/>
      <c r="BE1085" s="11"/>
      <c r="BF1085" s="11"/>
      <c r="BG1085" s="11"/>
      <c r="BH1085" s="11"/>
      <c r="BI1085" s="11"/>
      <c r="BJ1085" s="11"/>
      <c r="BK1085" s="11"/>
      <c r="BL1085" s="11"/>
      <c r="BM1085" s="11"/>
      <c r="BN1085" s="11"/>
      <c r="BO1085" s="11"/>
      <c r="BP1085" s="11"/>
      <c r="BQ1085" s="11"/>
      <c r="BR1085" s="11"/>
      <c r="BS1085" s="11"/>
      <c r="BT1085" s="11"/>
      <c r="BU1085" s="11"/>
      <c r="BV1085" s="11"/>
      <c r="BW1085" s="11"/>
      <c r="BX1085" s="11"/>
      <c r="BY1085" s="11"/>
      <c r="BZ1085" s="11"/>
      <c r="CA1085" s="11"/>
      <c r="CB1085" s="11"/>
      <c r="CC1085" s="11"/>
      <c r="CD1085" s="11"/>
      <c r="CE1085" s="11"/>
      <c r="CF1085" s="11"/>
      <c r="CG1085" s="11"/>
      <c r="CH1085" s="11"/>
      <c r="CI1085" s="11"/>
      <c r="CJ1085" s="11"/>
      <c r="CK1085" s="11"/>
      <c r="CL1085" s="11"/>
      <c r="CM1085" s="11"/>
      <c r="CN1085" s="11"/>
      <c r="CO1085" s="11"/>
      <c r="CP1085" s="11"/>
      <c r="CQ1085" s="11"/>
      <c r="CR1085" s="11"/>
      <c r="CS1085" s="11"/>
      <c r="CT1085" s="11"/>
      <c r="CU1085" s="11"/>
      <c r="CV1085" s="11"/>
      <c r="CW1085" s="11"/>
      <c r="CX1085" s="11"/>
      <c r="CY1085" s="11"/>
      <c r="CZ1085" s="11"/>
      <c r="DA1085" s="11"/>
      <c r="DB1085" s="11"/>
      <c r="DC1085" s="11"/>
      <c r="DD1085" s="11"/>
      <c r="DE1085" s="11"/>
      <c r="DF1085" s="11"/>
      <c r="DG1085" s="11"/>
      <c r="DH1085" s="11"/>
      <c r="DI1085" s="11"/>
      <c r="DJ1085" s="11"/>
      <c r="DK1085" s="11"/>
      <c r="DL1085" s="11"/>
      <c r="DM1085" s="11"/>
      <c r="DN1085" s="11"/>
      <c r="DO1085" s="11"/>
      <c r="DP1085" s="11"/>
      <c r="DQ1085" s="11"/>
      <c r="DR1085" s="11"/>
      <c r="DS1085" s="11"/>
      <c r="DT1085" s="11"/>
      <c r="DU1085" s="11"/>
      <c r="DV1085" s="11"/>
      <c r="DW1085" s="11"/>
      <c r="DX1085" s="11"/>
      <c r="DY1085" s="11"/>
      <c r="DZ1085" s="11"/>
      <c r="EA1085" s="11"/>
      <c r="EB1085" s="11"/>
      <c r="EC1085" s="11"/>
      <c r="ED1085" s="11"/>
      <c r="EE1085" s="11"/>
      <c r="EF1085" s="11"/>
      <c r="EG1085" s="11"/>
      <c r="EH1085" s="11"/>
      <c r="EI1085" s="11"/>
    </row>
    <row r="1086" spans="1:139" s="52" customFormat="1">
      <c r="A1086" s="85"/>
      <c r="B1086" s="99"/>
      <c r="C1086" s="11"/>
      <c r="K1086" s="77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11"/>
      <c r="AW1086" s="11"/>
      <c r="AX1086" s="11"/>
      <c r="AY1086" s="11"/>
      <c r="AZ1086" s="11"/>
      <c r="BA1086" s="11"/>
      <c r="BB1086" s="11"/>
      <c r="BC1086" s="11"/>
      <c r="BD1086" s="11"/>
      <c r="BE1086" s="11"/>
      <c r="BF1086" s="11"/>
      <c r="BG1086" s="11"/>
      <c r="BH1086" s="11"/>
      <c r="BI1086" s="11"/>
      <c r="BJ1086" s="11"/>
      <c r="BK1086" s="11"/>
      <c r="BL1086" s="11"/>
      <c r="BM1086" s="11"/>
      <c r="BN1086" s="11"/>
      <c r="BO1086" s="11"/>
      <c r="BP1086" s="11"/>
      <c r="BQ1086" s="11"/>
      <c r="BR1086" s="11"/>
      <c r="BS1086" s="11"/>
      <c r="BT1086" s="11"/>
      <c r="BU1086" s="11"/>
      <c r="BV1086" s="11"/>
      <c r="BW1086" s="11"/>
      <c r="BX1086" s="11"/>
      <c r="BY1086" s="11"/>
      <c r="BZ1086" s="11"/>
      <c r="CA1086" s="11"/>
      <c r="CB1086" s="11"/>
      <c r="CC1086" s="11"/>
      <c r="CD1086" s="11"/>
      <c r="CE1086" s="11"/>
      <c r="CF1086" s="11"/>
      <c r="CG1086" s="11"/>
      <c r="CH1086" s="11"/>
      <c r="CI1086" s="11"/>
      <c r="CJ1086" s="11"/>
      <c r="CK1086" s="11"/>
      <c r="CL1086" s="11"/>
      <c r="CM1086" s="11"/>
      <c r="CN1086" s="11"/>
      <c r="CO1086" s="11"/>
      <c r="CP1086" s="11"/>
      <c r="CQ1086" s="11"/>
      <c r="CR1086" s="11"/>
      <c r="CS1086" s="11"/>
      <c r="CT1086" s="11"/>
      <c r="CU1086" s="11"/>
      <c r="CV1086" s="11"/>
      <c r="CW1086" s="11"/>
      <c r="CX1086" s="11"/>
      <c r="CY1086" s="11"/>
      <c r="CZ1086" s="11"/>
      <c r="DA1086" s="11"/>
      <c r="DB1086" s="11"/>
      <c r="DC1086" s="11"/>
      <c r="DD1086" s="11"/>
      <c r="DE1086" s="11"/>
      <c r="DF1086" s="11"/>
      <c r="DG1086" s="11"/>
      <c r="DH1086" s="11"/>
      <c r="DI1086" s="11"/>
      <c r="DJ1086" s="11"/>
      <c r="DK1086" s="11"/>
      <c r="DL1086" s="11"/>
      <c r="DM1086" s="11"/>
      <c r="DN1086" s="11"/>
      <c r="DO1086" s="11"/>
      <c r="DP1086" s="11"/>
      <c r="DQ1086" s="11"/>
      <c r="DR1086" s="11"/>
      <c r="DS1086" s="11"/>
      <c r="DT1086" s="11"/>
      <c r="DU1086" s="11"/>
      <c r="DV1086" s="11"/>
      <c r="DW1086" s="11"/>
      <c r="DX1086" s="11"/>
      <c r="DY1086" s="11"/>
      <c r="DZ1086" s="11"/>
      <c r="EA1086" s="11"/>
      <c r="EB1086" s="11"/>
      <c r="EC1086" s="11"/>
      <c r="ED1086" s="11"/>
      <c r="EE1086" s="11"/>
      <c r="EF1086" s="11"/>
      <c r="EG1086" s="11"/>
      <c r="EH1086" s="11"/>
      <c r="EI1086" s="11"/>
    </row>
    <row r="1087" spans="1:139" s="52" customFormat="1">
      <c r="A1087" s="85"/>
      <c r="B1087" s="99"/>
      <c r="C1087" s="11"/>
      <c r="K1087" s="77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  <c r="AV1087" s="11"/>
      <c r="AW1087" s="11"/>
      <c r="AX1087" s="11"/>
      <c r="AY1087" s="11"/>
      <c r="AZ1087" s="11"/>
      <c r="BA1087" s="11"/>
      <c r="BB1087" s="11"/>
      <c r="BC1087" s="11"/>
      <c r="BD1087" s="11"/>
      <c r="BE1087" s="11"/>
      <c r="BF1087" s="11"/>
      <c r="BG1087" s="11"/>
      <c r="BH1087" s="11"/>
      <c r="BI1087" s="11"/>
      <c r="BJ1087" s="11"/>
      <c r="BK1087" s="11"/>
      <c r="BL1087" s="11"/>
      <c r="BM1087" s="11"/>
      <c r="BN1087" s="11"/>
      <c r="BO1087" s="11"/>
      <c r="BP1087" s="11"/>
      <c r="BQ1087" s="11"/>
      <c r="BR1087" s="11"/>
      <c r="BS1087" s="11"/>
      <c r="BT1087" s="11"/>
      <c r="BU1087" s="11"/>
      <c r="BV1087" s="11"/>
      <c r="BW1087" s="11"/>
      <c r="BX1087" s="11"/>
      <c r="BY1087" s="11"/>
      <c r="BZ1087" s="11"/>
      <c r="CA1087" s="11"/>
      <c r="CB1087" s="11"/>
      <c r="CC1087" s="11"/>
      <c r="CD1087" s="11"/>
      <c r="CE1087" s="11"/>
      <c r="CF1087" s="11"/>
      <c r="CG1087" s="11"/>
      <c r="CH1087" s="11"/>
      <c r="CI1087" s="11"/>
      <c r="CJ1087" s="11"/>
      <c r="CK1087" s="11"/>
      <c r="CL1087" s="11"/>
      <c r="CM1087" s="11"/>
      <c r="CN1087" s="11"/>
      <c r="CO1087" s="11"/>
      <c r="CP1087" s="11"/>
      <c r="CQ1087" s="11"/>
      <c r="CR1087" s="11"/>
      <c r="CS1087" s="11"/>
      <c r="CT1087" s="11"/>
      <c r="CU1087" s="11"/>
      <c r="CV1087" s="11"/>
      <c r="CW1087" s="11"/>
      <c r="CX1087" s="11"/>
      <c r="CY1087" s="11"/>
      <c r="CZ1087" s="11"/>
      <c r="DA1087" s="11"/>
      <c r="DB1087" s="11"/>
      <c r="DC1087" s="11"/>
      <c r="DD1087" s="11"/>
      <c r="DE1087" s="11"/>
      <c r="DF1087" s="11"/>
      <c r="DG1087" s="11"/>
      <c r="DH1087" s="11"/>
      <c r="DI1087" s="11"/>
      <c r="DJ1087" s="11"/>
      <c r="DK1087" s="11"/>
      <c r="DL1087" s="11"/>
      <c r="DM1087" s="11"/>
      <c r="DN1087" s="11"/>
      <c r="DO1087" s="11"/>
      <c r="DP1087" s="11"/>
      <c r="DQ1087" s="11"/>
      <c r="DR1087" s="11"/>
      <c r="DS1087" s="11"/>
      <c r="DT1087" s="11"/>
      <c r="DU1087" s="11"/>
      <c r="DV1087" s="11"/>
      <c r="DW1087" s="11"/>
      <c r="DX1087" s="11"/>
      <c r="DY1087" s="11"/>
      <c r="DZ1087" s="11"/>
      <c r="EA1087" s="11"/>
      <c r="EB1087" s="11"/>
      <c r="EC1087" s="11"/>
      <c r="ED1087" s="11"/>
      <c r="EE1087" s="11"/>
      <c r="EF1087" s="11"/>
      <c r="EG1087" s="11"/>
      <c r="EH1087" s="11"/>
      <c r="EI1087" s="11"/>
    </row>
    <row r="1088" spans="1:139" s="52" customFormat="1">
      <c r="A1088" s="85"/>
      <c r="B1088" s="99"/>
      <c r="C1088" s="11"/>
      <c r="K1088" s="77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11"/>
      <c r="AW1088" s="11"/>
      <c r="AX1088" s="11"/>
      <c r="AY1088" s="11"/>
      <c r="AZ1088" s="11"/>
      <c r="BA1088" s="11"/>
      <c r="BB1088" s="11"/>
      <c r="BC1088" s="11"/>
      <c r="BD1088" s="11"/>
      <c r="BE1088" s="11"/>
      <c r="BF1088" s="11"/>
      <c r="BG1088" s="11"/>
      <c r="BH1088" s="11"/>
      <c r="BI1088" s="11"/>
      <c r="BJ1088" s="11"/>
      <c r="BK1088" s="11"/>
      <c r="BL1088" s="11"/>
      <c r="BM1088" s="11"/>
      <c r="BN1088" s="11"/>
      <c r="BO1088" s="11"/>
      <c r="BP1088" s="11"/>
      <c r="BQ1088" s="11"/>
      <c r="BR1088" s="11"/>
      <c r="BS1088" s="11"/>
      <c r="BT1088" s="11"/>
      <c r="BU1088" s="11"/>
      <c r="BV1088" s="11"/>
      <c r="BW1088" s="11"/>
      <c r="BX1088" s="11"/>
      <c r="BY1088" s="11"/>
      <c r="BZ1088" s="11"/>
      <c r="CA1088" s="11"/>
      <c r="CB1088" s="11"/>
      <c r="CC1088" s="11"/>
      <c r="CD1088" s="11"/>
      <c r="CE1088" s="11"/>
      <c r="CF1088" s="11"/>
      <c r="CG1088" s="11"/>
      <c r="CH1088" s="11"/>
      <c r="CI1088" s="11"/>
      <c r="CJ1088" s="11"/>
      <c r="CK1088" s="11"/>
      <c r="CL1088" s="11"/>
      <c r="CM1088" s="11"/>
      <c r="CN1088" s="11"/>
      <c r="CO1088" s="11"/>
      <c r="CP1088" s="11"/>
      <c r="CQ1088" s="11"/>
      <c r="CR1088" s="11"/>
      <c r="CS1088" s="11"/>
      <c r="CT1088" s="11"/>
      <c r="CU1088" s="11"/>
      <c r="CV1088" s="11"/>
      <c r="CW1088" s="11"/>
      <c r="CX1088" s="11"/>
      <c r="CY1088" s="11"/>
      <c r="CZ1088" s="11"/>
      <c r="DA1088" s="11"/>
      <c r="DB1088" s="11"/>
      <c r="DC1088" s="11"/>
      <c r="DD1088" s="11"/>
      <c r="DE1088" s="11"/>
      <c r="DF1088" s="11"/>
      <c r="DG1088" s="11"/>
      <c r="DH1088" s="11"/>
      <c r="DI1088" s="11"/>
      <c r="DJ1088" s="11"/>
      <c r="DK1088" s="11"/>
      <c r="DL1088" s="11"/>
      <c r="DM1088" s="11"/>
      <c r="DN1088" s="11"/>
      <c r="DO1088" s="11"/>
      <c r="DP1088" s="11"/>
      <c r="DQ1088" s="11"/>
      <c r="DR1088" s="11"/>
      <c r="DS1088" s="11"/>
      <c r="DT1088" s="11"/>
      <c r="DU1088" s="11"/>
      <c r="DV1088" s="11"/>
      <c r="DW1088" s="11"/>
      <c r="DX1088" s="11"/>
      <c r="DY1088" s="11"/>
      <c r="DZ1088" s="11"/>
      <c r="EA1088" s="11"/>
      <c r="EB1088" s="11"/>
      <c r="EC1088" s="11"/>
      <c r="ED1088" s="11"/>
      <c r="EE1088" s="11"/>
      <c r="EF1088" s="11"/>
      <c r="EG1088" s="11"/>
      <c r="EH1088" s="11"/>
      <c r="EI1088" s="11"/>
    </row>
    <row r="1089" spans="1:139" s="52" customFormat="1">
      <c r="A1089" s="85"/>
      <c r="B1089" s="99"/>
      <c r="C1089" s="11"/>
      <c r="K1089" s="77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11"/>
      <c r="AW1089" s="11"/>
      <c r="AX1089" s="11"/>
      <c r="AY1089" s="11"/>
      <c r="AZ1089" s="11"/>
      <c r="BA1089" s="11"/>
      <c r="BB1089" s="11"/>
      <c r="BC1089" s="11"/>
      <c r="BD1089" s="11"/>
      <c r="BE1089" s="11"/>
      <c r="BF1089" s="11"/>
      <c r="BG1089" s="11"/>
      <c r="BH1089" s="11"/>
      <c r="BI1089" s="11"/>
      <c r="BJ1089" s="11"/>
      <c r="BK1089" s="11"/>
      <c r="BL1089" s="11"/>
      <c r="BM1089" s="11"/>
      <c r="BN1089" s="11"/>
      <c r="BO1089" s="11"/>
      <c r="BP1089" s="11"/>
      <c r="BQ1089" s="11"/>
      <c r="BR1089" s="11"/>
      <c r="BS1089" s="11"/>
      <c r="BT1089" s="11"/>
      <c r="BU1089" s="11"/>
      <c r="BV1089" s="11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</row>
    <row r="1090" spans="1:139" s="52" customFormat="1">
      <c r="A1090" s="85"/>
      <c r="B1090" s="99"/>
      <c r="C1090" s="11"/>
      <c r="K1090" s="77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  <c r="AV1090" s="11"/>
      <c r="AW1090" s="11"/>
      <c r="AX1090" s="11"/>
      <c r="AY1090" s="11"/>
      <c r="AZ1090" s="11"/>
      <c r="BA1090" s="11"/>
      <c r="BB1090" s="11"/>
      <c r="BC1090" s="11"/>
      <c r="BD1090" s="11"/>
      <c r="BE1090" s="11"/>
      <c r="BF1090" s="11"/>
      <c r="BG1090" s="11"/>
      <c r="BH1090" s="11"/>
      <c r="BI1090" s="11"/>
      <c r="BJ1090" s="11"/>
      <c r="BK1090" s="11"/>
      <c r="BL1090" s="11"/>
      <c r="BM1090" s="11"/>
      <c r="BN1090" s="11"/>
      <c r="BO1090" s="11"/>
      <c r="BP1090" s="11"/>
      <c r="BQ1090" s="11"/>
      <c r="BR1090" s="11"/>
      <c r="BS1090" s="11"/>
      <c r="BT1090" s="11"/>
      <c r="BU1090" s="11"/>
      <c r="BV1090" s="11"/>
      <c r="BW1090" s="11"/>
      <c r="BX1090" s="11"/>
      <c r="BY1090" s="11"/>
      <c r="BZ1090" s="11"/>
      <c r="CA1090" s="11"/>
      <c r="CB1090" s="11"/>
      <c r="CC1090" s="11"/>
      <c r="CD1090" s="11"/>
      <c r="CE1090" s="11"/>
      <c r="CF1090" s="11"/>
      <c r="CG1090" s="11"/>
      <c r="CH1090" s="11"/>
      <c r="CI1090" s="11"/>
      <c r="CJ1090" s="11"/>
      <c r="CK1090" s="11"/>
      <c r="CL1090" s="11"/>
      <c r="CM1090" s="11"/>
      <c r="CN1090" s="11"/>
      <c r="CO1090" s="11"/>
      <c r="CP1090" s="11"/>
      <c r="CQ1090" s="11"/>
      <c r="CR1090" s="11"/>
      <c r="CS1090" s="11"/>
      <c r="CT1090" s="11"/>
      <c r="CU1090" s="11"/>
      <c r="CV1090" s="11"/>
      <c r="CW1090" s="11"/>
      <c r="CX1090" s="11"/>
      <c r="CY1090" s="11"/>
      <c r="CZ1090" s="11"/>
      <c r="DA1090" s="11"/>
      <c r="DB1090" s="11"/>
      <c r="DC1090" s="11"/>
      <c r="DD1090" s="11"/>
      <c r="DE1090" s="11"/>
      <c r="DF1090" s="11"/>
      <c r="DG1090" s="11"/>
      <c r="DH1090" s="11"/>
      <c r="DI1090" s="11"/>
      <c r="DJ1090" s="11"/>
      <c r="DK1090" s="11"/>
      <c r="DL1090" s="11"/>
      <c r="DM1090" s="11"/>
      <c r="DN1090" s="11"/>
      <c r="DO1090" s="11"/>
      <c r="DP1090" s="11"/>
      <c r="DQ1090" s="11"/>
      <c r="DR1090" s="11"/>
      <c r="DS1090" s="11"/>
      <c r="DT1090" s="11"/>
      <c r="DU1090" s="11"/>
      <c r="DV1090" s="11"/>
      <c r="DW1090" s="11"/>
      <c r="DX1090" s="11"/>
      <c r="DY1090" s="11"/>
      <c r="DZ1090" s="11"/>
      <c r="EA1090" s="11"/>
      <c r="EB1090" s="11"/>
      <c r="EC1090" s="11"/>
      <c r="ED1090" s="11"/>
      <c r="EE1090" s="11"/>
      <c r="EF1090" s="11"/>
      <c r="EG1090" s="11"/>
      <c r="EH1090" s="11"/>
      <c r="EI1090" s="11"/>
    </row>
    <row r="1091" spans="1:139" s="52" customFormat="1">
      <c r="A1091" s="85"/>
      <c r="B1091" s="99"/>
      <c r="C1091" s="11"/>
      <c r="K1091" s="77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1"/>
      <c r="AY1091" s="11"/>
      <c r="AZ1091" s="11"/>
      <c r="BA1091" s="11"/>
      <c r="BB1091" s="11"/>
      <c r="BC1091" s="11"/>
      <c r="BD1091" s="11"/>
      <c r="BE1091" s="11"/>
      <c r="BF1091" s="11"/>
      <c r="BG1091" s="11"/>
      <c r="BH1091" s="11"/>
      <c r="BI1091" s="11"/>
      <c r="BJ1091" s="11"/>
      <c r="BK1091" s="11"/>
      <c r="BL1091" s="11"/>
      <c r="BM1091" s="11"/>
      <c r="BN1091" s="11"/>
      <c r="BO1091" s="11"/>
      <c r="BP1091" s="11"/>
      <c r="BQ1091" s="11"/>
      <c r="BR1091" s="11"/>
      <c r="BS1091" s="11"/>
      <c r="BT1091" s="11"/>
      <c r="BU1091" s="11"/>
      <c r="BV1091" s="11"/>
      <c r="BW1091" s="11"/>
      <c r="BX1091" s="11"/>
      <c r="BY1091" s="11"/>
      <c r="BZ1091" s="11"/>
      <c r="CA1091" s="11"/>
      <c r="CB1091" s="11"/>
      <c r="CC1091" s="11"/>
      <c r="CD1091" s="11"/>
      <c r="CE1091" s="11"/>
      <c r="CF1091" s="11"/>
      <c r="CG1091" s="11"/>
      <c r="CH1091" s="11"/>
      <c r="CI1091" s="11"/>
      <c r="CJ1091" s="11"/>
      <c r="CK1091" s="11"/>
      <c r="CL1091" s="11"/>
      <c r="CM1091" s="11"/>
      <c r="CN1091" s="11"/>
      <c r="CO1091" s="11"/>
      <c r="CP1091" s="11"/>
      <c r="CQ1091" s="11"/>
      <c r="CR1091" s="11"/>
      <c r="CS1091" s="11"/>
      <c r="CT1091" s="11"/>
      <c r="CU1091" s="11"/>
      <c r="CV1091" s="11"/>
      <c r="CW1091" s="11"/>
      <c r="CX1091" s="11"/>
      <c r="CY1091" s="11"/>
      <c r="CZ1091" s="11"/>
      <c r="DA1091" s="11"/>
      <c r="DB1091" s="11"/>
      <c r="DC1091" s="11"/>
      <c r="DD1091" s="11"/>
      <c r="DE1091" s="11"/>
      <c r="DF1091" s="11"/>
      <c r="DG1091" s="11"/>
      <c r="DH1091" s="11"/>
      <c r="DI1091" s="11"/>
      <c r="DJ1091" s="11"/>
      <c r="DK1091" s="11"/>
      <c r="DL1091" s="11"/>
      <c r="DM1091" s="11"/>
      <c r="DN1091" s="11"/>
      <c r="DO1091" s="11"/>
      <c r="DP1091" s="11"/>
      <c r="DQ1091" s="11"/>
      <c r="DR1091" s="11"/>
      <c r="DS1091" s="11"/>
      <c r="DT1091" s="11"/>
      <c r="DU1091" s="11"/>
      <c r="DV1091" s="11"/>
      <c r="DW1091" s="11"/>
      <c r="DX1091" s="11"/>
      <c r="DY1091" s="11"/>
      <c r="DZ1091" s="11"/>
      <c r="EA1091" s="11"/>
      <c r="EB1091" s="11"/>
      <c r="EC1091" s="11"/>
      <c r="ED1091" s="11"/>
      <c r="EE1091" s="11"/>
      <c r="EF1091" s="11"/>
      <c r="EG1091" s="11"/>
      <c r="EH1091" s="11"/>
      <c r="EI1091" s="11"/>
    </row>
    <row r="1092" spans="1:139" s="52" customFormat="1">
      <c r="A1092" s="85"/>
      <c r="B1092" s="99"/>
      <c r="C1092" s="11"/>
      <c r="K1092" s="77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  <c r="AW1092" s="11"/>
      <c r="AX1092" s="11"/>
      <c r="AY1092" s="11"/>
      <c r="AZ1092" s="11"/>
      <c r="BA1092" s="11"/>
      <c r="BB1092" s="11"/>
      <c r="BC1092" s="11"/>
      <c r="BD1092" s="11"/>
      <c r="BE1092" s="11"/>
      <c r="BF1092" s="11"/>
      <c r="BG1092" s="11"/>
      <c r="BH1092" s="11"/>
      <c r="BI1092" s="11"/>
      <c r="BJ1092" s="11"/>
      <c r="BK1092" s="11"/>
      <c r="BL1092" s="11"/>
      <c r="BM1092" s="11"/>
      <c r="BN1092" s="11"/>
      <c r="BO1092" s="11"/>
      <c r="BP1092" s="11"/>
      <c r="BQ1092" s="11"/>
      <c r="BR1092" s="11"/>
      <c r="BS1092" s="11"/>
      <c r="BT1092" s="11"/>
      <c r="BU1092" s="11"/>
      <c r="BV1092" s="11"/>
      <c r="BW1092" s="11"/>
      <c r="BX1092" s="11"/>
      <c r="BY1092" s="11"/>
      <c r="BZ1092" s="11"/>
      <c r="CA1092" s="11"/>
      <c r="CB1092" s="11"/>
      <c r="CC1092" s="11"/>
      <c r="CD1092" s="11"/>
      <c r="CE1092" s="11"/>
      <c r="CF1092" s="11"/>
      <c r="CG1092" s="11"/>
      <c r="CH1092" s="11"/>
      <c r="CI1092" s="11"/>
      <c r="CJ1092" s="11"/>
      <c r="CK1092" s="11"/>
      <c r="CL1092" s="11"/>
      <c r="CM1092" s="11"/>
      <c r="CN1092" s="11"/>
      <c r="CO1092" s="11"/>
      <c r="CP1092" s="11"/>
      <c r="CQ1092" s="11"/>
      <c r="CR1092" s="11"/>
      <c r="CS1092" s="11"/>
      <c r="CT1092" s="11"/>
      <c r="CU1092" s="11"/>
      <c r="CV1092" s="11"/>
      <c r="CW1092" s="11"/>
      <c r="CX1092" s="11"/>
      <c r="CY1092" s="11"/>
      <c r="CZ1092" s="11"/>
      <c r="DA1092" s="11"/>
      <c r="DB1092" s="11"/>
      <c r="DC1092" s="11"/>
      <c r="DD1092" s="11"/>
      <c r="DE1092" s="11"/>
      <c r="DF1092" s="11"/>
      <c r="DG1092" s="11"/>
      <c r="DH1092" s="11"/>
      <c r="DI1092" s="11"/>
      <c r="DJ1092" s="11"/>
      <c r="DK1092" s="11"/>
      <c r="DL1092" s="11"/>
      <c r="DM1092" s="11"/>
      <c r="DN1092" s="11"/>
      <c r="DO1092" s="11"/>
      <c r="DP1092" s="11"/>
      <c r="DQ1092" s="11"/>
      <c r="DR1092" s="11"/>
      <c r="DS1092" s="11"/>
      <c r="DT1092" s="11"/>
      <c r="DU1092" s="11"/>
      <c r="DV1092" s="11"/>
      <c r="DW1092" s="11"/>
      <c r="DX1092" s="11"/>
      <c r="DY1092" s="11"/>
      <c r="DZ1092" s="11"/>
      <c r="EA1092" s="11"/>
      <c r="EB1092" s="11"/>
      <c r="EC1092" s="11"/>
      <c r="ED1092" s="11"/>
      <c r="EE1092" s="11"/>
      <c r="EF1092" s="11"/>
      <c r="EG1092" s="11"/>
      <c r="EH1092" s="11"/>
      <c r="EI1092" s="11"/>
    </row>
    <row r="1093" spans="1:139" s="52" customFormat="1">
      <c r="A1093" s="85"/>
      <c r="B1093" s="99"/>
      <c r="C1093" s="11"/>
      <c r="K1093" s="77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  <c r="AW1093" s="11"/>
      <c r="AX1093" s="11"/>
      <c r="AY1093" s="11"/>
      <c r="AZ1093" s="11"/>
      <c r="BA1093" s="11"/>
      <c r="BB1093" s="11"/>
      <c r="BC1093" s="11"/>
      <c r="BD1093" s="11"/>
      <c r="BE1093" s="11"/>
      <c r="BF1093" s="11"/>
      <c r="BG1093" s="11"/>
      <c r="BH1093" s="11"/>
      <c r="BI1093" s="11"/>
      <c r="BJ1093" s="11"/>
      <c r="BK1093" s="11"/>
      <c r="BL1093" s="11"/>
      <c r="BM1093" s="11"/>
      <c r="BN1093" s="11"/>
      <c r="BO1093" s="11"/>
      <c r="BP1093" s="11"/>
      <c r="BQ1093" s="11"/>
      <c r="BR1093" s="11"/>
      <c r="BS1093" s="11"/>
      <c r="BT1093" s="11"/>
      <c r="BU1093" s="11"/>
      <c r="BV1093" s="11"/>
      <c r="BW1093" s="11"/>
      <c r="BX1093" s="11"/>
      <c r="BY1093" s="11"/>
      <c r="BZ1093" s="11"/>
      <c r="CA1093" s="11"/>
      <c r="CB1093" s="11"/>
      <c r="CC1093" s="11"/>
      <c r="CD1093" s="11"/>
      <c r="CE1093" s="11"/>
      <c r="CF1093" s="11"/>
      <c r="CG1093" s="11"/>
      <c r="CH1093" s="11"/>
      <c r="CI1093" s="11"/>
      <c r="CJ1093" s="11"/>
      <c r="CK1093" s="11"/>
      <c r="CL1093" s="11"/>
      <c r="CM1093" s="11"/>
      <c r="CN1093" s="11"/>
      <c r="CO1093" s="11"/>
      <c r="CP1093" s="11"/>
      <c r="CQ1093" s="11"/>
      <c r="CR1093" s="11"/>
      <c r="CS1093" s="11"/>
      <c r="CT1093" s="11"/>
      <c r="CU1093" s="11"/>
      <c r="CV1093" s="11"/>
      <c r="CW1093" s="11"/>
      <c r="CX1093" s="11"/>
      <c r="CY1093" s="11"/>
      <c r="CZ1093" s="11"/>
      <c r="DA1093" s="11"/>
      <c r="DB1093" s="11"/>
      <c r="DC1093" s="11"/>
      <c r="DD1093" s="11"/>
      <c r="DE1093" s="11"/>
      <c r="DF1093" s="11"/>
      <c r="DG1093" s="11"/>
      <c r="DH1093" s="11"/>
      <c r="DI1093" s="11"/>
      <c r="DJ1093" s="11"/>
      <c r="DK1093" s="11"/>
      <c r="DL1093" s="11"/>
      <c r="DM1093" s="11"/>
      <c r="DN1093" s="11"/>
      <c r="DO1093" s="11"/>
      <c r="DP1093" s="11"/>
      <c r="DQ1093" s="11"/>
      <c r="DR1093" s="11"/>
      <c r="DS1093" s="11"/>
      <c r="DT1093" s="11"/>
      <c r="DU1093" s="11"/>
      <c r="DV1093" s="11"/>
      <c r="DW1093" s="11"/>
      <c r="DX1093" s="11"/>
      <c r="DY1093" s="11"/>
      <c r="DZ1093" s="11"/>
      <c r="EA1093" s="11"/>
      <c r="EB1093" s="11"/>
      <c r="EC1093" s="11"/>
      <c r="ED1093" s="11"/>
      <c r="EE1093" s="11"/>
      <c r="EF1093" s="11"/>
      <c r="EG1093" s="11"/>
      <c r="EH1093" s="11"/>
      <c r="EI1093" s="11"/>
    </row>
    <row r="1094" spans="1:139" s="52" customFormat="1">
      <c r="A1094" s="85"/>
      <c r="B1094" s="99"/>
      <c r="C1094" s="11"/>
      <c r="K1094" s="77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1"/>
      <c r="AY1094" s="11"/>
      <c r="AZ1094" s="11"/>
      <c r="BA1094" s="11"/>
      <c r="BB1094" s="11"/>
      <c r="BC1094" s="11"/>
      <c r="BD1094" s="11"/>
      <c r="BE1094" s="11"/>
      <c r="BF1094" s="11"/>
      <c r="BG1094" s="11"/>
      <c r="BH1094" s="11"/>
      <c r="BI1094" s="11"/>
      <c r="BJ1094" s="11"/>
      <c r="BK1094" s="11"/>
      <c r="BL1094" s="11"/>
      <c r="BM1094" s="11"/>
      <c r="BN1094" s="11"/>
      <c r="BO1094" s="11"/>
      <c r="BP1094" s="11"/>
      <c r="BQ1094" s="11"/>
      <c r="BR1094" s="11"/>
      <c r="BS1094" s="11"/>
      <c r="BT1094" s="11"/>
      <c r="BU1094" s="11"/>
      <c r="BV1094" s="11"/>
      <c r="BW1094" s="11"/>
      <c r="BX1094" s="11"/>
      <c r="BY1094" s="11"/>
      <c r="BZ1094" s="11"/>
      <c r="CA1094" s="11"/>
      <c r="CB1094" s="11"/>
      <c r="CC1094" s="11"/>
      <c r="CD1094" s="11"/>
      <c r="CE1094" s="11"/>
      <c r="CF1094" s="11"/>
      <c r="CG1094" s="11"/>
      <c r="CH1094" s="11"/>
      <c r="CI1094" s="11"/>
      <c r="CJ1094" s="11"/>
      <c r="CK1094" s="11"/>
      <c r="CL1094" s="11"/>
      <c r="CM1094" s="11"/>
      <c r="CN1094" s="11"/>
      <c r="CO1094" s="11"/>
      <c r="CP1094" s="11"/>
      <c r="CQ1094" s="11"/>
      <c r="CR1094" s="11"/>
      <c r="CS1094" s="11"/>
      <c r="CT1094" s="11"/>
      <c r="CU1094" s="11"/>
      <c r="CV1094" s="11"/>
      <c r="CW1094" s="11"/>
      <c r="CX1094" s="11"/>
      <c r="CY1094" s="11"/>
      <c r="CZ1094" s="11"/>
      <c r="DA1094" s="11"/>
      <c r="DB1094" s="11"/>
      <c r="DC1094" s="11"/>
      <c r="DD1094" s="11"/>
      <c r="DE1094" s="11"/>
      <c r="DF1094" s="11"/>
      <c r="DG1094" s="11"/>
      <c r="DH1094" s="11"/>
      <c r="DI1094" s="11"/>
      <c r="DJ1094" s="11"/>
      <c r="DK1094" s="11"/>
      <c r="DL1094" s="11"/>
      <c r="DM1094" s="11"/>
      <c r="DN1094" s="11"/>
      <c r="DO1094" s="11"/>
      <c r="DP1094" s="11"/>
      <c r="DQ1094" s="11"/>
      <c r="DR1094" s="11"/>
      <c r="DS1094" s="11"/>
      <c r="DT1094" s="11"/>
      <c r="DU1094" s="11"/>
      <c r="DV1094" s="11"/>
      <c r="DW1094" s="11"/>
      <c r="DX1094" s="11"/>
      <c r="DY1094" s="11"/>
      <c r="DZ1094" s="11"/>
      <c r="EA1094" s="11"/>
      <c r="EB1094" s="11"/>
      <c r="EC1094" s="11"/>
      <c r="ED1094" s="11"/>
      <c r="EE1094" s="11"/>
      <c r="EF1094" s="11"/>
      <c r="EG1094" s="11"/>
      <c r="EH1094" s="11"/>
      <c r="EI1094" s="11"/>
    </row>
    <row r="1095" spans="1:139" s="52" customFormat="1">
      <c r="A1095" s="85"/>
      <c r="B1095" s="99"/>
      <c r="C1095" s="11"/>
      <c r="K1095" s="77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  <c r="AW1095" s="11"/>
      <c r="AX1095" s="11"/>
      <c r="AY1095" s="11"/>
      <c r="AZ1095" s="11"/>
      <c r="BA1095" s="11"/>
      <c r="BB1095" s="11"/>
      <c r="BC1095" s="11"/>
      <c r="BD1095" s="11"/>
      <c r="BE1095" s="11"/>
      <c r="BF1095" s="11"/>
      <c r="BG1095" s="11"/>
      <c r="BH1095" s="11"/>
      <c r="BI1095" s="11"/>
      <c r="BJ1095" s="11"/>
      <c r="BK1095" s="11"/>
      <c r="BL1095" s="11"/>
      <c r="BM1095" s="11"/>
      <c r="BN1095" s="11"/>
      <c r="BO1095" s="11"/>
      <c r="BP1095" s="11"/>
      <c r="BQ1095" s="11"/>
      <c r="BR1095" s="11"/>
      <c r="BS1095" s="11"/>
      <c r="BT1095" s="11"/>
      <c r="BU1095" s="11"/>
      <c r="BV1095" s="11"/>
      <c r="BW1095" s="11"/>
      <c r="BX1095" s="11"/>
      <c r="BY1095" s="11"/>
      <c r="BZ1095" s="11"/>
      <c r="CA1095" s="11"/>
      <c r="CB1095" s="11"/>
      <c r="CC1095" s="11"/>
      <c r="CD1095" s="11"/>
      <c r="CE1095" s="11"/>
      <c r="CF1095" s="11"/>
      <c r="CG1095" s="11"/>
      <c r="CH1095" s="11"/>
      <c r="CI1095" s="11"/>
      <c r="CJ1095" s="11"/>
      <c r="CK1095" s="11"/>
      <c r="CL1095" s="11"/>
      <c r="CM1095" s="11"/>
      <c r="CN1095" s="11"/>
      <c r="CO1095" s="11"/>
      <c r="CP1095" s="11"/>
      <c r="CQ1095" s="11"/>
      <c r="CR1095" s="11"/>
      <c r="CS1095" s="11"/>
      <c r="CT1095" s="11"/>
      <c r="CU1095" s="11"/>
      <c r="CV1095" s="11"/>
      <c r="CW1095" s="11"/>
      <c r="CX1095" s="11"/>
      <c r="CY1095" s="11"/>
      <c r="CZ1095" s="11"/>
      <c r="DA1095" s="11"/>
      <c r="DB1095" s="11"/>
      <c r="DC1095" s="11"/>
      <c r="DD1095" s="11"/>
      <c r="DE1095" s="11"/>
      <c r="DF1095" s="11"/>
      <c r="DG1095" s="11"/>
      <c r="DH1095" s="11"/>
      <c r="DI1095" s="11"/>
      <c r="DJ1095" s="11"/>
      <c r="DK1095" s="11"/>
      <c r="DL1095" s="11"/>
      <c r="DM1095" s="11"/>
      <c r="DN1095" s="11"/>
      <c r="DO1095" s="11"/>
      <c r="DP1095" s="11"/>
      <c r="DQ1095" s="11"/>
      <c r="DR1095" s="11"/>
      <c r="DS1095" s="11"/>
      <c r="DT1095" s="11"/>
      <c r="DU1095" s="11"/>
      <c r="DV1095" s="11"/>
      <c r="DW1095" s="11"/>
      <c r="DX1095" s="11"/>
      <c r="DY1095" s="11"/>
      <c r="DZ1095" s="11"/>
      <c r="EA1095" s="11"/>
      <c r="EB1095" s="11"/>
      <c r="EC1095" s="11"/>
      <c r="ED1095" s="11"/>
      <c r="EE1095" s="11"/>
      <c r="EF1095" s="11"/>
      <c r="EG1095" s="11"/>
      <c r="EH1095" s="11"/>
      <c r="EI1095" s="11"/>
    </row>
    <row r="1096" spans="1:139" s="52" customFormat="1">
      <c r="A1096" s="85"/>
      <c r="B1096" s="99"/>
      <c r="C1096" s="11"/>
      <c r="K1096" s="77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  <c r="AW1096" s="11"/>
      <c r="AX1096" s="11"/>
      <c r="AY1096" s="11"/>
      <c r="AZ1096" s="11"/>
      <c r="BA1096" s="11"/>
      <c r="BB1096" s="11"/>
      <c r="BC1096" s="11"/>
      <c r="BD1096" s="11"/>
      <c r="BE1096" s="11"/>
      <c r="BF1096" s="11"/>
      <c r="BG1096" s="11"/>
      <c r="BH1096" s="11"/>
      <c r="BI1096" s="11"/>
      <c r="BJ1096" s="11"/>
      <c r="BK1096" s="11"/>
      <c r="BL1096" s="11"/>
      <c r="BM1096" s="11"/>
      <c r="BN1096" s="11"/>
      <c r="BO1096" s="11"/>
      <c r="BP1096" s="11"/>
      <c r="BQ1096" s="11"/>
      <c r="BR1096" s="11"/>
      <c r="BS1096" s="11"/>
      <c r="BT1096" s="11"/>
      <c r="BU1096" s="11"/>
      <c r="BV1096" s="11"/>
      <c r="BW1096" s="11"/>
      <c r="BX1096" s="11"/>
      <c r="BY1096" s="11"/>
      <c r="BZ1096" s="11"/>
      <c r="CA1096" s="11"/>
      <c r="CB1096" s="11"/>
      <c r="CC1096" s="11"/>
      <c r="CD1096" s="11"/>
      <c r="CE1096" s="11"/>
      <c r="CF1096" s="11"/>
      <c r="CG1096" s="11"/>
      <c r="CH1096" s="11"/>
      <c r="CI1096" s="11"/>
      <c r="CJ1096" s="11"/>
      <c r="CK1096" s="11"/>
      <c r="CL1096" s="11"/>
      <c r="CM1096" s="11"/>
      <c r="CN1096" s="11"/>
      <c r="CO1096" s="11"/>
      <c r="CP1096" s="11"/>
      <c r="CQ1096" s="11"/>
      <c r="CR1096" s="11"/>
      <c r="CS1096" s="11"/>
      <c r="CT1096" s="11"/>
      <c r="CU1096" s="11"/>
      <c r="CV1096" s="11"/>
      <c r="CW1096" s="11"/>
      <c r="CX1096" s="11"/>
      <c r="CY1096" s="11"/>
      <c r="CZ1096" s="11"/>
      <c r="DA1096" s="11"/>
      <c r="DB1096" s="11"/>
      <c r="DC1096" s="11"/>
      <c r="DD1096" s="11"/>
      <c r="DE1096" s="11"/>
      <c r="DF1096" s="11"/>
      <c r="DG1096" s="11"/>
      <c r="DH1096" s="11"/>
      <c r="DI1096" s="11"/>
      <c r="DJ1096" s="11"/>
      <c r="DK1096" s="11"/>
      <c r="DL1096" s="11"/>
      <c r="DM1096" s="11"/>
      <c r="DN1096" s="11"/>
      <c r="DO1096" s="11"/>
      <c r="DP1096" s="11"/>
      <c r="DQ1096" s="11"/>
      <c r="DR1096" s="11"/>
      <c r="DS1096" s="11"/>
      <c r="DT1096" s="11"/>
      <c r="DU1096" s="11"/>
      <c r="DV1096" s="11"/>
      <c r="DW1096" s="11"/>
      <c r="DX1096" s="11"/>
      <c r="DY1096" s="11"/>
      <c r="DZ1096" s="11"/>
      <c r="EA1096" s="11"/>
      <c r="EB1096" s="11"/>
      <c r="EC1096" s="11"/>
      <c r="ED1096" s="11"/>
      <c r="EE1096" s="11"/>
      <c r="EF1096" s="11"/>
      <c r="EG1096" s="11"/>
      <c r="EH1096" s="11"/>
      <c r="EI1096" s="11"/>
    </row>
    <row r="1097" spans="1:139" s="52" customFormat="1">
      <c r="A1097" s="85"/>
      <c r="B1097" s="99"/>
      <c r="C1097" s="11"/>
      <c r="K1097" s="77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1"/>
      <c r="AY1097" s="11"/>
      <c r="AZ1097" s="11"/>
      <c r="BA1097" s="11"/>
      <c r="BB1097" s="11"/>
      <c r="BC1097" s="11"/>
      <c r="BD1097" s="11"/>
      <c r="BE1097" s="11"/>
      <c r="BF1097" s="11"/>
      <c r="BG1097" s="11"/>
      <c r="BH1097" s="11"/>
      <c r="BI1097" s="11"/>
      <c r="BJ1097" s="11"/>
      <c r="BK1097" s="11"/>
      <c r="BL1097" s="11"/>
      <c r="BM1097" s="11"/>
      <c r="BN1097" s="11"/>
      <c r="BO1097" s="11"/>
      <c r="BP1097" s="11"/>
      <c r="BQ1097" s="11"/>
      <c r="BR1097" s="11"/>
      <c r="BS1097" s="11"/>
      <c r="BT1097" s="11"/>
      <c r="BU1097" s="11"/>
      <c r="BV1097" s="11"/>
      <c r="BW1097" s="11"/>
      <c r="BX1097" s="11"/>
      <c r="BY1097" s="11"/>
      <c r="BZ1097" s="11"/>
      <c r="CA1097" s="11"/>
      <c r="CB1097" s="11"/>
      <c r="CC1097" s="11"/>
      <c r="CD1097" s="11"/>
      <c r="CE1097" s="11"/>
      <c r="CF1097" s="11"/>
      <c r="CG1097" s="11"/>
      <c r="CH1097" s="11"/>
      <c r="CI1097" s="11"/>
      <c r="CJ1097" s="11"/>
      <c r="CK1097" s="11"/>
      <c r="CL1097" s="11"/>
      <c r="CM1097" s="11"/>
      <c r="CN1097" s="11"/>
      <c r="CO1097" s="11"/>
      <c r="CP1097" s="11"/>
      <c r="CQ1097" s="11"/>
      <c r="CR1097" s="11"/>
      <c r="CS1097" s="11"/>
      <c r="CT1097" s="11"/>
      <c r="CU1097" s="11"/>
      <c r="CV1097" s="11"/>
      <c r="CW1097" s="11"/>
      <c r="CX1097" s="11"/>
      <c r="CY1097" s="11"/>
      <c r="CZ1097" s="11"/>
      <c r="DA1097" s="11"/>
      <c r="DB1097" s="11"/>
      <c r="DC1097" s="11"/>
      <c r="DD1097" s="11"/>
      <c r="DE1097" s="11"/>
      <c r="DF1097" s="11"/>
      <c r="DG1097" s="11"/>
      <c r="DH1097" s="11"/>
      <c r="DI1097" s="11"/>
      <c r="DJ1097" s="11"/>
      <c r="DK1097" s="11"/>
      <c r="DL1097" s="11"/>
      <c r="DM1097" s="11"/>
      <c r="DN1097" s="11"/>
      <c r="DO1097" s="11"/>
      <c r="DP1097" s="11"/>
      <c r="DQ1097" s="11"/>
      <c r="DR1097" s="11"/>
      <c r="DS1097" s="11"/>
      <c r="DT1097" s="11"/>
      <c r="DU1097" s="11"/>
      <c r="DV1097" s="11"/>
      <c r="DW1097" s="11"/>
      <c r="DX1097" s="11"/>
      <c r="DY1097" s="11"/>
      <c r="DZ1097" s="11"/>
      <c r="EA1097" s="11"/>
      <c r="EB1097" s="11"/>
      <c r="EC1097" s="11"/>
      <c r="ED1097" s="11"/>
      <c r="EE1097" s="11"/>
      <c r="EF1097" s="11"/>
      <c r="EG1097" s="11"/>
      <c r="EH1097" s="11"/>
      <c r="EI1097" s="11"/>
    </row>
    <row r="1098" spans="1:139" s="52" customFormat="1">
      <c r="A1098" s="85"/>
      <c r="B1098" s="99"/>
      <c r="C1098" s="11"/>
      <c r="K1098" s="77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11"/>
      <c r="AW1098" s="11"/>
      <c r="AX1098" s="11"/>
      <c r="AY1098" s="11"/>
      <c r="AZ1098" s="11"/>
      <c r="BA1098" s="11"/>
      <c r="BB1098" s="11"/>
      <c r="BC1098" s="11"/>
      <c r="BD1098" s="11"/>
      <c r="BE1098" s="11"/>
      <c r="BF1098" s="11"/>
      <c r="BG1098" s="11"/>
      <c r="BH1098" s="11"/>
      <c r="BI1098" s="11"/>
      <c r="BJ1098" s="11"/>
      <c r="BK1098" s="11"/>
      <c r="BL1098" s="11"/>
      <c r="BM1098" s="11"/>
      <c r="BN1098" s="11"/>
      <c r="BO1098" s="11"/>
      <c r="BP1098" s="11"/>
      <c r="BQ1098" s="11"/>
      <c r="BR1098" s="11"/>
      <c r="BS1098" s="11"/>
      <c r="BT1098" s="11"/>
      <c r="BU1098" s="11"/>
      <c r="BV1098" s="11"/>
      <c r="BW1098" s="11"/>
      <c r="BX1098" s="11"/>
      <c r="BY1098" s="11"/>
      <c r="BZ1098" s="11"/>
      <c r="CA1098" s="11"/>
      <c r="CB1098" s="11"/>
      <c r="CC1098" s="11"/>
      <c r="CD1098" s="11"/>
      <c r="CE1098" s="11"/>
      <c r="CF1098" s="11"/>
      <c r="CG1098" s="11"/>
      <c r="CH1098" s="11"/>
      <c r="CI1098" s="11"/>
      <c r="CJ1098" s="11"/>
      <c r="CK1098" s="11"/>
      <c r="CL1098" s="11"/>
      <c r="CM1098" s="11"/>
      <c r="CN1098" s="11"/>
      <c r="CO1098" s="11"/>
      <c r="CP1098" s="11"/>
      <c r="CQ1098" s="11"/>
      <c r="CR1098" s="11"/>
      <c r="CS1098" s="11"/>
      <c r="CT1098" s="11"/>
      <c r="CU1098" s="11"/>
      <c r="CV1098" s="11"/>
      <c r="CW1098" s="11"/>
      <c r="CX1098" s="11"/>
      <c r="CY1098" s="11"/>
      <c r="CZ1098" s="11"/>
      <c r="DA1098" s="11"/>
      <c r="DB1098" s="11"/>
      <c r="DC1098" s="11"/>
      <c r="DD1098" s="11"/>
      <c r="DE1098" s="11"/>
      <c r="DF1098" s="11"/>
      <c r="DG1098" s="11"/>
      <c r="DH1098" s="11"/>
      <c r="DI1098" s="11"/>
      <c r="DJ1098" s="11"/>
      <c r="DK1098" s="11"/>
      <c r="DL1098" s="11"/>
      <c r="DM1098" s="11"/>
      <c r="DN1098" s="11"/>
      <c r="DO1098" s="11"/>
      <c r="DP1098" s="11"/>
      <c r="DQ1098" s="11"/>
      <c r="DR1098" s="11"/>
      <c r="DS1098" s="11"/>
      <c r="DT1098" s="11"/>
      <c r="DU1098" s="11"/>
      <c r="DV1098" s="11"/>
      <c r="DW1098" s="11"/>
      <c r="DX1098" s="11"/>
      <c r="DY1098" s="11"/>
      <c r="DZ1098" s="11"/>
      <c r="EA1098" s="11"/>
      <c r="EB1098" s="11"/>
      <c r="EC1098" s="11"/>
      <c r="ED1098" s="11"/>
      <c r="EE1098" s="11"/>
      <c r="EF1098" s="11"/>
      <c r="EG1098" s="11"/>
      <c r="EH1098" s="11"/>
      <c r="EI1098" s="11"/>
    </row>
    <row r="1099" spans="1:139" s="52" customFormat="1">
      <c r="A1099" s="85"/>
      <c r="B1099" s="99"/>
      <c r="C1099" s="11"/>
      <c r="K1099" s="77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  <c r="AW1099" s="11"/>
      <c r="AX1099" s="11"/>
      <c r="AY1099" s="11"/>
      <c r="AZ1099" s="11"/>
      <c r="BA1099" s="11"/>
      <c r="BB1099" s="11"/>
      <c r="BC1099" s="11"/>
      <c r="BD1099" s="11"/>
      <c r="BE1099" s="11"/>
      <c r="BF1099" s="11"/>
      <c r="BG1099" s="11"/>
      <c r="BH1099" s="11"/>
      <c r="BI1099" s="11"/>
      <c r="BJ1099" s="11"/>
      <c r="BK1099" s="11"/>
      <c r="BL1099" s="11"/>
      <c r="BM1099" s="11"/>
      <c r="BN1099" s="11"/>
      <c r="BO1099" s="11"/>
      <c r="BP1099" s="11"/>
      <c r="BQ1099" s="11"/>
      <c r="BR1099" s="11"/>
      <c r="BS1099" s="11"/>
      <c r="BT1099" s="11"/>
      <c r="BU1099" s="11"/>
      <c r="BV1099" s="11"/>
      <c r="BW1099" s="11"/>
      <c r="BX1099" s="11"/>
      <c r="BY1099" s="11"/>
      <c r="BZ1099" s="11"/>
      <c r="CA1099" s="11"/>
      <c r="CB1099" s="11"/>
      <c r="CC1099" s="11"/>
      <c r="CD1099" s="11"/>
      <c r="CE1099" s="11"/>
      <c r="CF1099" s="11"/>
      <c r="CG1099" s="11"/>
      <c r="CH1099" s="11"/>
      <c r="CI1099" s="11"/>
      <c r="CJ1099" s="11"/>
      <c r="CK1099" s="11"/>
      <c r="CL1099" s="11"/>
      <c r="CM1099" s="11"/>
      <c r="CN1099" s="11"/>
      <c r="CO1099" s="11"/>
      <c r="CP1099" s="11"/>
      <c r="CQ1099" s="11"/>
      <c r="CR1099" s="11"/>
      <c r="CS1099" s="11"/>
      <c r="CT1099" s="11"/>
      <c r="CU1099" s="11"/>
      <c r="CV1099" s="11"/>
      <c r="CW1099" s="11"/>
      <c r="CX1099" s="11"/>
      <c r="CY1099" s="11"/>
      <c r="CZ1099" s="11"/>
      <c r="DA1099" s="11"/>
      <c r="DB1099" s="11"/>
      <c r="DC1099" s="11"/>
      <c r="DD1099" s="11"/>
      <c r="DE1099" s="11"/>
      <c r="DF1099" s="11"/>
      <c r="DG1099" s="11"/>
      <c r="DH1099" s="11"/>
      <c r="DI1099" s="11"/>
      <c r="DJ1099" s="11"/>
      <c r="DK1099" s="11"/>
      <c r="DL1099" s="11"/>
      <c r="DM1099" s="11"/>
      <c r="DN1099" s="11"/>
      <c r="DO1099" s="11"/>
      <c r="DP1099" s="11"/>
      <c r="DQ1099" s="11"/>
      <c r="DR1099" s="11"/>
      <c r="DS1099" s="11"/>
      <c r="DT1099" s="11"/>
      <c r="DU1099" s="11"/>
      <c r="DV1099" s="11"/>
      <c r="DW1099" s="11"/>
      <c r="DX1099" s="11"/>
      <c r="DY1099" s="11"/>
      <c r="DZ1099" s="11"/>
      <c r="EA1099" s="11"/>
      <c r="EB1099" s="11"/>
      <c r="EC1099" s="11"/>
      <c r="ED1099" s="11"/>
      <c r="EE1099" s="11"/>
      <c r="EF1099" s="11"/>
      <c r="EG1099" s="11"/>
      <c r="EH1099" s="11"/>
      <c r="EI1099" s="11"/>
    </row>
    <row r="1100" spans="1:139" s="52" customFormat="1">
      <c r="A1100" s="85"/>
      <c r="B1100" s="99"/>
      <c r="C1100" s="11"/>
      <c r="K1100" s="77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  <c r="AW1100" s="11"/>
      <c r="AX1100" s="11"/>
      <c r="AY1100" s="11"/>
      <c r="AZ1100" s="11"/>
      <c r="BA1100" s="11"/>
      <c r="BB1100" s="11"/>
      <c r="BC1100" s="11"/>
      <c r="BD1100" s="11"/>
      <c r="BE1100" s="11"/>
      <c r="BF1100" s="11"/>
      <c r="BG1100" s="11"/>
      <c r="BH1100" s="11"/>
      <c r="BI1100" s="11"/>
      <c r="BJ1100" s="11"/>
      <c r="BK1100" s="11"/>
      <c r="BL1100" s="11"/>
      <c r="BM1100" s="11"/>
      <c r="BN1100" s="11"/>
      <c r="BO1100" s="11"/>
      <c r="BP1100" s="11"/>
      <c r="BQ1100" s="11"/>
      <c r="BR1100" s="11"/>
      <c r="BS1100" s="11"/>
      <c r="BT1100" s="11"/>
      <c r="BU1100" s="11"/>
      <c r="BV1100" s="11"/>
      <c r="BW1100" s="11"/>
      <c r="BX1100" s="11"/>
      <c r="BY1100" s="11"/>
      <c r="BZ1100" s="11"/>
      <c r="CA1100" s="11"/>
      <c r="CB1100" s="11"/>
      <c r="CC1100" s="11"/>
      <c r="CD1100" s="11"/>
      <c r="CE1100" s="11"/>
      <c r="CF1100" s="11"/>
      <c r="CG1100" s="11"/>
      <c r="CH1100" s="11"/>
      <c r="CI1100" s="11"/>
      <c r="CJ1100" s="11"/>
      <c r="CK1100" s="11"/>
      <c r="CL1100" s="11"/>
      <c r="CM1100" s="11"/>
      <c r="CN1100" s="11"/>
      <c r="CO1100" s="11"/>
      <c r="CP1100" s="11"/>
      <c r="CQ1100" s="11"/>
      <c r="CR1100" s="11"/>
      <c r="CS1100" s="11"/>
      <c r="CT1100" s="11"/>
      <c r="CU1100" s="11"/>
      <c r="CV1100" s="11"/>
      <c r="CW1100" s="11"/>
      <c r="CX1100" s="11"/>
      <c r="CY1100" s="11"/>
      <c r="CZ1100" s="11"/>
      <c r="DA1100" s="11"/>
      <c r="DB1100" s="11"/>
      <c r="DC1100" s="11"/>
      <c r="DD1100" s="11"/>
      <c r="DE1100" s="11"/>
      <c r="DF1100" s="11"/>
      <c r="DG1100" s="11"/>
      <c r="DH1100" s="11"/>
      <c r="DI1100" s="11"/>
      <c r="DJ1100" s="11"/>
      <c r="DK1100" s="11"/>
      <c r="DL1100" s="11"/>
      <c r="DM1100" s="11"/>
      <c r="DN1100" s="11"/>
      <c r="DO1100" s="11"/>
      <c r="DP1100" s="11"/>
      <c r="DQ1100" s="11"/>
      <c r="DR1100" s="11"/>
      <c r="DS1100" s="11"/>
      <c r="DT1100" s="11"/>
      <c r="DU1100" s="11"/>
      <c r="DV1100" s="11"/>
      <c r="DW1100" s="11"/>
      <c r="DX1100" s="11"/>
      <c r="DY1100" s="11"/>
      <c r="DZ1100" s="11"/>
      <c r="EA1100" s="11"/>
      <c r="EB1100" s="11"/>
      <c r="EC1100" s="11"/>
      <c r="ED1100" s="11"/>
      <c r="EE1100" s="11"/>
      <c r="EF1100" s="11"/>
      <c r="EG1100" s="11"/>
      <c r="EH1100" s="11"/>
      <c r="EI1100" s="11"/>
    </row>
    <row r="1101" spans="1:139" s="52" customFormat="1">
      <c r="A1101" s="85"/>
      <c r="B1101" s="99"/>
      <c r="C1101" s="11"/>
      <c r="K1101" s="77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1"/>
      <c r="AY1101" s="11"/>
      <c r="AZ1101" s="11"/>
      <c r="BA1101" s="11"/>
      <c r="BB1101" s="11"/>
      <c r="BC1101" s="11"/>
      <c r="BD1101" s="11"/>
      <c r="BE1101" s="11"/>
      <c r="BF1101" s="11"/>
      <c r="BG1101" s="11"/>
      <c r="BH1101" s="11"/>
      <c r="BI1101" s="11"/>
      <c r="BJ1101" s="11"/>
      <c r="BK1101" s="11"/>
      <c r="BL1101" s="11"/>
      <c r="BM1101" s="11"/>
      <c r="BN1101" s="11"/>
      <c r="BO1101" s="11"/>
      <c r="BP1101" s="11"/>
      <c r="BQ1101" s="11"/>
      <c r="BR1101" s="11"/>
      <c r="BS1101" s="11"/>
      <c r="BT1101" s="11"/>
      <c r="BU1101" s="11"/>
      <c r="BV1101" s="11"/>
      <c r="BW1101" s="11"/>
      <c r="BX1101" s="11"/>
      <c r="BY1101" s="11"/>
      <c r="BZ1101" s="11"/>
      <c r="CA1101" s="11"/>
      <c r="CB1101" s="11"/>
      <c r="CC1101" s="11"/>
      <c r="CD1101" s="11"/>
      <c r="CE1101" s="11"/>
      <c r="CF1101" s="11"/>
      <c r="CG1101" s="11"/>
      <c r="CH1101" s="11"/>
      <c r="CI1101" s="11"/>
      <c r="CJ1101" s="11"/>
      <c r="CK1101" s="11"/>
      <c r="CL1101" s="11"/>
      <c r="CM1101" s="11"/>
      <c r="CN1101" s="11"/>
      <c r="CO1101" s="11"/>
      <c r="CP1101" s="11"/>
      <c r="CQ1101" s="11"/>
      <c r="CR1101" s="11"/>
      <c r="CS1101" s="11"/>
      <c r="CT1101" s="11"/>
      <c r="CU1101" s="11"/>
      <c r="CV1101" s="11"/>
      <c r="CW1101" s="11"/>
      <c r="CX1101" s="11"/>
      <c r="CY1101" s="11"/>
      <c r="CZ1101" s="11"/>
      <c r="DA1101" s="11"/>
      <c r="DB1101" s="11"/>
      <c r="DC1101" s="11"/>
      <c r="DD1101" s="11"/>
      <c r="DE1101" s="11"/>
      <c r="DF1101" s="11"/>
      <c r="DG1101" s="11"/>
      <c r="DH1101" s="11"/>
      <c r="DI1101" s="11"/>
      <c r="DJ1101" s="11"/>
      <c r="DK1101" s="11"/>
      <c r="DL1101" s="11"/>
      <c r="DM1101" s="11"/>
      <c r="DN1101" s="11"/>
      <c r="DO1101" s="11"/>
      <c r="DP1101" s="11"/>
      <c r="DQ1101" s="11"/>
      <c r="DR1101" s="11"/>
      <c r="DS1101" s="11"/>
      <c r="DT1101" s="11"/>
      <c r="DU1101" s="11"/>
      <c r="DV1101" s="11"/>
      <c r="DW1101" s="11"/>
      <c r="DX1101" s="11"/>
      <c r="DY1101" s="11"/>
      <c r="DZ1101" s="11"/>
      <c r="EA1101" s="11"/>
      <c r="EB1101" s="11"/>
      <c r="EC1101" s="11"/>
      <c r="ED1101" s="11"/>
      <c r="EE1101" s="11"/>
      <c r="EF1101" s="11"/>
      <c r="EG1101" s="11"/>
      <c r="EH1101" s="11"/>
      <c r="EI1101" s="11"/>
    </row>
    <row r="1102" spans="1:139" s="52" customFormat="1">
      <c r="A1102" s="85"/>
      <c r="B1102" s="99"/>
      <c r="C1102" s="11"/>
      <c r="K1102" s="77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  <c r="AW1102" s="11"/>
      <c r="AX1102" s="11"/>
      <c r="AY1102" s="11"/>
      <c r="AZ1102" s="11"/>
      <c r="BA1102" s="11"/>
      <c r="BB1102" s="11"/>
      <c r="BC1102" s="11"/>
      <c r="BD1102" s="11"/>
      <c r="BE1102" s="11"/>
      <c r="BF1102" s="11"/>
      <c r="BG1102" s="11"/>
      <c r="BH1102" s="11"/>
      <c r="BI1102" s="11"/>
      <c r="BJ1102" s="11"/>
      <c r="BK1102" s="11"/>
      <c r="BL1102" s="11"/>
      <c r="BM1102" s="11"/>
      <c r="BN1102" s="11"/>
      <c r="BO1102" s="11"/>
      <c r="BP1102" s="11"/>
      <c r="BQ1102" s="11"/>
      <c r="BR1102" s="11"/>
      <c r="BS1102" s="11"/>
      <c r="BT1102" s="11"/>
      <c r="BU1102" s="11"/>
      <c r="BV1102" s="11"/>
      <c r="BW1102" s="11"/>
      <c r="BX1102" s="11"/>
      <c r="BY1102" s="11"/>
      <c r="BZ1102" s="11"/>
      <c r="CA1102" s="11"/>
      <c r="CB1102" s="11"/>
      <c r="CC1102" s="11"/>
      <c r="CD1102" s="11"/>
      <c r="CE1102" s="11"/>
      <c r="CF1102" s="11"/>
      <c r="CG1102" s="11"/>
      <c r="CH1102" s="11"/>
      <c r="CI1102" s="11"/>
      <c r="CJ1102" s="11"/>
      <c r="CK1102" s="11"/>
      <c r="CL1102" s="11"/>
      <c r="CM1102" s="11"/>
      <c r="CN1102" s="11"/>
      <c r="CO1102" s="11"/>
      <c r="CP1102" s="11"/>
      <c r="CQ1102" s="11"/>
      <c r="CR1102" s="11"/>
      <c r="CS1102" s="11"/>
      <c r="CT1102" s="11"/>
      <c r="CU1102" s="11"/>
      <c r="CV1102" s="11"/>
      <c r="CW1102" s="11"/>
      <c r="CX1102" s="11"/>
      <c r="CY1102" s="11"/>
      <c r="CZ1102" s="11"/>
      <c r="DA1102" s="11"/>
      <c r="DB1102" s="11"/>
      <c r="DC1102" s="11"/>
      <c r="DD1102" s="11"/>
      <c r="DE1102" s="11"/>
      <c r="DF1102" s="11"/>
      <c r="DG1102" s="11"/>
      <c r="DH1102" s="11"/>
      <c r="DI1102" s="11"/>
      <c r="DJ1102" s="11"/>
      <c r="DK1102" s="11"/>
      <c r="DL1102" s="11"/>
      <c r="DM1102" s="11"/>
      <c r="DN1102" s="11"/>
      <c r="DO1102" s="11"/>
      <c r="DP1102" s="11"/>
      <c r="DQ1102" s="11"/>
      <c r="DR1102" s="11"/>
      <c r="DS1102" s="11"/>
      <c r="DT1102" s="11"/>
      <c r="DU1102" s="11"/>
      <c r="DV1102" s="11"/>
      <c r="DW1102" s="11"/>
      <c r="DX1102" s="11"/>
      <c r="DY1102" s="11"/>
      <c r="DZ1102" s="11"/>
      <c r="EA1102" s="11"/>
      <c r="EB1102" s="11"/>
      <c r="EC1102" s="11"/>
      <c r="ED1102" s="11"/>
      <c r="EE1102" s="11"/>
      <c r="EF1102" s="11"/>
      <c r="EG1102" s="11"/>
      <c r="EH1102" s="11"/>
      <c r="EI1102" s="11"/>
    </row>
    <row r="1103" spans="1:139" s="52" customFormat="1">
      <c r="A1103" s="85"/>
      <c r="B1103" s="99"/>
      <c r="C1103" s="11"/>
      <c r="K1103" s="77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1"/>
      <c r="AY1103" s="11"/>
      <c r="AZ1103" s="11"/>
      <c r="BA1103" s="11"/>
      <c r="BB1103" s="11"/>
      <c r="BC1103" s="11"/>
      <c r="BD1103" s="11"/>
      <c r="BE1103" s="11"/>
      <c r="BF1103" s="11"/>
      <c r="BG1103" s="11"/>
      <c r="BH1103" s="11"/>
      <c r="BI1103" s="11"/>
      <c r="BJ1103" s="11"/>
      <c r="BK1103" s="11"/>
      <c r="BL1103" s="11"/>
      <c r="BM1103" s="11"/>
      <c r="BN1103" s="11"/>
      <c r="BO1103" s="11"/>
      <c r="BP1103" s="11"/>
      <c r="BQ1103" s="11"/>
      <c r="BR1103" s="11"/>
      <c r="BS1103" s="11"/>
      <c r="BT1103" s="11"/>
      <c r="BU1103" s="11"/>
      <c r="BV1103" s="11"/>
      <c r="BW1103" s="11"/>
      <c r="BX1103" s="11"/>
      <c r="BY1103" s="11"/>
      <c r="BZ1103" s="11"/>
      <c r="CA1103" s="11"/>
      <c r="CB1103" s="11"/>
      <c r="CC1103" s="11"/>
      <c r="CD1103" s="11"/>
      <c r="CE1103" s="11"/>
      <c r="CF1103" s="11"/>
      <c r="CG1103" s="11"/>
      <c r="CH1103" s="11"/>
      <c r="CI1103" s="11"/>
      <c r="CJ1103" s="11"/>
      <c r="CK1103" s="11"/>
      <c r="CL1103" s="11"/>
      <c r="CM1103" s="11"/>
      <c r="CN1103" s="11"/>
      <c r="CO1103" s="11"/>
      <c r="CP1103" s="11"/>
      <c r="CQ1103" s="11"/>
      <c r="CR1103" s="11"/>
      <c r="CS1103" s="11"/>
      <c r="CT1103" s="11"/>
      <c r="CU1103" s="11"/>
      <c r="CV1103" s="11"/>
      <c r="CW1103" s="11"/>
      <c r="CX1103" s="11"/>
      <c r="CY1103" s="11"/>
      <c r="CZ1103" s="11"/>
      <c r="DA1103" s="11"/>
      <c r="DB1103" s="11"/>
      <c r="DC1103" s="11"/>
      <c r="DD1103" s="11"/>
      <c r="DE1103" s="11"/>
      <c r="DF1103" s="11"/>
      <c r="DG1103" s="11"/>
      <c r="DH1103" s="11"/>
      <c r="DI1103" s="11"/>
      <c r="DJ1103" s="11"/>
      <c r="DK1103" s="11"/>
      <c r="DL1103" s="11"/>
      <c r="DM1103" s="11"/>
      <c r="DN1103" s="11"/>
      <c r="DO1103" s="11"/>
      <c r="DP1103" s="11"/>
      <c r="DQ1103" s="11"/>
      <c r="DR1103" s="11"/>
      <c r="DS1103" s="11"/>
      <c r="DT1103" s="11"/>
      <c r="DU1103" s="11"/>
      <c r="DV1103" s="11"/>
      <c r="DW1103" s="11"/>
      <c r="DX1103" s="11"/>
      <c r="DY1103" s="11"/>
      <c r="DZ1103" s="11"/>
      <c r="EA1103" s="11"/>
      <c r="EB1103" s="11"/>
      <c r="EC1103" s="11"/>
      <c r="ED1103" s="11"/>
      <c r="EE1103" s="11"/>
      <c r="EF1103" s="11"/>
      <c r="EG1103" s="11"/>
      <c r="EH1103" s="11"/>
      <c r="EI1103" s="11"/>
    </row>
    <row r="1104" spans="1:139" s="52" customFormat="1">
      <c r="A1104" s="85"/>
      <c r="B1104" s="99"/>
      <c r="C1104" s="11"/>
      <c r="K1104" s="77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  <c r="AW1104" s="11"/>
      <c r="AX1104" s="11"/>
      <c r="AY1104" s="11"/>
      <c r="AZ1104" s="11"/>
      <c r="BA1104" s="11"/>
      <c r="BB1104" s="11"/>
      <c r="BC1104" s="11"/>
      <c r="BD1104" s="11"/>
      <c r="BE1104" s="11"/>
      <c r="BF1104" s="11"/>
      <c r="BG1104" s="11"/>
      <c r="BH1104" s="11"/>
      <c r="BI1104" s="11"/>
      <c r="BJ1104" s="11"/>
      <c r="BK1104" s="11"/>
      <c r="BL1104" s="11"/>
      <c r="BM1104" s="11"/>
      <c r="BN1104" s="11"/>
      <c r="BO1104" s="11"/>
      <c r="BP1104" s="11"/>
      <c r="BQ1104" s="11"/>
      <c r="BR1104" s="11"/>
      <c r="BS1104" s="11"/>
      <c r="BT1104" s="11"/>
      <c r="BU1104" s="11"/>
      <c r="BV1104" s="11"/>
      <c r="BW1104" s="11"/>
      <c r="BX1104" s="11"/>
      <c r="BY1104" s="11"/>
      <c r="BZ1104" s="11"/>
      <c r="CA1104" s="11"/>
      <c r="CB1104" s="11"/>
      <c r="CC1104" s="11"/>
      <c r="CD1104" s="11"/>
      <c r="CE1104" s="11"/>
      <c r="CF1104" s="11"/>
      <c r="CG1104" s="11"/>
      <c r="CH1104" s="11"/>
      <c r="CI1104" s="11"/>
      <c r="CJ1104" s="11"/>
      <c r="CK1104" s="11"/>
      <c r="CL1104" s="11"/>
      <c r="CM1104" s="11"/>
      <c r="CN1104" s="11"/>
      <c r="CO1104" s="11"/>
      <c r="CP1104" s="11"/>
      <c r="CQ1104" s="11"/>
      <c r="CR1104" s="11"/>
      <c r="CS1104" s="11"/>
      <c r="CT1104" s="11"/>
      <c r="CU1104" s="11"/>
      <c r="CV1104" s="11"/>
      <c r="CW1104" s="11"/>
      <c r="CX1104" s="11"/>
      <c r="CY1104" s="11"/>
      <c r="CZ1104" s="11"/>
      <c r="DA1104" s="11"/>
      <c r="DB1104" s="11"/>
      <c r="DC1104" s="11"/>
      <c r="DD1104" s="11"/>
      <c r="DE1104" s="11"/>
      <c r="DF1104" s="11"/>
      <c r="DG1104" s="11"/>
      <c r="DH1104" s="11"/>
      <c r="DI1104" s="11"/>
      <c r="DJ1104" s="11"/>
      <c r="DK1104" s="11"/>
      <c r="DL1104" s="11"/>
      <c r="DM1104" s="11"/>
      <c r="DN1104" s="11"/>
      <c r="DO1104" s="11"/>
      <c r="DP1104" s="11"/>
      <c r="DQ1104" s="11"/>
      <c r="DR1104" s="11"/>
      <c r="DS1104" s="11"/>
      <c r="DT1104" s="11"/>
      <c r="DU1104" s="11"/>
      <c r="DV1104" s="11"/>
      <c r="DW1104" s="11"/>
      <c r="DX1104" s="11"/>
      <c r="DY1104" s="11"/>
      <c r="DZ1104" s="11"/>
      <c r="EA1104" s="11"/>
      <c r="EB1104" s="11"/>
      <c r="EC1104" s="11"/>
      <c r="ED1104" s="11"/>
      <c r="EE1104" s="11"/>
      <c r="EF1104" s="11"/>
      <c r="EG1104" s="11"/>
      <c r="EH1104" s="11"/>
      <c r="EI1104" s="11"/>
    </row>
    <row r="1105" spans="1:139" s="52" customFormat="1">
      <c r="A1105" s="85"/>
      <c r="B1105" s="99"/>
      <c r="C1105" s="11"/>
      <c r="K1105" s="77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1"/>
      <c r="AY1105" s="11"/>
      <c r="AZ1105" s="11"/>
      <c r="BA1105" s="11"/>
      <c r="BB1105" s="11"/>
      <c r="BC1105" s="11"/>
      <c r="BD1105" s="11"/>
      <c r="BE1105" s="11"/>
      <c r="BF1105" s="11"/>
      <c r="BG1105" s="11"/>
      <c r="BH1105" s="11"/>
      <c r="BI1105" s="11"/>
      <c r="BJ1105" s="11"/>
      <c r="BK1105" s="11"/>
      <c r="BL1105" s="11"/>
      <c r="BM1105" s="11"/>
      <c r="BN1105" s="11"/>
      <c r="BO1105" s="11"/>
      <c r="BP1105" s="11"/>
      <c r="BQ1105" s="11"/>
      <c r="BR1105" s="11"/>
      <c r="BS1105" s="11"/>
      <c r="BT1105" s="11"/>
      <c r="BU1105" s="11"/>
      <c r="BV1105" s="11"/>
      <c r="BW1105" s="11"/>
      <c r="BX1105" s="11"/>
      <c r="BY1105" s="11"/>
      <c r="BZ1105" s="11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</row>
    <row r="1106" spans="1:139" s="52" customFormat="1">
      <c r="A1106" s="85"/>
      <c r="B1106" s="99"/>
      <c r="C1106" s="11"/>
      <c r="K1106" s="77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  <c r="AZ1106" s="11"/>
      <c r="BA1106" s="11"/>
      <c r="BB1106" s="11"/>
      <c r="BC1106" s="11"/>
      <c r="BD1106" s="11"/>
      <c r="BE1106" s="11"/>
      <c r="BF1106" s="11"/>
      <c r="BG1106" s="11"/>
      <c r="BH1106" s="11"/>
      <c r="BI1106" s="11"/>
      <c r="BJ1106" s="11"/>
      <c r="BK1106" s="11"/>
      <c r="BL1106" s="11"/>
      <c r="BM1106" s="11"/>
      <c r="BN1106" s="11"/>
      <c r="BO1106" s="11"/>
      <c r="BP1106" s="11"/>
      <c r="BQ1106" s="11"/>
      <c r="BR1106" s="11"/>
      <c r="BS1106" s="11"/>
      <c r="BT1106" s="11"/>
      <c r="BU1106" s="11"/>
      <c r="BV1106" s="11"/>
      <c r="BW1106" s="11"/>
      <c r="BX1106" s="11"/>
      <c r="BY1106" s="11"/>
      <c r="BZ1106" s="11"/>
      <c r="CA1106" s="11"/>
      <c r="CB1106" s="11"/>
      <c r="CC1106" s="11"/>
      <c r="CD1106" s="11"/>
      <c r="CE1106" s="11"/>
      <c r="CF1106" s="11"/>
      <c r="CG1106" s="11"/>
      <c r="CH1106" s="11"/>
      <c r="CI1106" s="11"/>
      <c r="CJ1106" s="11"/>
      <c r="CK1106" s="11"/>
      <c r="CL1106" s="11"/>
      <c r="CM1106" s="11"/>
      <c r="CN1106" s="11"/>
      <c r="CO1106" s="11"/>
      <c r="CP1106" s="11"/>
      <c r="CQ1106" s="11"/>
      <c r="CR1106" s="11"/>
      <c r="CS1106" s="11"/>
      <c r="CT1106" s="11"/>
      <c r="CU1106" s="11"/>
      <c r="CV1106" s="11"/>
      <c r="CW1106" s="11"/>
      <c r="CX1106" s="11"/>
      <c r="CY1106" s="11"/>
      <c r="CZ1106" s="11"/>
      <c r="DA1106" s="11"/>
      <c r="DB1106" s="11"/>
      <c r="DC1106" s="11"/>
      <c r="DD1106" s="11"/>
      <c r="DE1106" s="11"/>
      <c r="DF1106" s="11"/>
      <c r="DG1106" s="11"/>
      <c r="DH1106" s="11"/>
      <c r="DI1106" s="11"/>
      <c r="DJ1106" s="11"/>
      <c r="DK1106" s="11"/>
      <c r="DL1106" s="11"/>
      <c r="DM1106" s="11"/>
      <c r="DN1106" s="11"/>
      <c r="DO1106" s="11"/>
      <c r="DP1106" s="11"/>
      <c r="DQ1106" s="11"/>
      <c r="DR1106" s="11"/>
      <c r="DS1106" s="11"/>
      <c r="DT1106" s="11"/>
      <c r="DU1106" s="11"/>
      <c r="DV1106" s="11"/>
      <c r="DW1106" s="11"/>
      <c r="DX1106" s="11"/>
      <c r="DY1106" s="11"/>
      <c r="DZ1106" s="11"/>
      <c r="EA1106" s="11"/>
      <c r="EB1106" s="11"/>
      <c r="EC1106" s="11"/>
      <c r="ED1106" s="11"/>
      <c r="EE1106" s="11"/>
      <c r="EF1106" s="11"/>
      <c r="EG1106" s="11"/>
      <c r="EH1106" s="11"/>
      <c r="EI1106" s="11"/>
    </row>
    <row r="1107" spans="1:139" s="52" customFormat="1">
      <c r="A1107" s="85"/>
      <c r="B1107" s="99"/>
      <c r="C1107" s="11"/>
      <c r="K1107" s="77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1"/>
      <c r="AY1107" s="11"/>
      <c r="AZ1107" s="11"/>
      <c r="BA1107" s="11"/>
      <c r="BB1107" s="11"/>
      <c r="BC1107" s="11"/>
      <c r="BD1107" s="11"/>
      <c r="BE1107" s="11"/>
      <c r="BF1107" s="11"/>
      <c r="BG1107" s="11"/>
      <c r="BH1107" s="11"/>
      <c r="BI1107" s="11"/>
      <c r="BJ1107" s="11"/>
      <c r="BK1107" s="11"/>
      <c r="BL1107" s="11"/>
      <c r="BM1107" s="11"/>
      <c r="BN1107" s="11"/>
      <c r="BO1107" s="11"/>
      <c r="BP1107" s="11"/>
      <c r="BQ1107" s="11"/>
      <c r="BR1107" s="11"/>
      <c r="BS1107" s="11"/>
      <c r="BT1107" s="11"/>
      <c r="BU1107" s="11"/>
      <c r="BV1107" s="11"/>
      <c r="BW1107" s="11"/>
      <c r="BX1107" s="11"/>
      <c r="BY1107" s="11"/>
      <c r="BZ1107" s="11"/>
      <c r="CA1107" s="11"/>
      <c r="CB1107" s="11"/>
      <c r="CC1107" s="11"/>
      <c r="CD1107" s="11"/>
      <c r="CE1107" s="11"/>
      <c r="CF1107" s="11"/>
      <c r="CG1107" s="11"/>
      <c r="CH1107" s="11"/>
      <c r="CI1107" s="11"/>
      <c r="CJ1107" s="11"/>
      <c r="CK1107" s="11"/>
      <c r="CL1107" s="11"/>
      <c r="CM1107" s="11"/>
      <c r="CN1107" s="11"/>
      <c r="CO1107" s="11"/>
      <c r="CP1107" s="11"/>
      <c r="CQ1107" s="11"/>
      <c r="CR1107" s="11"/>
      <c r="CS1107" s="11"/>
      <c r="CT1107" s="11"/>
      <c r="CU1107" s="11"/>
      <c r="CV1107" s="11"/>
      <c r="CW1107" s="11"/>
      <c r="CX1107" s="11"/>
      <c r="CY1107" s="11"/>
      <c r="CZ1107" s="11"/>
      <c r="DA1107" s="11"/>
      <c r="DB1107" s="11"/>
      <c r="DC1107" s="11"/>
      <c r="DD1107" s="11"/>
      <c r="DE1107" s="11"/>
      <c r="DF1107" s="11"/>
      <c r="DG1107" s="11"/>
      <c r="DH1107" s="11"/>
      <c r="DI1107" s="11"/>
      <c r="DJ1107" s="11"/>
      <c r="DK1107" s="11"/>
      <c r="DL1107" s="11"/>
      <c r="DM1107" s="11"/>
      <c r="DN1107" s="11"/>
      <c r="DO1107" s="11"/>
      <c r="DP1107" s="11"/>
      <c r="DQ1107" s="11"/>
      <c r="DR1107" s="11"/>
      <c r="DS1107" s="11"/>
      <c r="DT1107" s="11"/>
      <c r="DU1107" s="11"/>
      <c r="DV1107" s="11"/>
      <c r="DW1107" s="11"/>
      <c r="DX1107" s="11"/>
      <c r="DY1107" s="11"/>
      <c r="DZ1107" s="11"/>
      <c r="EA1107" s="11"/>
      <c r="EB1107" s="11"/>
      <c r="EC1107" s="11"/>
      <c r="ED1107" s="11"/>
      <c r="EE1107" s="11"/>
      <c r="EF1107" s="11"/>
      <c r="EG1107" s="11"/>
      <c r="EH1107" s="11"/>
      <c r="EI1107" s="11"/>
    </row>
    <row r="1108" spans="1:139" s="52" customFormat="1">
      <c r="A1108" s="85"/>
      <c r="B1108" s="99"/>
      <c r="C1108" s="11"/>
      <c r="K1108" s="77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11"/>
      <c r="AW1108" s="11"/>
      <c r="AX1108" s="11"/>
      <c r="AY1108" s="11"/>
      <c r="AZ1108" s="11"/>
      <c r="BA1108" s="11"/>
      <c r="BB1108" s="11"/>
      <c r="BC1108" s="11"/>
      <c r="BD1108" s="11"/>
      <c r="BE1108" s="11"/>
      <c r="BF1108" s="11"/>
      <c r="BG1108" s="11"/>
      <c r="BH1108" s="11"/>
      <c r="BI1108" s="11"/>
      <c r="BJ1108" s="11"/>
      <c r="BK1108" s="11"/>
      <c r="BL1108" s="11"/>
      <c r="BM1108" s="11"/>
      <c r="BN1108" s="11"/>
      <c r="BO1108" s="11"/>
      <c r="BP1108" s="11"/>
      <c r="BQ1108" s="11"/>
      <c r="BR1108" s="11"/>
      <c r="BS1108" s="11"/>
      <c r="BT1108" s="11"/>
      <c r="BU1108" s="11"/>
      <c r="BV1108" s="11"/>
      <c r="BW1108" s="11"/>
      <c r="BX1108" s="11"/>
      <c r="BY1108" s="11"/>
      <c r="BZ1108" s="11"/>
      <c r="CA1108" s="11"/>
      <c r="CB1108" s="11"/>
      <c r="CC1108" s="11"/>
      <c r="CD1108" s="11"/>
      <c r="CE1108" s="11"/>
      <c r="CF1108" s="11"/>
      <c r="CG1108" s="11"/>
      <c r="CH1108" s="11"/>
      <c r="CI1108" s="11"/>
      <c r="CJ1108" s="11"/>
      <c r="CK1108" s="11"/>
      <c r="CL1108" s="11"/>
      <c r="CM1108" s="11"/>
      <c r="CN1108" s="11"/>
      <c r="CO1108" s="11"/>
      <c r="CP1108" s="11"/>
      <c r="CQ1108" s="11"/>
      <c r="CR1108" s="11"/>
      <c r="CS1108" s="11"/>
      <c r="CT1108" s="11"/>
      <c r="CU1108" s="11"/>
      <c r="CV1108" s="11"/>
      <c r="CW1108" s="11"/>
      <c r="CX1108" s="11"/>
      <c r="CY1108" s="11"/>
      <c r="CZ1108" s="11"/>
      <c r="DA1108" s="11"/>
      <c r="DB1108" s="11"/>
      <c r="DC1108" s="11"/>
      <c r="DD1108" s="11"/>
      <c r="DE1108" s="11"/>
      <c r="DF1108" s="11"/>
      <c r="DG1108" s="11"/>
      <c r="DH1108" s="11"/>
      <c r="DI1108" s="11"/>
      <c r="DJ1108" s="11"/>
      <c r="DK1108" s="11"/>
      <c r="DL1108" s="11"/>
      <c r="DM1108" s="11"/>
      <c r="DN1108" s="11"/>
      <c r="DO1108" s="11"/>
      <c r="DP1108" s="11"/>
      <c r="DQ1108" s="11"/>
      <c r="DR1108" s="11"/>
      <c r="DS1108" s="11"/>
      <c r="DT1108" s="11"/>
      <c r="DU1108" s="11"/>
      <c r="DV1108" s="11"/>
      <c r="DW1108" s="11"/>
      <c r="DX1108" s="11"/>
      <c r="DY1108" s="11"/>
      <c r="DZ1108" s="11"/>
      <c r="EA1108" s="11"/>
      <c r="EB1108" s="11"/>
      <c r="EC1108" s="11"/>
      <c r="ED1108" s="11"/>
      <c r="EE1108" s="11"/>
      <c r="EF1108" s="11"/>
      <c r="EG1108" s="11"/>
      <c r="EH1108" s="11"/>
      <c r="EI1108" s="11"/>
    </row>
    <row r="1109" spans="1:139" s="52" customFormat="1">
      <c r="A1109" s="85"/>
      <c r="B1109" s="99"/>
      <c r="C1109" s="11"/>
      <c r="K1109" s="77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  <c r="AZ1109" s="11"/>
      <c r="BA1109" s="11"/>
      <c r="BB1109" s="11"/>
      <c r="BC1109" s="11"/>
      <c r="BD1109" s="11"/>
      <c r="BE1109" s="11"/>
      <c r="BF1109" s="11"/>
      <c r="BG1109" s="11"/>
      <c r="BH1109" s="11"/>
      <c r="BI1109" s="11"/>
      <c r="BJ1109" s="11"/>
      <c r="BK1109" s="11"/>
      <c r="BL1109" s="11"/>
      <c r="BM1109" s="11"/>
      <c r="BN1109" s="11"/>
      <c r="BO1109" s="11"/>
      <c r="BP1109" s="11"/>
      <c r="BQ1109" s="11"/>
      <c r="BR1109" s="11"/>
      <c r="BS1109" s="11"/>
      <c r="BT1109" s="11"/>
      <c r="BU1109" s="11"/>
      <c r="BV1109" s="11"/>
      <c r="BW1109" s="11"/>
      <c r="BX1109" s="11"/>
      <c r="BY1109" s="11"/>
      <c r="BZ1109" s="11"/>
      <c r="CA1109" s="11"/>
      <c r="CB1109" s="11"/>
      <c r="CC1109" s="11"/>
      <c r="CD1109" s="11"/>
      <c r="CE1109" s="11"/>
      <c r="CF1109" s="11"/>
      <c r="CG1109" s="11"/>
      <c r="CH1109" s="11"/>
      <c r="CI1109" s="11"/>
      <c r="CJ1109" s="11"/>
      <c r="CK1109" s="11"/>
      <c r="CL1109" s="11"/>
      <c r="CM1109" s="11"/>
      <c r="CN1109" s="11"/>
      <c r="CO1109" s="11"/>
      <c r="CP1109" s="11"/>
      <c r="CQ1109" s="11"/>
      <c r="CR1109" s="11"/>
      <c r="CS1109" s="11"/>
      <c r="CT1109" s="11"/>
      <c r="CU1109" s="11"/>
      <c r="CV1109" s="11"/>
      <c r="CW1109" s="11"/>
      <c r="CX1109" s="11"/>
      <c r="CY1109" s="11"/>
      <c r="CZ1109" s="11"/>
      <c r="DA1109" s="11"/>
      <c r="DB1109" s="11"/>
      <c r="DC1109" s="11"/>
      <c r="DD1109" s="11"/>
      <c r="DE1109" s="11"/>
      <c r="DF1109" s="11"/>
      <c r="DG1109" s="11"/>
      <c r="DH1109" s="11"/>
      <c r="DI1109" s="11"/>
      <c r="DJ1109" s="11"/>
      <c r="DK1109" s="11"/>
      <c r="DL1109" s="11"/>
      <c r="DM1109" s="11"/>
      <c r="DN1109" s="11"/>
      <c r="DO1109" s="11"/>
      <c r="DP1109" s="11"/>
      <c r="DQ1109" s="11"/>
      <c r="DR1109" s="11"/>
      <c r="DS1109" s="11"/>
      <c r="DT1109" s="11"/>
      <c r="DU1109" s="11"/>
      <c r="DV1109" s="11"/>
      <c r="DW1109" s="11"/>
      <c r="DX1109" s="11"/>
      <c r="DY1109" s="11"/>
      <c r="DZ1109" s="11"/>
      <c r="EA1109" s="11"/>
      <c r="EB1109" s="11"/>
      <c r="EC1109" s="11"/>
      <c r="ED1109" s="11"/>
      <c r="EE1109" s="11"/>
      <c r="EF1109" s="11"/>
      <c r="EG1109" s="11"/>
      <c r="EH1109" s="11"/>
      <c r="EI1109" s="11"/>
    </row>
    <row r="1110" spans="1:139" s="52" customFormat="1">
      <c r="A1110" s="85"/>
      <c r="B1110" s="99"/>
      <c r="C1110" s="11"/>
      <c r="K1110" s="77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  <c r="AV1110" s="11"/>
      <c r="AW1110" s="11"/>
      <c r="AX1110" s="11"/>
      <c r="AY1110" s="11"/>
      <c r="AZ1110" s="11"/>
      <c r="BA1110" s="11"/>
      <c r="BB1110" s="11"/>
      <c r="BC1110" s="11"/>
      <c r="BD1110" s="11"/>
      <c r="BE1110" s="11"/>
      <c r="BF1110" s="11"/>
      <c r="BG1110" s="11"/>
      <c r="BH1110" s="11"/>
      <c r="BI1110" s="11"/>
      <c r="BJ1110" s="11"/>
      <c r="BK1110" s="11"/>
      <c r="BL1110" s="11"/>
      <c r="BM1110" s="11"/>
      <c r="BN1110" s="11"/>
      <c r="BO1110" s="11"/>
      <c r="BP1110" s="11"/>
      <c r="BQ1110" s="11"/>
      <c r="BR1110" s="11"/>
      <c r="BS1110" s="11"/>
      <c r="BT1110" s="11"/>
      <c r="BU1110" s="11"/>
      <c r="BV1110" s="11"/>
      <c r="BW1110" s="11"/>
      <c r="BX1110" s="11"/>
      <c r="BY1110" s="11"/>
      <c r="BZ1110" s="11"/>
      <c r="CA1110" s="11"/>
      <c r="CB1110" s="11"/>
      <c r="CC1110" s="11"/>
      <c r="CD1110" s="11"/>
      <c r="CE1110" s="11"/>
      <c r="CF1110" s="11"/>
      <c r="CG1110" s="11"/>
      <c r="CH1110" s="11"/>
      <c r="CI1110" s="11"/>
      <c r="CJ1110" s="11"/>
      <c r="CK1110" s="11"/>
      <c r="CL1110" s="11"/>
      <c r="CM1110" s="11"/>
      <c r="CN1110" s="11"/>
      <c r="CO1110" s="11"/>
      <c r="CP1110" s="11"/>
      <c r="CQ1110" s="11"/>
      <c r="CR1110" s="11"/>
      <c r="CS1110" s="11"/>
      <c r="CT1110" s="11"/>
      <c r="CU1110" s="11"/>
      <c r="CV1110" s="11"/>
      <c r="CW1110" s="11"/>
      <c r="CX1110" s="11"/>
      <c r="CY1110" s="11"/>
      <c r="CZ1110" s="11"/>
      <c r="DA1110" s="11"/>
      <c r="DB1110" s="11"/>
      <c r="DC1110" s="11"/>
      <c r="DD1110" s="11"/>
      <c r="DE1110" s="11"/>
      <c r="DF1110" s="11"/>
      <c r="DG1110" s="11"/>
      <c r="DH1110" s="11"/>
      <c r="DI1110" s="11"/>
      <c r="DJ1110" s="11"/>
      <c r="DK1110" s="11"/>
      <c r="DL1110" s="11"/>
      <c r="DM1110" s="11"/>
      <c r="DN1110" s="11"/>
      <c r="DO1110" s="11"/>
      <c r="DP1110" s="11"/>
      <c r="DQ1110" s="11"/>
      <c r="DR1110" s="11"/>
      <c r="DS1110" s="11"/>
      <c r="DT1110" s="11"/>
      <c r="DU1110" s="11"/>
      <c r="DV1110" s="11"/>
      <c r="DW1110" s="11"/>
      <c r="DX1110" s="11"/>
      <c r="DY1110" s="11"/>
      <c r="DZ1110" s="11"/>
      <c r="EA1110" s="11"/>
      <c r="EB1110" s="11"/>
      <c r="EC1110" s="11"/>
      <c r="ED1110" s="11"/>
      <c r="EE1110" s="11"/>
      <c r="EF1110" s="11"/>
      <c r="EG1110" s="11"/>
      <c r="EH1110" s="11"/>
      <c r="EI1110" s="11"/>
    </row>
    <row r="1111" spans="1:139" s="52" customFormat="1">
      <c r="A1111" s="85"/>
      <c r="B1111" s="99"/>
      <c r="C1111" s="11"/>
      <c r="K1111" s="77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11"/>
      <c r="AW1111" s="11"/>
      <c r="AX1111" s="11"/>
      <c r="AY1111" s="11"/>
      <c r="AZ1111" s="11"/>
      <c r="BA1111" s="11"/>
      <c r="BB1111" s="11"/>
      <c r="BC1111" s="11"/>
      <c r="BD1111" s="11"/>
      <c r="BE1111" s="11"/>
      <c r="BF1111" s="11"/>
      <c r="BG1111" s="11"/>
      <c r="BH1111" s="11"/>
      <c r="BI1111" s="11"/>
      <c r="BJ1111" s="11"/>
      <c r="BK1111" s="11"/>
      <c r="BL1111" s="11"/>
      <c r="BM1111" s="11"/>
      <c r="BN1111" s="11"/>
      <c r="BO1111" s="11"/>
      <c r="BP1111" s="11"/>
      <c r="BQ1111" s="11"/>
      <c r="BR1111" s="11"/>
      <c r="BS1111" s="11"/>
      <c r="BT1111" s="11"/>
      <c r="BU1111" s="11"/>
      <c r="BV1111" s="11"/>
      <c r="BW1111" s="11"/>
      <c r="BX1111" s="11"/>
      <c r="BY1111" s="11"/>
      <c r="BZ1111" s="11"/>
      <c r="CA1111" s="11"/>
      <c r="CB1111" s="11"/>
      <c r="CC1111" s="11"/>
      <c r="CD1111" s="11"/>
      <c r="CE1111" s="11"/>
      <c r="CF1111" s="11"/>
      <c r="CG1111" s="11"/>
      <c r="CH1111" s="11"/>
      <c r="CI1111" s="11"/>
      <c r="CJ1111" s="11"/>
      <c r="CK1111" s="11"/>
      <c r="CL1111" s="11"/>
      <c r="CM1111" s="11"/>
      <c r="CN1111" s="11"/>
      <c r="CO1111" s="11"/>
      <c r="CP1111" s="11"/>
      <c r="CQ1111" s="11"/>
      <c r="CR1111" s="11"/>
      <c r="CS1111" s="11"/>
      <c r="CT1111" s="11"/>
      <c r="CU1111" s="11"/>
      <c r="CV1111" s="11"/>
      <c r="CW1111" s="11"/>
      <c r="CX1111" s="11"/>
      <c r="CY1111" s="11"/>
      <c r="CZ1111" s="11"/>
      <c r="DA1111" s="11"/>
      <c r="DB1111" s="11"/>
      <c r="DC1111" s="11"/>
      <c r="DD1111" s="11"/>
      <c r="DE1111" s="11"/>
      <c r="DF1111" s="11"/>
      <c r="DG1111" s="11"/>
      <c r="DH1111" s="11"/>
      <c r="DI1111" s="11"/>
      <c r="DJ1111" s="11"/>
      <c r="DK1111" s="11"/>
      <c r="DL1111" s="11"/>
      <c r="DM1111" s="11"/>
      <c r="DN1111" s="11"/>
      <c r="DO1111" s="11"/>
      <c r="DP1111" s="11"/>
      <c r="DQ1111" s="11"/>
      <c r="DR1111" s="11"/>
      <c r="DS1111" s="11"/>
      <c r="DT1111" s="11"/>
      <c r="DU1111" s="11"/>
      <c r="DV1111" s="11"/>
      <c r="DW1111" s="11"/>
      <c r="DX1111" s="11"/>
      <c r="DY1111" s="11"/>
      <c r="DZ1111" s="11"/>
      <c r="EA1111" s="11"/>
      <c r="EB1111" s="11"/>
      <c r="EC1111" s="11"/>
      <c r="ED1111" s="11"/>
      <c r="EE1111" s="11"/>
      <c r="EF1111" s="11"/>
      <c r="EG1111" s="11"/>
      <c r="EH1111" s="11"/>
      <c r="EI1111" s="11"/>
    </row>
    <row r="1112" spans="1:139" s="52" customFormat="1">
      <c r="A1112" s="85"/>
      <c r="B1112" s="99"/>
      <c r="C1112" s="11"/>
      <c r="K1112" s="77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1"/>
      <c r="AY1112" s="11"/>
      <c r="AZ1112" s="11"/>
      <c r="BA1112" s="11"/>
      <c r="BB1112" s="11"/>
      <c r="BC1112" s="11"/>
      <c r="BD1112" s="11"/>
      <c r="BE1112" s="11"/>
      <c r="BF1112" s="11"/>
      <c r="BG1112" s="11"/>
      <c r="BH1112" s="11"/>
      <c r="BI1112" s="11"/>
      <c r="BJ1112" s="11"/>
      <c r="BK1112" s="11"/>
      <c r="BL1112" s="11"/>
      <c r="BM1112" s="11"/>
      <c r="BN1112" s="11"/>
      <c r="BO1112" s="11"/>
      <c r="BP1112" s="11"/>
      <c r="BQ1112" s="11"/>
      <c r="BR1112" s="11"/>
      <c r="BS1112" s="11"/>
      <c r="BT1112" s="11"/>
      <c r="BU1112" s="11"/>
      <c r="BV1112" s="11"/>
      <c r="BW1112" s="11"/>
      <c r="BX1112" s="11"/>
      <c r="BY1112" s="11"/>
      <c r="BZ1112" s="11"/>
      <c r="CA1112" s="11"/>
      <c r="CB1112" s="11"/>
      <c r="CC1112" s="11"/>
      <c r="CD1112" s="11"/>
      <c r="CE1112" s="11"/>
      <c r="CF1112" s="11"/>
      <c r="CG1112" s="11"/>
      <c r="CH1112" s="11"/>
      <c r="CI1112" s="11"/>
      <c r="CJ1112" s="11"/>
      <c r="CK1112" s="11"/>
      <c r="CL1112" s="11"/>
      <c r="CM1112" s="11"/>
      <c r="CN1112" s="11"/>
      <c r="CO1112" s="11"/>
      <c r="CP1112" s="11"/>
      <c r="CQ1112" s="11"/>
      <c r="CR1112" s="11"/>
      <c r="CS1112" s="11"/>
      <c r="CT1112" s="11"/>
      <c r="CU1112" s="11"/>
      <c r="CV1112" s="11"/>
      <c r="CW1112" s="11"/>
      <c r="CX1112" s="11"/>
      <c r="CY1112" s="11"/>
      <c r="CZ1112" s="11"/>
      <c r="DA1112" s="11"/>
      <c r="DB1112" s="11"/>
      <c r="DC1112" s="11"/>
      <c r="DD1112" s="11"/>
      <c r="DE1112" s="11"/>
      <c r="DF1112" s="11"/>
      <c r="DG1112" s="11"/>
      <c r="DH1112" s="11"/>
      <c r="DI1112" s="11"/>
      <c r="DJ1112" s="11"/>
      <c r="DK1112" s="11"/>
      <c r="DL1112" s="11"/>
      <c r="DM1112" s="11"/>
      <c r="DN1112" s="11"/>
      <c r="DO1112" s="11"/>
      <c r="DP1112" s="11"/>
      <c r="DQ1112" s="11"/>
      <c r="DR1112" s="11"/>
      <c r="DS1112" s="11"/>
      <c r="DT1112" s="11"/>
      <c r="DU1112" s="11"/>
      <c r="DV1112" s="11"/>
      <c r="DW1112" s="11"/>
      <c r="DX1112" s="11"/>
      <c r="DY1112" s="11"/>
      <c r="DZ1112" s="11"/>
      <c r="EA1112" s="11"/>
      <c r="EB1112" s="11"/>
      <c r="EC1112" s="11"/>
      <c r="ED1112" s="11"/>
      <c r="EE1112" s="11"/>
      <c r="EF1112" s="11"/>
      <c r="EG1112" s="11"/>
      <c r="EH1112" s="11"/>
      <c r="EI1112" s="11"/>
    </row>
    <row r="1113" spans="1:139" s="52" customFormat="1">
      <c r="A1113" s="85"/>
      <c r="B1113" s="99"/>
      <c r="C1113" s="11"/>
      <c r="K1113" s="77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  <c r="AW1113" s="11"/>
      <c r="AX1113" s="11"/>
      <c r="AY1113" s="11"/>
      <c r="AZ1113" s="11"/>
      <c r="BA1113" s="11"/>
      <c r="BB1113" s="11"/>
      <c r="BC1113" s="11"/>
      <c r="BD1113" s="11"/>
      <c r="BE1113" s="11"/>
      <c r="BF1113" s="11"/>
      <c r="BG1113" s="11"/>
      <c r="BH1113" s="11"/>
      <c r="BI1113" s="11"/>
      <c r="BJ1113" s="11"/>
      <c r="BK1113" s="11"/>
      <c r="BL1113" s="11"/>
      <c r="BM1113" s="11"/>
      <c r="BN1113" s="11"/>
      <c r="BO1113" s="11"/>
      <c r="BP1113" s="11"/>
      <c r="BQ1113" s="11"/>
      <c r="BR1113" s="11"/>
      <c r="BS1113" s="11"/>
      <c r="BT1113" s="11"/>
      <c r="BU1113" s="11"/>
      <c r="BV1113" s="11"/>
      <c r="BW1113" s="11"/>
      <c r="BX1113" s="11"/>
      <c r="BY1113" s="11"/>
      <c r="BZ1113" s="11"/>
      <c r="CA1113" s="11"/>
      <c r="CB1113" s="11"/>
      <c r="CC1113" s="11"/>
      <c r="CD1113" s="11"/>
      <c r="CE1113" s="11"/>
      <c r="CF1113" s="11"/>
      <c r="CG1113" s="11"/>
      <c r="CH1113" s="11"/>
      <c r="CI1113" s="11"/>
      <c r="CJ1113" s="11"/>
      <c r="CK1113" s="11"/>
      <c r="CL1113" s="11"/>
      <c r="CM1113" s="11"/>
      <c r="CN1113" s="11"/>
      <c r="CO1113" s="11"/>
      <c r="CP1113" s="11"/>
      <c r="CQ1113" s="11"/>
      <c r="CR1113" s="11"/>
      <c r="CS1113" s="11"/>
      <c r="CT1113" s="11"/>
      <c r="CU1113" s="11"/>
      <c r="CV1113" s="11"/>
      <c r="CW1113" s="11"/>
      <c r="CX1113" s="11"/>
      <c r="CY1113" s="11"/>
      <c r="CZ1113" s="11"/>
      <c r="DA1113" s="11"/>
      <c r="DB1113" s="11"/>
      <c r="DC1113" s="11"/>
      <c r="DD1113" s="11"/>
      <c r="DE1113" s="11"/>
      <c r="DF1113" s="11"/>
      <c r="DG1113" s="11"/>
      <c r="DH1113" s="11"/>
      <c r="DI1113" s="11"/>
      <c r="DJ1113" s="11"/>
      <c r="DK1113" s="11"/>
      <c r="DL1113" s="11"/>
      <c r="DM1113" s="11"/>
      <c r="DN1113" s="11"/>
      <c r="DO1113" s="11"/>
      <c r="DP1113" s="11"/>
      <c r="DQ1113" s="11"/>
      <c r="DR1113" s="11"/>
      <c r="DS1113" s="11"/>
      <c r="DT1113" s="11"/>
      <c r="DU1113" s="11"/>
      <c r="DV1113" s="11"/>
      <c r="DW1113" s="11"/>
      <c r="DX1113" s="11"/>
      <c r="DY1113" s="11"/>
      <c r="DZ1113" s="11"/>
      <c r="EA1113" s="11"/>
      <c r="EB1113" s="11"/>
      <c r="EC1113" s="11"/>
      <c r="ED1113" s="11"/>
      <c r="EE1113" s="11"/>
      <c r="EF1113" s="11"/>
      <c r="EG1113" s="11"/>
      <c r="EH1113" s="11"/>
      <c r="EI1113" s="11"/>
    </row>
    <row r="1114" spans="1:139" s="52" customFormat="1">
      <c r="A1114" s="85"/>
      <c r="B1114" s="99"/>
      <c r="C1114" s="11"/>
      <c r="K1114" s="77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  <c r="AV1114" s="11"/>
      <c r="AW1114" s="11"/>
      <c r="AX1114" s="11"/>
      <c r="AY1114" s="11"/>
      <c r="AZ1114" s="11"/>
      <c r="BA1114" s="11"/>
      <c r="BB1114" s="11"/>
      <c r="BC1114" s="11"/>
      <c r="BD1114" s="11"/>
      <c r="BE1114" s="11"/>
      <c r="BF1114" s="11"/>
      <c r="BG1114" s="11"/>
      <c r="BH1114" s="11"/>
      <c r="BI1114" s="11"/>
      <c r="BJ1114" s="11"/>
      <c r="BK1114" s="11"/>
      <c r="BL1114" s="11"/>
      <c r="BM1114" s="11"/>
      <c r="BN1114" s="11"/>
      <c r="BO1114" s="11"/>
      <c r="BP1114" s="11"/>
      <c r="BQ1114" s="11"/>
      <c r="BR1114" s="11"/>
      <c r="BS1114" s="11"/>
      <c r="BT1114" s="11"/>
      <c r="BU1114" s="11"/>
      <c r="BV1114" s="11"/>
      <c r="BW1114" s="11"/>
      <c r="BX1114" s="11"/>
      <c r="BY1114" s="11"/>
      <c r="BZ1114" s="11"/>
      <c r="CA1114" s="11"/>
      <c r="CB1114" s="11"/>
      <c r="CC1114" s="11"/>
      <c r="CD1114" s="11"/>
      <c r="CE1114" s="11"/>
      <c r="CF1114" s="11"/>
      <c r="CG1114" s="11"/>
      <c r="CH1114" s="11"/>
      <c r="CI1114" s="11"/>
      <c r="CJ1114" s="11"/>
      <c r="CK1114" s="11"/>
      <c r="CL1114" s="11"/>
      <c r="CM1114" s="11"/>
      <c r="CN1114" s="11"/>
      <c r="CO1114" s="11"/>
      <c r="CP1114" s="11"/>
      <c r="CQ1114" s="11"/>
      <c r="CR1114" s="11"/>
      <c r="CS1114" s="11"/>
      <c r="CT1114" s="11"/>
      <c r="CU1114" s="11"/>
      <c r="CV1114" s="11"/>
      <c r="CW1114" s="11"/>
      <c r="CX1114" s="11"/>
      <c r="CY1114" s="11"/>
      <c r="CZ1114" s="11"/>
      <c r="DA1114" s="11"/>
      <c r="DB1114" s="11"/>
      <c r="DC1114" s="11"/>
      <c r="DD1114" s="11"/>
      <c r="DE1114" s="11"/>
      <c r="DF1114" s="11"/>
      <c r="DG1114" s="11"/>
      <c r="DH1114" s="11"/>
      <c r="DI1114" s="11"/>
      <c r="DJ1114" s="11"/>
      <c r="DK1114" s="11"/>
      <c r="DL1114" s="11"/>
      <c r="DM1114" s="11"/>
      <c r="DN1114" s="11"/>
      <c r="DO1114" s="11"/>
      <c r="DP1114" s="11"/>
      <c r="DQ1114" s="11"/>
      <c r="DR1114" s="11"/>
      <c r="DS1114" s="11"/>
      <c r="DT1114" s="11"/>
      <c r="DU1114" s="11"/>
      <c r="DV1114" s="11"/>
      <c r="DW1114" s="11"/>
      <c r="DX1114" s="11"/>
      <c r="DY1114" s="11"/>
      <c r="DZ1114" s="11"/>
      <c r="EA1114" s="11"/>
      <c r="EB1114" s="11"/>
      <c r="EC1114" s="11"/>
      <c r="ED1114" s="11"/>
      <c r="EE1114" s="11"/>
      <c r="EF1114" s="11"/>
      <c r="EG1114" s="11"/>
      <c r="EH1114" s="11"/>
      <c r="EI1114" s="11"/>
    </row>
    <row r="1115" spans="1:139" s="52" customFormat="1">
      <c r="A1115" s="85"/>
      <c r="B1115" s="99"/>
      <c r="C1115" s="11"/>
      <c r="K1115" s="77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1"/>
      <c r="AY1115" s="11"/>
      <c r="AZ1115" s="11"/>
      <c r="BA1115" s="11"/>
      <c r="BB1115" s="11"/>
      <c r="BC1115" s="11"/>
      <c r="BD1115" s="11"/>
      <c r="BE1115" s="11"/>
      <c r="BF1115" s="11"/>
      <c r="BG1115" s="11"/>
      <c r="BH1115" s="11"/>
      <c r="BI1115" s="11"/>
      <c r="BJ1115" s="11"/>
      <c r="BK1115" s="11"/>
      <c r="BL1115" s="11"/>
      <c r="BM1115" s="11"/>
      <c r="BN1115" s="11"/>
      <c r="BO1115" s="11"/>
      <c r="BP1115" s="11"/>
      <c r="BQ1115" s="11"/>
      <c r="BR1115" s="11"/>
      <c r="BS1115" s="11"/>
      <c r="BT1115" s="11"/>
      <c r="BU1115" s="11"/>
      <c r="BV1115" s="11"/>
      <c r="BW1115" s="11"/>
      <c r="BX1115" s="11"/>
      <c r="BY1115" s="11"/>
      <c r="BZ1115" s="11"/>
      <c r="CA1115" s="11"/>
      <c r="CB1115" s="11"/>
      <c r="CC1115" s="11"/>
      <c r="CD1115" s="11"/>
      <c r="CE1115" s="11"/>
      <c r="CF1115" s="11"/>
      <c r="CG1115" s="11"/>
      <c r="CH1115" s="11"/>
      <c r="CI1115" s="11"/>
      <c r="CJ1115" s="11"/>
      <c r="CK1115" s="11"/>
      <c r="CL1115" s="11"/>
      <c r="CM1115" s="11"/>
      <c r="CN1115" s="11"/>
      <c r="CO1115" s="11"/>
      <c r="CP1115" s="11"/>
      <c r="CQ1115" s="11"/>
      <c r="CR1115" s="11"/>
      <c r="CS1115" s="11"/>
      <c r="CT1115" s="11"/>
      <c r="CU1115" s="11"/>
      <c r="CV1115" s="11"/>
      <c r="CW1115" s="11"/>
      <c r="CX1115" s="11"/>
      <c r="CY1115" s="11"/>
      <c r="CZ1115" s="11"/>
      <c r="DA1115" s="11"/>
      <c r="DB1115" s="11"/>
      <c r="DC1115" s="11"/>
      <c r="DD1115" s="11"/>
      <c r="DE1115" s="11"/>
      <c r="DF1115" s="11"/>
      <c r="DG1115" s="11"/>
      <c r="DH1115" s="11"/>
      <c r="DI1115" s="11"/>
      <c r="DJ1115" s="11"/>
      <c r="DK1115" s="11"/>
      <c r="DL1115" s="11"/>
      <c r="DM1115" s="11"/>
      <c r="DN1115" s="11"/>
      <c r="DO1115" s="11"/>
      <c r="DP1115" s="11"/>
      <c r="DQ1115" s="11"/>
      <c r="DR1115" s="11"/>
      <c r="DS1115" s="11"/>
      <c r="DT1115" s="11"/>
      <c r="DU1115" s="11"/>
      <c r="DV1115" s="11"/>
      <c r="DW1115" s="11"/>
      <c r="DX1115" s="11"/>
      <c r="DY1115" s="11"/>
      <c r="DZ1115" s="11"/>
      <c r="EA1115" s="11"/>
      <c r="EB1115" s="11"/>
      <c r="EC1115" s="11"/>
      <c r="ED1115" s="11"/>
      <c r="EE1115" s="11"/>
      <c r="EF1115" s="11"/>
      <c r="EG1115" s="11"/>
      <c r="EH1115" s="11"/>
      <c r="EI1115" s="11"/>
    </row>
    <row r="1116" spans="1:139" s="52" customFormat="1">
      <c r="A1116" s="85"/>
      <c r="B1116" s="99"/>
      <c r="C1116" s="11"/>
      <c r="K1116" s="77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  <c r="AW1116" s="11"/>
      <c r="AX1116" s="11"/>
      <c r="AY1116" s="11"/>
      <c r="AZ1116" s="11"/>
      <c r="BA1116" s="11"/>
      <c r="BB1116" s="11"/>
      <c r="BC1116" s="11"/>
      <c r="BD1116" s="11"/>
      <c r="BE1116" s="11"/>
      <c r="BF1116" s="11"/>
      <c r="BG1116" s="11"/>
      <c r="BH1116" s="11"/>
      <c r="BI1116" s="11"/>
      <c r="BJ1116" s="11"/>
      <c r="BK1116" s="11"/>
      <c r="BL1116" s="11"/>
      <c r="BM1116" s="11"/>
      <c r="BN1116" s="11"/>
      <c r="BO1116" s="11"/>
      <c r="BP1116" s="11"/>
      <c r="BQ1116" s="11"/>
      <c r="BR1116" s="11"/>
      <c r="BS1116" s="11"/>
      <c r="BT1116" s="11"/>
      <c r="BU1116" s="11"/>
      <c r="BV1116" s="11"/>
      <c r="BW1116" s="11"/>
      <c r="BX1116" s="11"/>
      <c r="BY1116" s="11"/>
      <c r="BZ1116" s="11"/>
      <c r="CA1116" s="11"/>
      <c r="CB1116" s="11"/>
      <c r="CC1116" s="11"/>
      <c r="CD1116" s="11"/>
      <c r="CE1116" s="11"/>
      <c r="CF1116" s="11"/>
      <c r="CG1116" s="11"/>
      <c r="CH1116" s="11"/>
      <c r="CI1116" s="11"/>
      <c r="CJ1116" s="11"/>
      <c r="CK1116" s="11"/>
      <c r="CL1116" s="11"/>
      <c r="CM1116" s="11"/>
      <c r="CN1116" s="11"/>
      <c r="CO1116" s="11"/>
      <c r="CP1116" s="11"/>
      <c r="CQ1116" s="11"/>
      <c r="CR1116" s="11"/>
      <c r="CS1116" s="11"/>
      <c r="CT1116" s="11"/>
      <c r="CU1116" s="11"/>
      <c r="CV1116" s="11"/>
      <c r="CW1116" s="11"/>
      <c r="CX1116" s="11"/>
      <c r="CY1116" s="11"/>
      <c r="CZ1116" s="11"/>
      <c r="DA1116" s="11"/>
      <c r="DB1116" s="11"/>
      <c r="DC1116" s="11"/>
      <c r="DD1116" s="11"/>
      <c r="DE1116" s="11"/>
      <c r="DF1116" s="11"/>
      <c r="DG1116" s="11"/>
      <c r="DH1116" s="11"/>
      <c r="DI1116" s="11"/>
      <c r="DJ1116" s="11"/>
      <c r="DK1116" s="11"/>
      <c r="DL1116" s="11"/>
      <c r="DM1116" s="11"/>
      <c r="DN1116" s="11"/>
      <c r="DO1116" s="11"/>
      <c r="DP1116" s="11"/>
      <c r="DQ1116" s="11"/>
      <c r="DR1116" s="11"/>
      <c r="DS1116" s="11"/>
      <c r="DT1116" s="11"/>
      <c r="DU1116" s="11"/>
      <c r="DV1116" s="11"/>
      <c r="DW1116" s="11"/>
      <c r="DX1116" s="11"/>
      <c r="DY1116" s="11"/>
      <c r="DZ1116" s="11"/>
      <c r="EA1116" s="11"/>
      <c r="EB1116" s="11"/>
      <c r="EC1116" s="11"/>
      <c r="ED1116" s="11"/>
      <c r="EE1116" s="11"/>
      <c r="EF1116" s="11"/>
      <c r="EG1116" s="11"/>
      <c r="EH1116" s="11"/>
      <c r="EI1116" s="11"/>
    </row>
    <row r="1117" spans="1:139" s="52" customFormat="1">
      <c r="A1117" s="85"/>
      <c r="B1117" s="99"/>
      <c r="C1117" s="11"/>
      <c r="K1117" s="77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11"/>
      <c r="AW1117" s="11"/>
      <c r="AX1117" s="11"/>
      <c r="AY1117" s="11"/>
      <c r="AZ1117" s="11"/>
      <c r="BA1117" s="11"/>
      <c r="BB1117" s="11"/>
      <c r="BC1117" s="11"/>
      <c r="BD1117" s="11"/>
      <c r="BE1117" s="11"/>
      <c r="BF1117" s="11"/>
      <c r="BG1117" s="11"/>
      <c r="BH1117" s="11"/>
      <c r="BI1117" s="11"/>
      <c r="BJ1117" s="11"/>
      <c r="BK1117" s="11"/>
      <c r="BL1117" s="11"/>
      <c r="BM1117" s="11"/>
      <c r="BN1117" s="11"/>
      <c r="BO1117" s="11"/>
      <c r="BP1117" s="11"/>
      <c r="BQ1117" s="11"/>
      <c r="BR1117" s="11"/>
      <c r="BS1117" s="11"/>
      <c r="BT1117" s="11"/>
      <c r="BU1117" s="11"/>
      <c r="BV1117" s="11"/>
      <c r="BW1117" s="11"/>
      <c r="BX1117" s="11"/>
      <c r="BY1117" s="11"/>
      <c r="BZ1117" s="11"/>
      <c r="CA1117" s="11"/>
      <c r="CB1117" s="11"/>
      <c r="CC1117" s="11"/>
      <c r="CD1117" s="11"/>
      <c r="CE1117" s="11"/>
      <c r="CF1117" s="11"/>
      <c r="CG1117" s="11"/>
      <c r="CH1117" s="11"/>
      <c r="CI1117" s="11"/>
      <c r="CJ1117" s="11"/>
      <c r="CK1117" s="11"/>
      <c r="CL1117" s="11"/>
      <c r="CM1117" s="11"/>
      <c r="CN1117" s="11"/>
      <c r="CO1117" s="11"/>
      <c r="CP1117" s="11"/>
      <c r="CQ1117" s="11"/>
      <c r="CR1117" s="11"/>
      <c r="CS1117" s="11"/>
      <c r="CT1117" s="11"/>
      <c r="CU1117" s="11"/>
      <c r="CV1117" s="11"/>
      <c r="CW1117" s="11"/>
      <c r="CX1117" s="11"/>
      <c r="CY1117" s="11"/>
      <c r="CZ1117" s="11"/>
      <c r="DA1117" s="11"/>
      <c r="DB1117" s="11"/>
      <c r="DC1117" s="11"/>
      <c r="DD1117" s="11"/>
      <c r="DE1117" s="11"/>
      <c r="DF1117" s="11"/>
      <c r="DG1117" s="11"/>
      <c r="DH1117" s="11"/>
      <c r="DI1117" s="11"/>
      <c r="DJ1117" s="11"/>
      <c r="DK1117" s="11"/>
      <c r="DL1117" s="11"/>
      <c r="DM1117" s="11"/>
      <c r="DN1117" s="11"/>
      <c r="DO1117" s="11"/>
      <c r="DP1117" s="11"/>
      <c r="DQ1117" s="11"/>
      <c r="DR1117" s="11"/>
      <c r="DS1117" s="11"/>
      <c r="DT1117" s="11"/>
      <c r="DU1117" s="11"/>
      <c r="DV1117" s="11"/>
      <c r="DW1117" s="11"/>
      <c r="DX1117" s="11"/>
      <c r="DY1117" s="11"/>
      <c r="DZ1117" s="11"/>
      <c r="EA1117" s="11"/>
      <c r="EB1117" s="11"/>
      <c r="EC1117" s="11"/>
      <c r="ED1117" s="11"/>
      <c r="EE1117" s="11"/>
      <c r="EF1117" s="11"/>
      <c r="EG1117" s="11"/>
      <c r="EH1117" s="11"/>
      <c r="EI1117" s="11"/>
    </row>
    <row r="1118" spans="1:139" s="52" customFormat="1">
      <c r="A1118" s="85"/>
      <c r="B1118" s="99"/>
      <c r="C1118" s="11"/>
      <c r="K1118" s="77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  <c r="AW1118" s="11"/>
      <c r="AX1118" s="11"/>
      <c r="AY1118" s="11"/>
      <c r="AZ1118" s="11"/>
      <c r="BA1118" s="11"/>
      <c r="BB1118" s="11"/>
      <c r="BC1118" s="11"/>
      <c r="BD1118" s="11"/>
      <c r="BE1118" s="11"/>
      <c r="BF1118" s="11"/>
      <c r="BG1118" s="11"/>
      <c r="BH1118" s="11"/>
      <c r="BI1118" s="11"/>
      <c r="BJ1118" s="11"/>
      <c r="BK1118" s="11"/>
      <c r="BL1118" s="11"/>
      <c r="BM1118" s="11"/>
      <c r="BN1118" s="11"/>
      <c r="BO1118" s="11"/>
      <c r="BP1118" s="11"/>
      <c r="BQ1118" s="11"/>
      <c r="BR1118" s="11"/>
      <c r="BS1118" s="11"/>
      <c r="BT1118" s="11"/>
      <c r="BU1118" s="11"/>
      <c r="BV1118" s="11"/>
      <c r="BW1118" s="11"/>
      <c r="BX1118" s="11"/>
      <c r="BY1118" s="11"/>
      <c r="BZ1118" s="11"/>
      <c r="CA1118" s="11"/>
      <c r="CB1118" s="11"/>
      <c r="CC1118" s="11"/>
      <c r="CD1118" s="11"/>
      <c r="CE1118" s="11"/>
      <c r="CF1118" s="11"/>
      <c r="CG1118" s="11"/>
      <c r="CH1118" s="11"/>
      <c r="CI1118" s="11"/>
      <c r="CJ1118" s="11"/>
      <c r="CK1118" s="11"/>
      <c r="CL1118" s="11"/>
      <c r="CM1118" s="11"/>
      <c r="CN1118" s="11"/>
      <c r="CO1118" s="11"/>
      <c r="CP1118" s="11"/>
      <c r="CQ1118" s="11"/>
      <c r="CR1118" s="11"/>
      <c r="CS1118" s="11"/>
      <c r="CT1118" s="11"/>
      <c r="CU1118" s="11"/>
      <c r="CV1118" s="11"/>
      <c r="CW1118" s="11"/>
      <c r="CX1118" s="11"/>
      <c r="CY1118" s="11"/>
      <c r="CZ1118" s="11"/>
      <c r="DA1118" s="11"/>
      <c r="DB1118" s="11"/>
      <c r="DC1118" s="11"/>
      <c r="DD1118" s="11"/>
      <c r="DE1118" s="11"/>
      <c r="DF1118" s="11"/>
      <c r="DG1118" s="11"/>
      <c r="DH1118" s="11"/>
      <c r="DI1118" s="11"/>
      <c r="DJ1118" s="11"/>
      <c r="DK1118" s="11"/>
      <c r="DL1118" s="11"/>
      <c r="DM1118" s="11"/>
      <c r="DN1118" s="11"/>
      <c r="DO1118" s="11"/>
      <c r="DP1118" s="11"/>
      <c r="DQ1118" s="11"/>
      <c r="DR1118" s="11"/>
      <c r="DS1118" s="11"/>
      <c r="DT1118" s="11"/>
      <c r="DU1118" s="11"/>
      <c r="DV1118" s="11"/>
      <c r="DW1118" s="11"/>
      <c r="DX1118" s="11"/>
      <c r="DY1118" s="11"/>
      <c r="DZ1118" s="11"/>
      <c r="EA1118" s="11"/>
      <c r="EB1118" s="11"/>
      <c r="EC1118" s="11"/>
      <c r="ED1118" s="11"/>
      <c r="EE1118" s="11"/>
      <c r="EF1118" s="11"/>
      <c r="EG1118" s="11"/>
      <c r="EH1118" s="11"/>
      <c r="EI1118" s="11"/>
    </row>
    <row r="1119" spans="1:139" s="52" customFormat="1">
      <c r="A1119" s="85"/>
      <c r="B1119" s="99"/>
      <c r="C1119" s="11"/>
      <c r="K1119" s="77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  <c r="AW1119" s="11"/>
      <c r="AX1119" s="11"/>
      <c r="AY1119" s="11"/>
      <c r="AZ1119" s="11"/>
      <c r="BA1119" s="11"/>
      <c r="BB1119" s="11"/>
      <c r="BC1119" s="11"/>
      <c r="BD1119" s="11"/>
      <c r="BE1119" s="11"/>
      <c r="BF1119" s="11"/>
      <c r="BG1119" s="11"/>
      <c r="BH1119" s="11"/>
      <c r="BI1119" s="11"/>
      <c r="BJ1119" s="11"/>
      <c r="BK1119" s="11"/>
      <c r="BL1119" s="11"/>
      <c r="BM1119" s="11"/>
      <c r="BN1119" s="11"/>
      <c r="BO1119" s="11"/>
      <c r="BP1119" s="11"/>
      <c r="BQ1119" s="11"/>
      <c r="BR1119" s="11"/>
      <c r="BS1119" s="11"/>
      <c r="BT1119" s="11"/>
      <c r="BU1119" s="11"/>
      <c r="BV1119" s="11"/>
      <c r="BW1119" s="11"/>
      <c r="BX1119" s="11"/>
      <c r="BY1119" s="11"/>
      <c r="BZ1119" s="11"/>
      <c r="CA1119" s="11"/>
      <c r="CB1119" s="11"/>
      <c r="CC1119" s="11"/>
      <c r="CD1119" s="11"/>
      <c r="CE1119" s="11"/>
      <c r="CF1119" s="11"/>
      <c r="CG1119" s="11"/>
      <c r="CH1119" s="11"/>
      <c r="CI1119" s="11"/>
      <c r="CJ1119" s="11"/>
      <c r="CK1119" s="11"/>
      <c r="CL1119" s="11"/>
      <c r="CM1119" s="11"/>
      <c r="CN1119" s="11"/>
      <c r="CO1119" s="11"/>
      <c r="CP1119" s="11"/>
      <c r="CQ1119" s="11"/>
      <c r="CR1119" s="11"/>
      <c r="CS1119" s="11"/>
      <c r="CT1119" s="11"/>
      <c r="CU1119" s="11"/>
      <c r="CV1119" s="11"/>
      <c r="CW1119" s="11"/>
      <c r="CX1119" s="11"/>
      <c r="CY1119" s="11"/>
      <c r="CZ1119" s="11"/>
      <c r="DA1119" s="11"/>
      <c r="DB1119" s="11"/>
      <c r="DC1119" s="11"/>
      <c r="DD1119" s="11"/>
      <c r="DE1119" s="11"/>
      <c r="DF1119" s="11"/>
      <c r="DG1119" s="11"/>
      <c r="DH1119" s="11"/>
      <c r="DI1119" s="11"/>
      <c r="DJ1119" s="11"/>
      <c r="DK1119" s="11"/>
      <c r="DL1119" s="11"/>
      <c r="DM1119" s="11"/>
      <c r="DN1119" s="11"/>
      <c r="DO1119" s="11"/>
      <c r="DP1119" s="11"/>
      <c r="DQ1119" s="11"/>
      <c r="DR1119" s="11"/>
      <c r="DS1119" s="11"/>
      <c r="DT1119" s="11"/>
      <c r="DU1119" s="11"/>
      <c r="DV1119" s="11"/>
      <c r="DW1119" s="11"/>
      <c r="DX1119" s="11"/>
      <c r="DY1119" s="11"/>
      <c r="DZ1119" s="11"/>
      <c r="EA1119" s="11"/>
      <c r="EB1119" s="11"/>
      <c r="EC1119" s="11"/>
      <c r="ED1119" s="11"/>
      <c r="EE1119" s="11"/>
      <c r="EF1119" s="11"/>
      <c r="EG1119" s="11"/>
      <c r="EH1119" s="11"/>
      <c r="EI1119" s="11"/>
    </row>
    <row r="1120" spans="1:139" s="52" customFormat="1">
      <c r="A1120" s="85"/>
      <c r="B1120" s="99"/>
      <c r="C1120" s="11"/>
      <c r="K1120" s="77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  <c r="AV1120" s="11"/>
      <c r="AW1120" s="11"/>
      <c r="AX1120" s="11"/>
      <c r="AY1120" s="11"/>
      <c r="AZ1120" s="11"/>
      <c r="BA1120" s="11"/>
      <c r="BB1120" s="11"/>
      <c r="BC1120" s="11"/>
      <c r="BD1120" s="11"/>
      <c r="BE1120" s="11"/>
      <c r="BF1120" s="11"/>
      <c r="BG1120" s="11"/>
      <c r="BH1120" s="11"/>
      <c r="BI1120" s="11"/>
      <c r="BJ1120" s="11"/>
      <c r="BK1120" s="11"/>
      <c r="BL1120" s="11"/>
      <c r="BM1120" s="11"/>
      <c r="BN1120" s="11"/>
      <c r="BO1120" s="11"/>
      <c r="BP1120" s="11"/>
      <c r="BQ1120" s="11"/>
      <c r="BR1120" s="11"/>
      <c r="BS1120" s="11"/>
      <c r="BT1120" s="11"/>
      <c r="BU1120" s="11"/>
      <c r="BV1120" s="11"/>
      <c r="BW1120" s="11"/>
      <c r="BX1120" s="11"/>
      <c r="BY1120" s="11"/>
      <c r="BZ1120" s="11"/>
      <c r="CA1120" s="11"/>
      <c r="CB1120" s="11"/>
      <c r="CC1120" s="11"/>
      <c r="CD1120" s="11"/>
      <c r="CE1120" s="11"/>
      <c r="CF1120" s="11"/>
      <c r="CG1120" s="11"/>
      <c r="CH1120" s="11"/>
      <c r="CI1120" s="11"/>
      <c r="CJ1120" s="11"/>
      <c r="CK1120" s="11"/>
      <c r="CL1120" s="11"/>
      <c r="CM1120" s="11"/>
      <c r="CN1120" s="11"/>
      <c r="CO1120" s="11"/>
      <c r="CP1120" s="11"/>
      <c r="CQ1120" s="11"/>
      <c r="CR1120" s="11"/>
      <c r="CS1120" s="11"/>
      <c r="CT1120" s="11"/>
      <c r="CU1120" s="11"/>
      <c r="CV1120" s="11"/>
      <c r="CW1120" s="11"/>
      <c r="CX1120" s="11"/>
      <c r="CY1120" s="11"/>
      <c r="CZ1120" s="11"/>
      <c r="DA1120" s="11"/>
      <c r="DB1120" s="11"/>
      <c r="DC1120" s="11"/>
      <c r="DD1120" s="11"/>
      <c r="DE1120" s="11"/>
      <c r="DF1120" s="11"/>
      <c r="DG1120" s="11"/>
      <c r="DH1120" s="11"/>
      <c r="DI1120" s="11"/>
      <c r="DJ1120" s="11"/>
      <c r="DK1120" s="11"/>
      <c r="DL1120" s="11"/>
      <c r="DM1120" s="11"/>
      <c r="DN1120" s="11"/>
      <c r="DO1120" s="11"/>
      <c r="DP1120" s="11"/>
      <c r="DQ1120" s="11"/>
      <c r="DR1120" s="11"/>
      <c r="DS1120" s="11"/>
      <c r="DT1120" s="11"/>
      <c r="DU1120" s="11"/>
      <c r="DV1120" s="11"/>
      <c r="DW1120" s="11"/>
      <c r="DX1120" s="11"/>
      <c r="DY1120" s="11"/>
      <c r="DZ1120" s="11"/>
      <c r="EA1120" s="11"/>
      <c r="EB1120" s="11"/>
      <c r="EC1120" s="11"/>
      <c r="ED1120" s="11"/>
      <c r="EE1120" s="11"/>
      <c r="EF1120" s="11"/>
      <c r="EG1120" s="11"/>
      <c r="EH1120" s="11"/>
      <c r="EI1120" s="11"/>
    </row>
    <row r="1121" spans="1:139" s="52" customFormat="1">
      <c r="A1121" s="85"/>
      <c r="B1121" s="99"/>
      <c r="C1121" s="11"/>
      <c r="K1121" s="77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  <c r="AV1121" s="11"/>
      <c r="AW1121" s="11"/>
      <c r="AX1121" s="11"/>
      <c r="AY1121" s="11"/>
      <c r="AZ1121" s="11"/>
      <c r="BA1121" s="11"/>
      <c r="BB1121" s="11"/>
      <c r="BC1121" s="11"/>
      <c r="BD1121" s="11"/>
      <c r="BE1121" s="11"/>
      <c r="BF1121" s="11"/>
      <c r="BG1121" s="11"/>
      <c r="BH1121" s="11"/>
      <c r="BI1121" s="11"/>
      <c r="BJ1121" s="11"/>
      <c r="BK1121" s="11"/>
      <c r="BL1121" s="11"/>
      <c r="BM1121" s="11"/>
      <c r="BN1121" s="11"/>
      <c r="BO1121" s="11"/>
      <c r="BP1121" s="11"/>
      <c r="BQ1121" s="11"/>
      <c r="BR1121" s="11"/>
      <c r="BS1121" s="11"/>
      <c r="BT1121" s="11"/>
      <c r="BU1121" s="11"/>
      <c r="BV1121" s="11"/>
      <c r="BW1121" s="11"/>
      <c r="BX1121" s="11"/>
      <c r="BY1121" s="11"/>
      <c r="BZ1121" s="11"/>
      <c r="CA1121" s="11"/>
      <c r="CB1121" s="11"/>
      <c r="CC1121" s="11"/>
      <c r="CD1121" s="11"/>
      <c r="CE1121" s="11"/>
      <c r="CF1121" s="11"/>
      <c r="CG1121" s="11"/>
      <c r="CH1121" s="11"/>
      <c r="CI1121" s="11"/>
      <c r="CJ1121" s="11"/>
      <c r="CK1121" s="11"/>
      <c r="CL1121" s="11"/>
      <c r="CM1121" s="11"/>
      <c r="CN1121" s="11"/>
      <c r="CO1121" s="11"/>
      <c r="CP1121" s="11"/>
      <c r="CQ1121" s="11"/>
      <c r="CR1121" s="11"/>
      <c r="CS1121" s="11"/>
      <c r="CT1121" s="11"/>
      <c r="CU1121" s="11"/>
      <c r="CV1121" s="11"/>
      <c r="CW1121" s="11"/>
      <c r="CX1121" s="11"/>
      <c r="CY1121" s="11"/>
      <c r="CZ1121" s="11"/>
      <c r="DA1121" s="11"/>
      <c r="DB1121" s="11"/>
      <c r="DC1121" s="11"/>
      <c r="DD1121" s="11"/>
      <c r="DE1121" s="11"/>
      <c r="DF1121" s="11"/>
      <c r="DG1121" s="11"/>
      <c r="DH1121" s="11"/>
      <c r="DI1121" s="11"/>
      <c r="DJ1121" s="11"/>
      <c r="DK1121" s="11"/>
      <c r="DL1121" s="11"/>
      <c r="DM1121" s="11"/>
      <c r="DN1121" s="11"/>
      <c r="DO1121" s="11"/>
      <c r="DP1121" s="11"/>
      <c r="DQ1121" s="11"/>
      <c r="DR1121" s="11"/>
      <c r="DS1121" s="11"/>
      <c r="DT1121" s="11"/>
      <c r="DU1121" s="11"/>
      <c r="DV1121" s="11"/>
      <c r="DW1121" s="11"/>
      <c r="DX1121" s="11"/>
      <c r="DY1121" s="11"/>
      <c r="DZ1121" s="11"/>
      <c r="EA1121" s="11"/>
      <c r="EB1121" s="11"/>
      <c r="EC1121" s="11"/>
      <c r="ED1121" s="11"/>
      <c r="EE1121" s="11"/>
      <c r="EF1121" s="11"/>
      <c r="EG1121" s="11"/>
      <c r="EH1121" s="11"/>
      <c r="EI1121" s="11"/>
    </row>
    <row r="1122" spans="1:139" s="52" customFormat="1">
      <c r="A1122" s="85"/>
      <c r="B1122" s="99"/>
      <c r="C1122" s="11"/>
      <c r="K1122" s="77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  <c r="AV1122" s="11"/>
      <c r="AW1122" s="11"/>
      <c r="AX1122" s="11"/>
      <c r="AY1122" s="11"/>
      <c r="AZ1122" s="11"/>
      <c r="BA1122" s="11"/>
      <c r="BB1122" s="11"/>
      <c r="BC1122" s="11"/>
      <c r="BD1122" s="11"/>
      <c r="BE1122" s="11"/>
      <c r="BF1122" s="11"/>
      <c r="BG1122" s="11"/>
      <c r="BH1122" s="11"/>
      <c r="BI1122" s="11"/>
      <c r="BJ1122" s="11"/>
      <c r="BK1122" s="11"/>
      <c r="BL1122" s="11"/>
      <c r="BM1122" s="11"/>
      <c r="BN1122" s="11"/>
      <c r="BO1122" s="11"/>
      <c r="BP1122" s="11"/>
      <c r="BQ1122" s="11"/>
      <c r="BR1122" s="11"/>
      <c r="BS1122" s="11"/>
      <c r="BT1122" s="11"/>
      <c r="BU1122" s="11"/>
      <c r="BV1122" s="11"/>
      <c r="BW1122" s="11"/>
      <c r="BX1122" s="11"/>
      <c r="BY1122" s="11"/>
      <c r="BZ1122" s="11"/>
      <c r="CA1122" s="11"/>
      <c r="CB1122" s="11"/>
      <c r="CC1122" s="11"/>
      <c r="CD1122" s="11"/>
      <c r="CE1122" s="11"/>
      <c r="CF1122" s="11"/>
      <c r="CG1122" s="11"/>
      <c r="CH1122" s="11"/>
      <c r="CI1122" s="11"/>
      <c r="CJ1122" s="11"/>
      <c r="CK1122" s="11"/>
      <c r="CL1122" s="11"/>
      <c r="CM1122" s="11"/>
      <c r="CN1122" s="11"/>
      <c r="CO1122" s="11"/>
      <c r="CP1122" s="11"/>
      <c r="CQ1122" s="11"/>
      <c r="CR1122" s="11"/>
      <c r="CS1122" s="11"/>
      <c r="CT1122" s="11"/>
      <c r="CU1122" s="11"/>
      <c r="CV1122" s="11"/>
      <c r="CW1122" s="11"/>
      <c r="CX1122" s="11"/>
      <c r="CY1122" s="11"/>
      <c r="CZ1122" s="11"/>
      <c r="DA1122" s="11"/>
      <c r="DB1122" s="11"/>
      <c r="DC1122" s="11"/>
      <c r="DD1122" s="11"/>
      <c r="DE1122" s="11"/>
      <c r="DF1122" s="11"/>
      <c r="DG1122" s="11"/>
      <c r="DH1122" s="11"/>
      <c r="DI1122" s="11"/>
      <c r="DJ1122" s="11"/>
      <c r="DK1122" s="11"/>
      <c r="DL1122" s="11"/>
      <c r="DM1122" s="11"/>
      <c r="DN1122" s="11"/>
      <c r="DO1122" s="11"/>
      <c r="DP1122" s="11"/>
      <c r="DQ1122" s="11"/>
      <c r="DR1122" s="11"/>
      <c r="DS1122" s="11"/>
      <c r="DT1122" s="11"/>
      <c r="DU1122" s="11"/>
      <c r="DV1122" s="11"/>
      <c r="DW1122" s="11"/>
      <c r="DX1122" s="11"/>
      <c r="DY1122" s="11"/>
      <c r="DZ1122" s="11"/>
      <c r="EA1122" s="11"/>
      <c r="EB1122" s="11"/>
      <c r="EC1122" s="11"/>
      <c r="ED1122" s="11"/>
      <c r="EE1122" s="11"/>
      <c r="EF1122" s="11"/>
      <c r="EG1122" s="11"/>
      <c r="EH1122" s="11"/>
      <c r="EI1122" s="11"/>
    </row>
    <row r="1123" spans="1:139" s="52" customFormat="1">
      <c r="A1123" s="85"/>
      <c r="B1123" s="99"/>
      <c r="C1123" s="11"/>
      <c r="K1123" s="77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  <c r="AV1123" s="11"/>
      <c r="AW1123" s="11"/>
      <c r="AX1123" s="11"/>
      <c r="AY1123" s="11"/>
      <c r="AZ1123" s="11"/>
      <c r="BA1123" s="11"/>
      <c r="BB1123" s="11"/>
      <c r="BC1123" s="11"/>
      <c r="BD1123" s="11"/>
      <c r="BE1123" s="11"/>
      <c r="BF1123" s="11"/>
      <c r="BG1123" s="11"/>
      <c r="BH1123" s="11"/>
      <c r="BI1123" s="11"/>
      <c r="BJ1123" s="11"/>
      <c r="BK1123" s="11"/>
      <c r="BL1123" s="11"/>
      <c r="BM1123" s="11"/>
      <c r="BN1123" s="11"/>
      <c r="BO1123" s="11"/>
      <c r="BP1123" s="11"/>
      <c r="BQ1123" s="11"/>
      <c r="BR1123" s="11"/>
      <c r="BS1123" s="11"/>
      <c r="BT1123" s="11"/>
      <c r="BU1123" s="11"/>
      <c r="BV1123" s="11"/>
      <c r="BW1123" s="11"/>
      <c r="BX1123" s="11"/>
      <c r="BY1123" s="11"/>
      <c r="BZ1123" s="11"/>
      <c r="CA1123" s="11"/>
      <c r="CB1123" s="11"/>
      <c r="CC1123" s="11"/>
      <c r="CD1123" s="11"/>
      <c r="CE1123" s="11"/>
      <c r="CF1123" s="11"/>
      <c r="CG1123" s="11"/>
      <c r="CH1123" s="11"/>
      <c r="CI1123" s="11"/>
      <c r="CJ1123" s="11"/>
      <c r="CK1123" s="11"/>
      <c r="CL1123" s="11"/>
      <c r="CM1123" s="11"/>
      <c r="CN1123" s="11"/>
      <c r="CO1123" s="11"/>
      <c r="CP1123" s="11"/>
      <c r="CQ1123" s="11"/>
      <c r="CR1123" s="11"/>
      <c r="CS1123" s="11"/>
      <c r="CT1123" s="11"/>
      <c r="CU1123" s="11"/>
      <c r="CV1123" s="11"/>
      <c r="CW1123" s="11"/>
      <c r="CX1123" s="11"/>
      <c r="CY1123" s="11"/>
      <c r="CZ1123" s="11"/>
      <c r="DA1123" s="11"/>
      <c r="DB1123" s="11"/>
      <c r="DC1123" s="11"/>
      <c r="DD1123" s="11"/>
      <c r="DE1123" s="11"/>
      <c r="DF1123" s="11"/>
      <c r="DG1123" s="11"/>
      <c r="DH1123" s="11"/>
      <c r="DI1123" s="11"/>
      <c r="DJ1123" s="11"/>
      <c r="DK1123" s="11"/>
      <c r="DL1123" s="11"/>
      <c r="DM1123" s="11"/>
      <c r="DN1123" s="11"/>
      <c r="DO1123" s="11"/>
      <c r="DP1123" s="11"/>
      <c r="DQ1123" s="11"/>
      <c r="DR1123" s="11"/>
      <c r="DS1123" s="11"/>
      <c r="DT1123" s="11"/>
      <c r="DU1123" s="11"/>
      <c r="DV1123" s="11"/>
      <c r="DW1123" s="11"/>
      <c r="DX1123" s="11"/>
      <c r="DY1123" s="11"/>
      <c r="DZ1123" s="11"/>
      <c r="EA1123" s="11"/>
      <c r="EB1123" s="11"/>
      <c r="EC1123" s="11"/>
      <c r="ED1123" s="11"/>
      <c r="EE1123" s="11"/>
      <c r="EF1123" s="11"/>
      <c r="EG1123" s="11"/>
      <c r="EH1123" s="11"/>
      <c r="EI1123" s="11"/>
    </row>
    <row r="1124" spans="1:139" s="52" customFormat="1">
      <c r="A1124" s="85"/>
      <c r="B1124" s="99"/>
      <c r="C1124" s="11"/>
      <c r="K1124" s="77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1"/>
      <c r="AY1124" s="11"/>
      <c r="AZ1124" s="11"/>
      <c r="BA1124" s="11"/>
      <c r="BB1124" s="11"/>
      <c r="BC1124" s="11"/>
      <c r="BD1124" s="11"/>
      <c r="BE1124" s="11"/>
      <c r="BF1124" s="11"/>
      <c r="BG1124" s="11"/>
      <c r="BH1124" s="11"/>
      <c r="BI1124" s="11"/>
      <c r="BJ1124" s="11"/>
      <c r="BK1124" s="11"/>
      <c r="BL1124" s="11"/>
      <c r="BM1124" s="11"/>
      <c r="BN1124" s="11"/>
      <c r="BO1124" s="11"/>
      <c r="BP1124" s="11"/>
      <c r="BQ1124" s="11"/>
      <c r="BR1124" s="11"/>
      <c r="BS1124" s="11"/>
      <c r="BT1124" s="11"/>
      <c r="BU1124" s="11"/>
      <c r="BV1124" s="11"/>
      <c r="BW1124" s="11"/>
      <c r="BX1124" s="11"/>
      <c r="BY1124" s="11"/>
      <c r="BZ1124" s="11"/>
      <c r="CA1124" s="11"/>
      <c r="CB1124" s="11"/>
      <c r="CC1124" s="11"/>
      <c r="CD1124" s="11"/>
      <c r="CE1124" s="11"/>
      <c r="CF1124" s="11"/>
      <c r="CG1124" s="11"/>
      <c r="CH1124" s="11"/>
      <c r="CI1124" s="11"/>
      <c r="CJ1124" s="11"/>
      <c r="CK1124" s="11"/>
      <c r="CL1124" s="11"/>
      <c r="CM1124" s="11"/>
      <c r="CN1124" s="11"/>
      <c r="CO1124" s="11"/>
      <c r="CP1124" s="11"/>
      <c r="CQ1124" s="11"/>
      <c r="CR1124" s="11"/>
      <c r="CS1124" s="11"/>
      <c r="CT1124" s="11"/>
      <c r="CU1124" s="11"/>
      <c r="CV1124" s="11"/>
      <c r="CW1124" s="11"/>
      <c r="CX1124" s="11"/>
      <c r="CY1124" s="11"/>
      <c r="CZ1124" s="11"/>
      <c r="DA1124" s="11"/>
      <c r="DB1124" s="11"/>
      <c r="DC1124" s="11"/>
      <c r="DD1124" s="11"/>
      <c r="DE1124" s="11"/>
      <c r="DF1124" s="11"/>
      <c r="DG1124" s="11"/>
      <c r="DH1124" s="11"/>
      <c r="DI1124" s="11"/>
      <c r="DJ1124" s="11"/>
      <c r="DK1124" s="11"/>
      <c r="DL1124" s="11"/>
      <c r="DM1124" s="11"/>
      <c r="DN1124" s="11"/>
      <c r="DO1124" s="11"/>
      <c r="DP1124" s="11"/>
      <c r="DQ1124" s="11"/>
      <c r="DR1124" s="11"/>
      <c r="DS1124" s="11"/>
      <c r="DT1124" s="11"/>
      <c r="DU1124" s="11"/>
      <c r="DV1124" s="11"/>
      <c r="DW1124" s="11"/>
      <c r="DX1124" s="11"/>
      <c r="DY1124" s="11"/>
      <c r="DZ1124" s="11"/>
      <c r="EA1124" s="11"/>
      <c r="EB1124" s="11"/>
      <c r="EC1124" s="11"/>
      <c r="ED1124" s="11"/>
      <c r="EE1124" s="11"/>
      <c r="EF1124" s="11"/>
      <c r="EG1124" s="11"/>
      <c r="EH1124" s="11"/>
      <c r="EI1124" s="11"/>
    </row>
    <row r="1125" spans="1:139" s="52" customFormat="1">
      <c r="A1125" s="85"/>
      <c r="B1125" s="99"/>
      <c r="C1125" s="11"/>
      <c r="K1125" s="77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11"/>
      <c r="AW1125" s="11"/>
      <c r="AX1125" s="11"/>
      <c r="AY1125" s="11"/>
      <c r="AZ1125" s="11"/>
      <c r="BA1125" s="11"/>
      <c r="BB1125" s="11"/>
      <c r="BC1125" s="11"/>
      <c r="BD1125" s="11"/>
      <c r="BE1125" s="11"/>
      <c r="BF1125" s="11"/>
      <c r="BG1125" s="11"/>
      <c r="BH1125" s="11"/>
      <c r="BI1125" s="11"/>
      <c r="BJ1125" s="11"/>
      <c r="BK1125" s="11"/>
      <c r="BL1125" s="11"/>
      <c r="BM1125" s="11"/>
      <c r="BN1125" s="11"/>
      <c r="BO1125" s="11"/>
      <c r="BP1125" s="11"/>
      <c r="BQ1125" s="11"/>
      <c r="BR1125" s="11"/>
      <c r="BS1125" s="11"/>
      <c r="BT1125" s="11"/>
      <c r="BU1125" s="11"/>
      <c r="BV1125" s="11"/>
      <c r="BW1125" s="11"/>
      <c r="BX1125" s="11"/>
      <c r="BY1125" s="11"/>
      <c r="BZ1125" s="11"/>
      <c r="CA1125" s="11"/>
      <c r="CB1125" s="11"/>
      <c r="CC1125" s="11"/>
      <c r="CD1125" s="11"/>
      <c r="CE1125" s="11"/>
      <c r="CF1125" s="11"/>
      <c r="CG1125" s="11"/>
      <c r="CH1125" s="11"/>
      <c r="CI1125" s="11"/>
      <c r="CJ1125" s="11"/>
      <c r="CK1125" s="11"/>
      <c r="CL1125" s="11"/>
      <c r="CM1125" s="11"/>
      <c r="CN1125" s="11"/>
      <c r="CO1125" s="11"/>
      <c r="CP1125" s="11"/>
      <c r="CQ1125" s="11"/>
      <c r="CR1125" s="11"/>
      <c r="CS1125" s="11"/>
      <c r="CT1125" s="11"/>
      <c r="CU1125" s="11"/>
      <c r="CV1125" s="11"/>
      <c r="CW1125" s="11"/>
      <c r="CX1125" s="11"/>
      <c r="CY1125" s="11"/>
      <c r="CZ1125" s="11"/>
      <c r="DA1125" s="11"/>
      <c r="DB1125" s="11"/>
      <c r="DC1125" s="11"/>
      <c r="DD1125" s="11"/>
      <c r="DE1125" s="11"/>
      <c r="DF1125" s="11"/>
      <c r="DG1125" s="11"/>
      <c r="DH1125" s="11"/>
      <c r="DI1125" s="11"/>
      <c r="DJ1125" s="11"/>
      <c r="DK1125" s="11"/>
      <c r="DL1125" s="11"/>
      <c r="DM1125" s="11"/>
      <c r="DN1125" s="11"/>
      <c r="DO1125" s="11"/>
      <c r="DP1125" s="11"/>
      <c r="DQ1125" s="11"/>
      <c r="DR1125" s="11"/>
      <c r="DS1125" s="11"/>
      <c r="DT1125" s="11"/>
      <c r="DU1125" s="11"/>
      <c r="DV1125" s="11"/>
      <c r="DW1125" s="11"/>
      <c r="DX1125" s="11"/>
      <c r="DY1125" s="11"/>
      <c r="DZ1125" s="11"/>
      <c r="EA1125" s="11"/>
      <c r="EB1125" s="11"/>
      <c r="EC1125" s="11"/>
      <c r="ED1125" s="11"/>
      <c r="EE1125" s="11"/>
      <c r="EF1125" s="11"/>
      <c r="EG1125" s="11"/>
      <c r="EH1125" s="11"/>
      <c r="EI1125" s="11"/>
    </row>
    <row r="1126" spans="1:139" s="52" customFormat="1">
      <c r="A1126" s="85"/>
      <c r="B1126" s="99"/>
      <c r="C1126" s="11"/>
      <c r="K1126" s="77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  <c r="AV1126" s="11"/>
      <c r="AW1126" s="11"/>
      <c r="AX1126" s="11"/>
      <c r="AY1126" s="11"/>
      <c r="AZ1126" s="11"/>
      <c r="BA1126" s="11"/>
      <c r="BB1126" s="11"/>
      <c r="BC1126" s="11"/>
      <c r="BD1126" s="11"/>
      <c r="BE1126" s="11"/>
      <c r="BF1126" s="11"/>
      <c r="BG1126" s="11"/>
      <c r="BH1126" s="11"/>
      <c r="BI1126" s="11"/>
      <c r="BJ1126" s="11"/>
      <c r="BK1126" s="11"/>
      <c r="BL1126" s="11"/>
      <c r="BM1126" s="11"/>
      <c r="BN1126" s="11"/>
      <c r="BO1126" s="11"/>
      <c r="BP1126" s="11"/>
      <c r="BQ1126" s="11"/>
      <c r="BR1126" s="11"/>
      <c r="BS1126" s="11"/>
      <c r="BT1126" s="11"/>
      <c r="BU1126" s="11"/>
      <c r="BV1126" s="11"/>
      <c r="BW1126" s="11"/>
      <c r="BX1126" s="11"/>
      <c r="BY1126" s="11"/>
      <c r="BZ1126" s="11"/>
      <c r="CA1126" s="11"/>
      <c r="CB1126" s="11"/>
      <c r="CC1126" s="11"/>
      <c r="CD1126" s="11"/>
      <c r="CE1126" s="11"/>
      <c r="CF1126" s="11"/>
      <c r="CG1126" s="11"/>
      <c r="CH1126" s="11"/>
      <c r="CI1126" s="11"/>
      <c r="CJ1126" s="11"/>
      <c r="CK1126" s="11"/>
      <c r="CL1126" s="11"/>
      <c r="CM1126" s="11"/>
      <c r="CN1126" s="11"/>
      <c r="CO1126" s="11"/>
      <c r="CP1126" s="11"/>
      <c r="CQ1126" s="11"/>
      <c r="CR1126" s="11"/>
      <c r="CS1126" s="11"/>
      <c r="CT1126" s="11"/>
      <c r="CU1126" s="11"/>
      <c r="CV1126" s="11"/>
      <c r="CW1126" s="11"/>
      <c r="CX1126" s="11"/>
      <c r="CY1126" s="11"/>
      <c r="CZ1126" s="11"/>
      <c r="DA1126" s="11"/>
      <c r="DB1126" s="11"/>
      <c r="DC1126" s="11"/>
      <c r="DD1126" s="11"/>
      <c r="DE1126" s="11"/>
      <c r="DF1126" s="11"/>
      <c r="DG1126" s="11"/>
      <c r="DH1126" s="11"/>
      <c r="DI1126" s="11"/>
      <c r="DJ1126" s="11"/>
      <c r="DK1126" s="11"/>
      <c r="DL1126" s="11"/>
      <c r="DM1126" s="11"/>
      <c r="DN1126" s="11"/>
      <c r="DO1126" s="11"/>
      <c r="DP1126" s="11"/>
      <c r="DQ1126" s="11"/>
      <c r="DR1126" s="11"/>
      <c r="DS1126" s="11"/>
      <c r="DT1126" s="11"/>
      <c r="DU1126" s="11"/>
      <c r="DV1126" s="11"/>
      <c r="DW1126" s="11"/>
      <c r="DX1126" s="11"/>
      <c r="DY1126" s="11"/>
      <c r="DZ1126" s="11"/>
      <c r="EA1126" s="11"/>
      <c r="EB1126" s="11"/>
      <c r="EC1126" s="11"/>
      <c r="ED1126" s="11"/>
      <c r="EE1126" s="11"/>
      <c r="EF1126" s="11"/>
      <c r="EG1126" s="11"/>
      <c r="EH1126" s="11"/>
      <c r="EI1126" s="11"/>
    </row>
    <row r="1127" spans="1:139" s="52" customFormat="1">
      <c r="A1127" s="85"/>
      <c r="B1127" s="99"/>
      <c r="C1127" s="11"/>
      <c r="K1127" s="77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  <c r="AZ1127" s="11"/>
      <c r="BA1127" s="11"/>
      <c r="BB1127" s="11"/>
      <c r="BC1127" s="11"/>
      <c r="BD1127" s="11"/>
      <c r="BE1127" s="11"/>
      <c r="BF1127" s="11"/>
      <c r="BG1127" s="11"/>
      <c r="BH1127" s="11"/>
      <c r="BI1127" s="11"/>
      <c r="BJ1127" s="11"/>
      <c r="BK1127" s="11"/>
      <c r="BL1127" s="11"/>
      <c r="BM1127" s="11"/>
      <c r="BN1127" s="11"/>
      <c r="BO1127" s="11"/>
      <c r="BP1127" s="11"/>
      <c r="BQ1127" s="11"/>
      <c r="BR1127" s="11"/>
      <c r="BS1127" s="11"/>
      <c r="BT1127" s="11"/>
      <c r="BU1127" s="11"/>
      <c r="BV1127" s="11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</row>
    <row r="1128" spans="1:139" s="52" customFormat="1">
      <c r="A1128" s="85"/>
      <c r="B1128" s="99"/>
      <c r="C1128" s="11"/>
      <c r="K1128" s="77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  <c r="AV1128" s="11"/>
      <c r="AW1128" s="11"/>
      <c r="AX1128" s="11"/>
      <c r="AY1128" s="11"/>
      <c r="AZ1128" s="11"/>
      <c r="BA1128" s="11"/>
      <c r="BB1128" s="11"/>
      <c r="BC1128" s="11"/>
      <c r="BD1128" s="11"/>
      <c r="BE1128" s="11"/>
      <c r="BF1128" s="11"/>
      <c r="BG1128" s="11"/>
      <c r="BH1128" s="11"/>
      <c r="BI1128" s="11"/>
      <c r="BJ1128" s="11"/>
      <c r="BK1128" s="11"/>
      <c r="BL1128" s="11"/>
      <c r="BM1128" s="11"/>
      <c r="BN1128" s="11"/>
      <c r="BO1128" s="11"/>
      <c r="BP1128" s="11"/>
      <c r="BQ1128" s="11"/>
      <c r="BR1128" s="11"/>
      <c r="BS1128" s="11"/>
      <c r="BT1128" s="11"/>
      <c r="BU1128" s="11"/>
      <c r="BV1128" s="11"/>
      <c r="BW1128" s="11"/>
      <c r="BX1128" s="11"/>
      <c r="BY1128" s="11"/>
      <c r="BZ1128" s="11"/>
      <c r="CA1128" s="11"/>
      <c r="CB1128" s="11"/>
      <c r="CC1128" s="11"/>
      <c r="CD1128" s="11"/>
      <c r="CE1128" s="11"/>
      <c r="CF1128" s="11"/>
      <c r="CG1128" s="11"/>
      <c r="CH1128" s="11"/>
      <c r="CI1128" s="11"/>
      <c r="CJ1128" s="11"/>
      <c r="CK1128" s="11"/>
      <c r="CL1128" s="11"/>
      <c r="CM1128" s="11"/>
      <c r="CN1128" s="11"/>
      <c r="CO1128" s="11"/>
      <c r="CP1128" s="11"/>
      <c r="CQ1128" s="11"/>
      <c r="CR1128" s="11"/>
      <c r="CS1128" s="11"/>
      <c r="CT1128" s="11"/>
      <c r="CU1128" s="11"/>
      <c r="CV1128" s="11"/>
      <c r="CW1128" s="11"/>
      <c r="CX1128" s="11"/>
      <c r="CY1128" s="11"/>
      <c r="CZ1128" s="11"/>
      <c r="DA1128" s="11"/>
      <c r="DB1128" s="11"/>
      <c r="DC1128" s="11"/>
      <c r="DD1128" s="11"/>
      <c r="DE1128" s="11"/>
      <c r="DF1128" s="11"/>
      <c r="DG1128" s="11"/>
      <c r="DH1128" s="11"/>
      <c r="DI1128" s="11"/>
      <c r="DJ1128" s="11"/>
      <c r="DK1128" s="11"/>
      <c r="DL1128" s="11"/>
      <c r="DM1128" s="11"/>
      <c r="DN1128" s="11"/>
      <c r="DO1128" s="11"/>
      <c r="DP1128" s="11"/>
      <c r="DQ1128" s="11"/>
      <c r="DR1128" s="11"/>
      <c r="DS1128" s="11"/>
      <c r="DT1128" s="11"/>
      <c r="DU1128" s="11"/>
      <c r="DV1128" s="11"/>
      <c r="DW1128" s="11"/>
      <c r="DX1128" s="11"/>
      <c r="DY1128" s="11"/>
      <c r="DZ1128" s="11"/>
      <c r="EA1128" s="11"/>
      <c r="EB1128" s="11"/>
      <c r="EC1128" s="11"/>
      <c r="ED1128" s="11"/>
      <c r="EE1128" s="11"/>
      <c r="EF1128" s="11"/>
      <c r="EG1128" s="11"/>
      <c r="EH1128" s="11"/>
      <c r="EI1128" s="11"/>
    </row>
    <row r="1129" spans="1:139" s="52" customFormat="1">
      <c r="A1129" s="85"/>
      <c r="B1129" s="99"/>
      <c r="C1129" s="11"/>
      <c r="K1129" s="77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  <c r="AV1129" s="11"/>
      <c r="AW1129" s="11"/>
      <c r="AX1129" s="11"/>
      <c r="AY1129" s="11"/>
      <c r="AZ1129" s="11"/>
      <c r="BA1129" s="11"/>
      <c r="BB1129" s="11"/>
      <c r="BC1129" s="11"/>
      <c r="BD1129" s="11"/>
      <c r="BE1129" s="11"/>
      <c r="BF1129" s="11"/>
      <c r="BG1129" s="11"/>
      <c r="BH1129" s="11"/>
      <c r="BI1129" s="11"/>
      <c r="BJ1129" s="11"/>
      <c r="BK1129" s="11"/>
      <c r="BL1129" s="11"/>
      <c r="BM1129" s="11"/>
      <c r="BN1129" s="11"/>
      <c r="BO1129" s="11"/>
      <c r="BP1129" s="11"/>
      <c r="BQ1129" s="11"/>
      <c r="BR1129" s="11"/>
      <c r="BS1129" s="11"/>
      <c r="BT1129" s="11"/>
      <c r="BU1129" s="11"/>
      <c r="BV1129" s="11"/>
      <c r="BW1129" s="11"/>
      <c r="BX1129" s="11"/>
      <c r="BY1129" s="11"/>
      <c r="BZ1129" s="11"/>
      <c r="CA1129" s="11"/>
      <c r="CB1129" s="11"/>
      <c r="CC1129" s="11"/>
      <c r="CD1129" s="11"/>
      <c r="CE1129" s="11"/>
      <c r="CF1129" s="11"/>
      <c r="CG1129" s="11"/>
      <c r="CH1129" s="11"/>
      <c r="CI1129" s="11"/>
      <c r="CJ1129" s="11"/>
      <c r="CK1129" s="11"/>
      <c r="CL1129" s="11"/>
      <c r="CM1129" s="11"/>
      <c r="CN1129" s="11"/>
      <c r="CO1129" s="11"/>
      <c r="CP1129" s="11"/>
      <c r="CQ1129" s="11"/>
      <c r="CR1129" s="11"/>
      <c r="CS1129" s="11"/>
      <c r="CT1129" s="11"/>
      <c r="CU1129" s="11"/>
      <c r="CV1129" s="11"/>
      <c r="CW1129" s="11"/>
      <c r="CX1129" s="11"/>
      <c r="CY1129" s="11"/>
      <c r="CZ1129" s="11"/>
      <c r="DA1129" s="11"/>
      <c r="DB1129" s="11"/>
      <c r="DC1129" s="11"/>
      <c r="DD1129" s="11"/>
      <c r="DE1129" s="11"/>
      <c r="DF1129" s="11"/>
      <c r="DG1129" s="11"/>
      <c r="DH1129" s="11"/>
      <c r="DI1129" s="11"/>
      <c r="DJ1129" s="11"/>
      <c r="DK1129" s="11"/>
      <c r="DL1129" s="11"/>
      <c r="DM1129" s="11"/>
      <c r="DN1129" s="11"/>
      <c r="DO1129" s="11"/>
      <c r="DP1129" s="11"/>
      <c r="DQ1129" s="11"/>
      <c r="DR1129" s="11"/>
      <c r="DS1129" s="11"/>
      <c r="DT1129" s="11"/>
      <c r="DU1129" s="11"/>
      <c r="DV1129" s="11"/>
      <c r="DW1129" s="11"/>
      <c r="DX1129" s="11"/>
      <c r="DY1129" s="11"/>
      <c r="DZ1129" s="11"/>
      <c r="EA1129" s="11"/>
      <c r="EB1129" s="11"/>
      <c r="EC1129" s="11"/>
      <c r="ED1129" s="11"/>
      <c r="EE1129" s="11"/>
      <c r="EF1129" s="11"/>
      <c r="EG1129" s="11"/>
      <c r="EH1129" s="11"/>
      <c r="EI1129" s="11"/>
    </row>
    <row r="1130" spans="1:139" s="52" customFormat="1">
      <c r="A1130" s="85"/>
      <c r="B1130" s="99"/>
      <c r="C1130" s="11"/>
      <c r="K1130" s="77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11"/>
      <c r="AW1130" s="11"/>
      <c r="AX1130" s="11"/>
      <c r="AY1130" s="11"/>
      <c r="AZ1130" s="11"/>
      <c r="BA1130" s="11"/>
      <c r="BB1130" s="11"/>
      <c r="BC1130" s="11"/>
      <c r="BD1130" s="11"/>
      <c r="BE1130" s="11"/>
      <c r="BF1130" s="11"/>
      <c r="BG1130" s="11"/>
      <c r="BH1130" s="11"/>
      <c r="BI1130" s="11"/>
      <c r="BJ1130" s="11"/>
      <c r="BK1130" s="11"/>
      <c r="BL1130" s="11"/>
      <c r="BM1130" s="11"/>
      <c r="BN1130" s="11"/>
      <c r="BO1130" s="11"/>
      <c r="BP1130" s="11"/>
      <c r="BQ1130" s="11"/>
      <c r="BR1130" s="11"/>
      <c r="BS1130" s="11"/>
      <c r="BT1130" s="11"/>
      <c r="BU1130" s="11"/>
      <c r="BV1130" s="11"/>
      <c r="BW1130" s="11"/>
      <c r="BX1130" s="11"/>
      <c r="BY1130" s="11"/>
      <c r="BZ1130" s="11"/>
      <c r="CA1130" s="11"/>
      <c r="CB1130" s="11"/>
      <c r="CC1130" s="11"/>
      <c r="CD1130" s="11"/>
      <c r="CE1130" s="11"/>
      <c r="CF1130" s="11"/>
      <c r="CG1130" s="11"/>
      <c r="CH1130" s="11"/>
      <c r="CI1130" s="11"/>
      <c r="CJ1130" s="11"/>
      <c r="CK1130" s="11"/>
      <c r="CL1130" s="11"/>
      <c r="CM1130" s="11"/>
      <c r="CN1130" s="11"/>
      <c r="CO1130" s="11"/>
      <c r="CP1130" s="11"/>
      <c r="CQ1130" s="11"/>
      <c r="CR1130" s="11"/>
      <c r="CS1130" s="11"/>
      <c r="CT1130" s="11"/>
      <c r="CU1130" s="11"/>
      <c r="CV1130" s="11"/>
      <c r="CW1130" s="11"/>
      <c r="CX1130" s="11"/>
      <c r="CY1130" s="11"/>
      <c r="CZ1130" s="11"/>
      <c r="DA1130" s="11"/>
      <c r="DB1130" s="11"/>
      <c r="DC1130" s="11"/>
      <c r="DD1130" s="11"/>
      <c r="DE1130" s="11"/>
      <c r="DF1130" s="11"/>
      <c r="DG1130" s="11"/>
      <c r="DH1130" s="11"/>
      <c r="DI1130" s="11"/>
      <c r="DJ1130" s="11"/>
      <c r="DK1130" s="11"/>
      <c r="DL1130" s="11"/>
      <c r="DM1130" s="11"/>
      <c r="DN1130" s="11"/>
      <c r="DO1130" s="11"/>
      <c r="DP1130" s="11"/>
      <c r="DQ1130" s="11"/>
      <c r="DR1130" s="11"/>
      <c r="DS1130" s="11"/>
      <c r="DT1130" s="11"/>
      <c r="DU1130" s="11"/>
      <c r="DV1130" s="11"/>
      <c r="DW1130" s="11"/>
      <c r="DX1130" s="11"/>
      <c r="DY1130" s="11"/>
      <c r="DZ1130" s="11"/>
      <c r="EA1130" s="11"/>
      <c r="EB1130" s="11"/>
      <c r="EC1130" s="11"/>
      <c r="ED1130" s="11"/>
      <c r="EE1130" s="11"/>
      <c r="EF1130" s="11"/>
      <c r="EG1130" s="11"/>
      <c r="EH1130" s="11"/>
      <c r="EI1130" s="11"/>
    </row>
    <row r="1131" spans="1:139" s="52" customFormat="1">
      <c r="A1131" s="85"/>
      <c r="B1131" s="99"/>
      <c r="C1131" s="11"/>
      <c r="K1131" s="77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  <c r="AW1131" s="11"/>
      <c r="AX1131" s="11"/>
      <c r="AY1131" s="11"/>
      <c r="AZ1131" s="11"/>
      <c r="BA1131" s="11"/>
      <c r="BB1131" s="11"/>
      <c r="BC1131" s="11"/>
      <c r="BD1131" s="11"/>
      <c r="BE1131" s="11"/>
      <c r="BF1131" s="11"/>
      <c r="BG1131" s="11"/>
      <c r="BH1131" s="11"/>
      <c r="BI1131" s="11"/>
      <c r="BJ1131" s="11"/>
      <c r="BK1131" s="11"/>
      <c r="BL1131" s="11"/>
      <c r="BM1131" s="11"/>
      <c r="BN1131" s="11"/>
      <c r="BO1131" s="11"/>
      <c r="BP1131" s="11"/>
      <c r="BQ1131" s="11"/>
      <c r="BR1131" s="11"/>
      <c r="BS1131" s="11"/>
      <c r="BT1131" s="11"/>
      <c r="BU1131" s="11"/>
      <c r="BV1131" s="11"/>
      <c r="BW1131" s="11"/>
      <c r="BX1131" s="11"/>
      <c r="BY1131" s="11"/>
      <c r="BZ1131" s="11"/>
      <c r="CA1131" s="11"/>
      <c r="CB1131" s="11"/>
      <c r="CC1131" s="11"/>
      <c r="CD1131" s="11"/>
      <c r="CE1131" s="11"/>
      <c r="CF1131" s="11"/>
      <c r="CG1131" s="11"/>
      <c r="CH1131" s="11"/>
      <c r="CI1131" s="11"/>
      <c r="CJ1131" s="11"/>
      <c r="CK1131" s="11"/>
      <c r="CL1131" s="11"/>
      <c r="CM1131" s="11"/>
      <c r="CN1131" s="11"/>
      <c r="CO1131" s="11"/>
      <c r="CP1131" s="11"/>
      <c r="CQ1131" s="11"/>
      <c r="CR1131" s="11"/>
      <c r="CS1131" s="11"/>
      <c r="CT1131" s="11"/>
      <c r="CU1131" s="11"/>
      <c r="CV1131" s="11"/>
      <c r="CW1131" s="11"/>
      <c r="CX1131" s="11"/>
      <c r="CY1131" s="11"/>
      <c r="CZ1131" s="11"/>
      <c r="DA1131" s="11"/>
      <c r="DB1131" s="11"/>
      <c r="DC1131" s="11"/>
      <c r="DD1131" s="11"/>
      <c r="DE1131" s="11"/>
      <c r="DF1131" s="11"/>
      <c r="DG1131" s="11"/>
      <c r="DH1131" s="11"/>
      <c r="DI1131" s="11"/>
      <c r="DJ1131" s="11"/>
      <c r="DK1131" s="11"/>
      <c r="DL1131" s="11"/>
      <c r="DM1131" s="11"/>
      <c r="DN1131" s="11"/>
      <c r="DO1131" s="11"/>
      <c r="DP1131" s="11"/>
      <c r="DQ1131" s="11"/>
      <c r="DR1131" s="11"/>
      <c r="DS1131" s="11"/>
      <c r="DT1131" s="11"/>
      <c r="DU1131" s="11"/>
      <c r="DV1131" s="11"/>
      <c r="DW1131" s="11"/>
      <c r="DX1131" s="11"/>
      <c r="DY1131" s="11"/>
      <c r="DZ1131" s="11"/>
      <c r="EA1131" s="11"/>
      <c r="EB1131" s="11"/>
      <c r="EC1131" s="11"/>
      <c r="ED1131" s="11"/>
      <c r="EE1131" s="11"/>
      <c r="EF1131" s="11"/>
      <c r="EG1131" s="11"/>
      <c r="EH1131" s="11"/>
      <c r="EI1131" s="11"/>
    </row>
    <row r="1132" spans="1:139" s="52" customFormat="1">
      <c r="A1132" s="85"/>
      <c r="B1132" s="99"/>
      <c r="C1132" s="11"/>
      <c r="K1132" s="77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  <c r="AT1132" s="11"/>
      <c r="AU1132" s="11"/>
      <c r="AV1132" s="11"/>
      <c r="AW1132" s="11"/>
      <c r="AX1132" s="11"/>
      <c r="AY1132" s="11"/>
      <c r="AZ1132" s="11"/>
      <c r="BA1132" s="11"/>
      <c r="BB1132" s="11"/>
      <c r="BC1132" s="11"/>
      <c r="BD1132" s="11"/>
      <c r="BE1132" s="11"/>
      <c r="BF1132" s="11"/>
      <c r="BG1132" s="11"/>
      <c r="BH1132" s="11"/>
      <c r="BI1132" s="11"/>
      <c r="BJ1132" s="11"/>
      <c r="BK1132" s="11"/>
      <c r="BL1132" s="11"/>
      <c r="BM1132" s="11"/>
      <c r="BN1132" s="11"/>
      <c r="BO1132" s="11"/>
      <c r="BP1132" s="11"/>
      <c r="BQ1132" s="11"/>
      <c r="BR1132" s="11"/>
      <c r="BS1132" s="11"/>
      <c r="BT1132" s="11"/>
      <c r="BU1132" s="11"/>
      <c r="BV1132" s="11"/>
      <c r="BW1132" s="11"/>
      <c r="BX1132" s="11"/>
      <c r="BY1132" s="11"/>
      <c r="BZ1132" s="11"/>
      <c r="CA1132" s="11"/>
      <c r="CB1132" s="11"/>
      <c r="CC1132" s="11"/>
      <c r="CD1132" s="11"/>
      <c r="CE1132" s="11"/>
      <c r="CF1132" s="11"/>
      <c r="CG1132" s="11"/>
      <c r="CH1132" s="11"/>
      <c r="CI1132" s="11"/>
      <c r="CJ1132" s="11"/>
      <c r="CK1132" s="11"/>
      <c r="CL1132" s="11"/>
      <c r="CM1132" s="11"/>
      <c r="CN1132" s="11"/>
      <c r="CO1132" s="11"/>
      <c r="CP1132" s="11"/>
      <c r="CQ1132" s="11"/>
      <c r="CR1132" s="11"/>
      <c r="CS1132" s="11"/>
      <c r="CT1132" s="11"/>
      <c r="CU1132" s="11"/>
      <c r="CV1132" s="11"/>
      <c r="CW1132" s="11"/>
      <c r="CX1132" s="11"/>
      <c r="CY1132" s="11"/>
      <c r="CZ1132" s="11"/>
      <c r="DA1132" s="11"/>
      <c r="DB1132" s="11"/>
      <c r="DC1132" s="11"/>
      <c r="DD1132" s="11"/>
      <c r="DE1132" s="11"/>
      <c r="DF1132" s="11"/>
      <c r="DG1132" s="11"/>
      <c r="DH1132" s="11"/>
      <c r="DI1132" s="11"/>
      <c r="DJ1132" s="11"/>
      <c r="DK1132" s="11"/>
      <c r="DL1132" s="11"/>
      <c r="DM1132" s="11"/>
      <c r="DN1132" s="11"/>
      <c r="DO1132" s="11"/>
      <c r="DP1132" s="11"/>
      <c r="DQ1132" s="11"/>
      <c r="DR1132" s="11"/>
      <c r="DS1132" s="11"/>
      <c r="DT1132" s="11"/>
      <c r="DU1132" s="11"/>
      <c r="DV1132" s="11"/>
      <c r="DW1132" s="11"/>
      <c r="DX1132" s="11"/>
      <c r="DY1132" s="11"/>
      <c r="DZ1132" s="11"/>
      <c r="EA1132" s="11"/>
      <c r="EB1132" s="11"/>
      <c r="EC1132" s="11"/>
      <c r="ED1132" s="11"/>
      <c r="EE1132" s="11"/>
      <c r="EF1132" s="11"/>
      <c r="EG1132" s="11"/>
      <c r="EH1132" s="11"/>
      <c r="EI1132" s="11"/>
    </row>
    <row r="1133" spans="1:139" s="52" customFormat="1">
      <c r="A1133" s="85"/>
      <c r="B1133" s="99"/>
      <c r="C1133" s="11"/>
      <c r="K1133" s="77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  <c r="AW1133" s="11"/>
      <c r="AX1133" s="11"/>
      <c r="AY1133" s="11"/>
      <c r="AZ1133" s="11"/>
      <c r="BA1133" s="11"/>
      <c r="BB1133" s="11"/>
      <c r="BC1133" s="11"/>
      <c r="BD1133" s="11"/>
      <c r="BE1133" s="11"/>
      <c r="BF1133" s="11"/>
      <c r="BG1133" s="11"/>
      <c r="BH1133" s="11"/>
      <c r="BI1133" s="11"/>
      <c r="BJ1133" s="11"/>
      <c r="BK1133" s="11"/>
      <c r="BL1133" s="11"/>
      <c r="BM1133" s="11"/>
      <c r="BN1133" s="11"/>
      <c r="BO1133" s="11"/>
      <c r="BP1133" s="11"/>
      <c r="BQ1133" s="11"/>
      <c r="BR1133" s="11"/>
      <c r="BS1133" s="11"/>
      <c r="BT1133" s="11"/>
      <c r="BU1133" s="11"/>
      <c r="BV1133" s="11"/>
      <c r="BW1133" s="11"/>
      <c r="BX1133" s="11"/>
      <c r="BY1133" s="11"/>
      <c r="BZ1133" s="11"/>
      <c r="CA1133" s="11"/>
      <c r="CB1133" s="11"/>
      <c r="CC1133" s="11"/>
      <c r="CD1133" s="11"/>
      <c r="CE1133" s="11"/>
      <c r="CF1133" s="11"/>
      <c r="CG1133" s="11"/>
      <c r="CH1133" s="11"/>
      <c r="CI1133" s="11"/>
      <c r="CJ1133" s="11"/>
      <c r="CK1133" s="11"/>
      <c r="CL1133" s="11"/>
      <c r="CM1133" s="11"/>
      <c r="CN1133" s="11"/>
      <c r="CO1133" s="11"/>
      <c r="CP1133" s="11"/>
      <c r="CQ1133" s="11"/>
      <c r="CR1133" s="11"/>
      <c r="CS1133" s="11"/>
      <c r="CT1133" s="11"/>
      <c r="CU1133" s="11"/>
      <c r="CV1133" s="11"/>
      <c r="CW1133" s="11"/>
      <c r="CX1133" s="11"/>
      <c r="CY1133" s="11"/>
      <c r="CZ1133" s="11"/>
      <c r="DA1133" s="11"/>
      <c r="DB1133" s="11"/>
      <c r="DC1133" s="11"/>
      <c r="DD1133" s="11"/>
      <c r="DE1133" s="11"/>
      <c r="DF1133" s="11"/>
      <c r="DG1133" s="11"/>
      <c r="DH1133" s="11"/>
      <c r="DI1133" s="11"/>
      <c r="DJ1133" s="11"/>
      <c r="DK1133" s="11"/>
      <c r="DL1133" s="11"/>
      <c r="DM1133" s="11"/>
      <c r="DN1133" s="11"/>
      <c r="DO1133" s="11"/>
      <c r="DP1133" s="11"/>
      <c r="DQ1133" s="11"/>
      <c r="DR1133" s="11"/>
      <c r="DS1133" s="11"/>
      <c r="DT1133" s="11"/>
      <c r="DU1133" s="11"/>
      <c r="DV1133" s="11"/>
      <c r="DW1133" s="11"/>
      <c r="DX1133" s="11"/>
      <c r="DY1133" s="11"/>
      <c r="DZ1133" s="11"/>
      <c r="EA1133" s="11"/>
      <c r="EB1133" s="11"/>
      <c r="EC1133" s="11"/>
      <c r="ED1133" s="11"/>
      <c r="EE1133" s="11"/>
      <c r="EF1133" s="11"/>
      <c r="EG1133" s="11"/>
      <c r="EH1133" s="11"/>
      <c r="EI1133" s="11"/>
    </row>
    <row r="1134" spans="1:139" s="52" customFormat="1">
      <c r="A1134" s="85"/>
      <c r="B1134" s="99"/>
      <c r="C1134" s="11"/>
      <c r="K1134" s="77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11"/>
      <c r="AW1134" s="11"/>
      <c r="AX1134" s="11"/>
      <c r="AY1134" s="11"/>
      <c r="AZ1134" s="11"/>
      <c r="BA1134" s="11"/>
      <c r="BB1134" s="11"/>
      <c r="BC1134" s="11"/>
      <c r="BD1134" s="11"/>
      <c r="BE1134" s="11"/>
      <c r="BF1134" s="11"/>
      <c r="BG1134" s="11"/>
      <c r="BH1134" s="11"/>
      <c r="BI1134" s="11"/>
      <c r="BJ1134" s="11"/>
      <c r="BK1134" s="11"/>
      <c r="BL1134" s="11"/>
      <c r="BM1134" s="11"/>
      <c r="BN1134" s="11"/>
      <c r="BO1134" s="11"/>
      <c r="BP1134" s="11"/>
      <c r="BQ1134" s="11"/>
      <c r="BR1134" s="11"/>
      <c r="BS1134" s="11"/>
      <c r="BT1134" s="11"/>
      <c r="BU1134" s="11"/>
      <c r="BV1134" s="11"/>
      <c r="BW1134" s="11"/>
      <c r="BX1134" s="11"/>
      <c r="BY1134" s="11"/>
      <c r="BZ1134" s="11"/>
      <c r="CA1134" s="11"/>
      <c r="CB1134" s="11"/>
      <c r="CC1134" s="11"/>
      <c r="CD1134" s="11"/>
      <c r="CE1134" s="11"/>
      <c r="CF1134" s="11"/>
      <c r="CG1134" s="11"/>
      <c r="CH1134" s="11"/>
      <c r="CI1134" s="11"/>
      <c r="CJ1134" s="11"/>
      <c r="CK1134" s="11"/>
      <c r="CL1134" s="11"/>
      <c r="CM1134" s="11"/>
      <c r="CN1134" s="11"/>
      <c r="CO1134" s="11"/>
      <c r="CP1134" s="11"/>
      <c r="CQ1134" s="11"/>
      <c r="CR1134" s="11"/>
      <c r="CS1134" s="11"/>
      <c r="CT1134" s="11"/>
      <c r="CU1134" s="11"/>
      <c r="CV1134" s="11"/>
      <c r="CW1134" s="11"/>
      <c r="CX1134" s="11"/>
      <c r="CY1134" s="11"/>
      <c r="CZ1134" s="11"/>
      <c r="DA1134" s="11"/>
      <c r="DB1134" s="11"/>
      <c r="DC1134" s="11"/>
      <c r="DD1134" s="11"/>
      <c r="DE1134" s="11"/>
      <c r="DF1134" s="11"/>
      <c r="DG1134" s="11"/>
      <c r="DH1134" s="11"/>
      <c r="DI1134" s="11"/>
      <c r="DJ1134" s="11"/>
      <c r="DK1134" s="11"/>
      <c r="DL1134" s="11"/>
      <c r="DM1134" s="11"/>
      <c r="DN1134" s="11"/>
      <c r="DO1134" s="11"/>
      <c r="DP1134" s="11"/>
      <c r="DQ1134" s="11"/>
      <c r="DR1134" s="11"/>
      <c r="DS1134" s="11"/>
      <c r="DT1134" s="11"/>
      <c r="DU1134" s="11"/>
      <c r="DV1134" s="11"/>
      <c r="DW1134" s="11"/>
      <c r="DX1134" s="11"/>
      <c r="DY1134" s="11"/>
      <c r="DZ1134" s="11"/>
      <c r="EA1134" s="11"/>
      <c r="EB1134" s="11"/>
      <c r="EC1134" s="11"/>
      <c r="ED1134" s="11"/>
      <c r="EE1134" s="11"/>
      <c r="EF1134" s="11"/>
      <c r="EG1134" s="11"/>
      <c r="EH1134" s="11"/>
      <c r="EI1134" s="11"/>
    </row>
    <row r="1135" spans="1:139" s="52" customFormat="1">
      <c r="A1135" s="85"/>
      <c r="B1135" s="99"/>
      <c r="C1135" s="11"/>
      <c r="K1135" s="77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  <c r="AV1135" s="11"/>
      <c r="AW1135" s="11"/>
      <c r="AX1135" s="11"/>
      <c r="AY1135" s="11"/>
      <c r="AZ1135" s="11"/>
      <c r="BA1135" s="11"/>
      <c r="BB1135" s="11"/>
      <c r="BC1135" s="11"/>
      <c r="BD1135" s="11"/>
      <c r="BE1135" s="11"/>
      <c r="BF1135" s="11"/>
      <c r="BG1135" s="11"/>
      <c r="BH1135" s="11"/>
      <c r="BI1135" s="11"/>
      <c r="BJ1135" s="11"/>
      <c r="BK1135" s="11"/>
      <c r="BL1135" s="11"/>
      <c r="BM1135" s="11"/>
      <c r="BN1135" s="11"/>
      <c r="BO1135" s="11"/>
      <c r="BP1135" s="11"/>
      <c r="BQ1135" s="11"/>
      <c r="BR1135" s="11"/>
      <c r="BS1135" s="11"/>
      <c r="BT1135" s="11"/>
      <c r="BU1135" s="11"/>
      <c r="BV1135" s="11"/>
      <c r="BW1135" s="11"/>
      <c r="BX1135" s="11"/>
      <c r="BY1135" s="11"/>
      <c r="BZ1135" s="11"/>
      <c r="CA1135" s="11"/>
      <c r="CB1135" s="11"/>
      <c r="CC1135" s="11"/>
      <c r="CD1135" s="11"/>
      <c r="CE1135" s="11"/>
      <c r="CF1135" s="11"/>
      <c r="CG1135" s="11"/>
      <c r="CH1135" s="11"/>
      <c r="CI1135" s="11"/>
      <c r="CJ1135" s="11"/>
      <c r="CK1135" s="11"/>
      <c r="CL1135" s="11"/>
      <c r="CM1135" s="11"/>
      <c r="CN1135" s="11"/>
      <c r="CO1135" s="11"/>
      <c r="CP1135" s="11"/>
      <c r="CQ1135" s="11"/>
      <c r="CR1135" s="11"/>
      <c r="CS1135" s="11"/>
      <c r="CT1135" s="11"/>
      <c r="CU1135" s="11"/>
      <c r="CV1135" s="11"/>
      <c r="CW1135" s="11"/>
      <c r="CX1135" s="11"/>
      <c r="CY1135" s="11"/>
      <c r="CZ1135" s="11"/>
      <c r="DA1135" s="11"/>
      <c r="DB1135" s="11"/>
      <c r="DC1135" s="11"/>
      <c r="DD1135" s="11"/>
      <c r="DE1135" s="11"/>
      <c r="DF1135" s="11"/>
      <c r="DG1135" s="11"/>
      <c r="DH1135" s="11"/>
      <c r="DI1135" s="11"/>
      <c r="DJ1135" s="11"/>
      <c r="DK1135" s="11"/>
      <c r="DL1135" s="11"/>
      <c r="DM1135" s="11"/>
      <c r="DN1135" s="11"/>
      <c r="DO1135" s="11"/>
      <c r="DP1135" s="11"/>
      <c r="DQ1135" s="11"/>
      <c r="DR1135" s="11"/>
      <c r="DS1135" s="11"/>
      <c r="DT1135" s="11"/>
      <c r="DU1135" s="11"/>
      <c r="DV1135" s="11"/>
      <c r="DW1135" s="11"/>
      <c r="DX1135" s="11"/>
      <c r="DY1135" s="11"/>
      <c r="DZ1135" s="11"/>
      <c r="EA1135" s="11"/>
      <c r="EB1135" s="11"/>
      <c r="EC1135" s="11"/>
      <c r="ED1135" s="11"/>
      <c r="EE1135" s="11"/>
      <c r="EF1135" s="11"/>
      <c r="EG1135" s="11"/>
      <c r="EH1135" s="11"/>
      <c r="EI1135" s="11"/>
    </row>
    <row r="1136" spans="1:139" s="52" customFormat="1">
      <c r="A1136" s="85"/>
      <c r="B1136" s="99"/>
      <c r="C1136" s="11"/>
      <c r="K1136" s="77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  <c r="AW1136" s="11"/>
      <c r="AX1136" s="11"/>
      <c r="AY1136" s="11"/>
      <c r="AZ1136" s="11"/>
      <c r="BA1136" s="11"/>
      <c r="BB1136" s="11"/>
      <c r="BC1136" s="11"/>
      <c r="BD1136" s="11"/>
      <c r="BE1136" s="11"/>
      <c r="BF1136" s="11"/>
      <c r="BG1136" s="11"/>
      <c r="BH1136" s="11"/>
      <c r="BI1136" s="11"/>
      <c r="BJ1136" s="11"/>
      <c r="BK1136" s="11"/>
      <c r="BL1136" s="11"/>
      <c r="BM1136" s="11"/>
      <c r="BN1136" s="11"/>
      <c r="BO1136" s="11"/>
      <c r="BP1136" s="11"/>
      <c r="BQ1136" s="11"/>
      <c r="BR1136" s="11"/>
      <c r="BS1136" s="11"/>
      <c r="BT1136" s="11"/>
      <c r="BU1136" s="11"/>
      <c r="BV1136" s="11"/>
      <c r="BW1136" s="11"/>
      <c r="BX1136" s="11"/>
      <c r="BY1136" s="11"/>
      <c r="BZ1136" s="11"/>
      <c r="CA1136" s="11"/>
      <c r="CB1136" s="11"/>
      <c r="CC1136" s="11"/>
      <c r="CD1136" s="11"/>
      <c r="CE1136" s="11"/>
      <c r="CF1136" s="11"/>
      <c r="CG1136" s="11"/>
      <c r="CH1136" s="11"/>
      <c r="CI1136" s="11"/>
      <c r="CJ1136" s="11"/>
      <c r="CK1136" s="11"/>
      <c r="CL1136" s="11"/>
      <c r="CM1136" s="11"/>
      <c r="CN1136" s="11"/>
      <c r="CO1136" s="11"/>
      <c r="CP1136" s="11"/>
      <c r="CQ1136" s="11"/>
      <c r="CR1136" s="11"/>
      <c r="CS1136" s="11"/>
      <c r="CT1136" s="11"/>
      <c r="CU1136" s="11"/>
      <c r="CV1136" s="11"/>
      <c r="CW1136" s="11"/>
      <c r="CX1136" s="11"/>
      <c r="CY1136" s="11"/>
      <c r="CZ1136" s="11"/>
      <c r="DA1136" s="11"/>
      <c r="DB1136" s="11"/>
      <c r="DC1136" s="11"/>
      <c r="DD1136" s="11"/>
      <c r="DE1136" s="11"/>
      <c r="DF1136" s="11"/>
      <c r="DG1136" s="11"/>
      <c r="DH1136" s="11"/>
      <c r="DI1136" s="11"/>
      <c r="DJ1136" s="11"/>
      <c r="DK1136" s="11"/>
      <c r="DL1136" s="11"/>
      <c r="DM1136" s="11"/>
      <c r="DN1136" s="11"/>
      <c r="DO1136" s="11"/>
      <c r="DP1136" s="11"/>
      <c r="DQ1136" s="11"/>
      <c r="DR1136" s="11"/>
      <c r="DS1136" s="11"/>
      <c r="DT1136" s="11"/>
      <c r="DU1136" s="11"/>
      <c r="DV1136" s="11"/>
      <c r="DW1136" s="11"/>
      <c r="DX1136" s="11"/>
      <c r="DY1136" s="11"/>
      <c r="DZ1136" s="11"/>
      <c r="EA1136" s="11"/>
      <c r="EB1136" s="11"/>
      <c r="EC1136" s="11"/>
      <c r="ED1136" s="11"/>
      <c r="EE1136" s="11"/>
      <c r="EF1136" s="11"/>
      <c r="EG1136" s="11"/>
      <c r="EH1136" s="11"/>
      <c r="EI1136" s="11"/>
    </row>
    <row r="1137" spans="1:139" s="52" customFormat="1">
      <c r="A1137" s="85"/>
      <c r="B1137" s="99"/>
      <c r="C1137" s="11"/>
      <c r="K1137" s="77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1"/>
      <c r="AY1137" s="11"/>
      <c r="AZ1137" s="11"/>
      <c r="BA1137" s="11"/>
      <c r="BB1137" s="11"/>
      <c r="BC1137" s="11"/>
      <c r="BD1137" s="11"/>
      <c r="BE1137" s="11"/>
      <c r="BF1137" s="11"/>
      <c r="BG1137" s="11"/>
      <c r="BH1137" s="11"/>
      <c r="BI1137" s="11"/>
      <c r="BJ1137" s="11"/>
      <c r="BK1137" s="11"/>
      <c r="BL1137" s="11"/>
      <c r="BM1137" s="11"/>
      <c r="BN1137" s="11"/>
      <c r="BO1137" s="11"/>
      <c r="BP1137" s="11"/>
      <c r="BQ1137" s="11"/>
      <c r="BR1137" s="11"/>
      <c r="BS1137" s="11"/>
      <c r="BT1137" s="11"/>
      <c r="BU1137" s="11"/>
      <c r="BV1137" s="11"/>
      <c r="BW1137" s="11"/>
      <c r="BX1137" s="11"/>
      <c r="BY1137" s="11"/>
      <c r="BZ1137" s="11"/>
      <c r="CA1137" s="11"/>
      <c r="CB1137" s="11"/>
      <c r="CC1137" s="11"/>
      <c r="CD1137" s="11"/>
      <c r="CE1137" s="11"/>
      <c r="CF1137" s="11"/>
      <c r="CG1137" s="11"/>
      <c r="CH1137" s="11"/>
      <c r="CI1137" s="11"/>
      <c r="CJ1137" s="11"/>
      <c r="CK1137" s="11"/>
      <c r="CL1137" s="11"/>
      <c r="CM1137" s="11"/>
      <c r="CN1137" s="11"/>
      <c r="CO1137" s="11"/>
      <c r="CP1137" s="11"/>
      <c r="CQ1137" s="11"/>
      <c r="CR1137" s="11"/>
      <c r="CS1137" s="11"/>
      <c r="CT1137" s="11"/>
      <c r="CU1137" s="11"/>
      <c r="CV1137" s="11"/>
      <c r="CW1137" s="11"/>
      <c r="CX1137" s="11"/>
      <c r="CY1137" s="11"/>
      <c r="CZ1137" s="11"/>
      <c r="DA1137" s="11"/>
      <c r="DB1137" s="11"/>
      <c r="DC1137" s="11"/>
      <c r="DD1137" s="11"/>
      <c r="DE1137" s="11"/>
      <c r="DF1137" s="11"/>
      <c r="DG1137" s="11"/>
      <c r="DH1137" s="11"/>
      <c r="DI1137" s="11"/>
      <c r="DJ1137" s="11"/>
      <c r="DK1137" s="11"/>
      <c r="DL1137" s="11"/>
      <c r="DM1137" s="11"/>
      <c r="DN1137" s="11"/>
      <c r="DO1137" s="11"/>
      <c r="DP1137" s="11"/>
      <c r="DQ1137" s="11"/>
      <c r="DR1137" s="11"/>
      <c r="DS1137" s="11"/>
      <c r="DT1137" s="11"/>
      <c r="DU1137" s="11"/>
      <c r="DV1137" s="11"/>
      <c r="DW1137" s="11"/>
      <c r="DX1137" s="11"/>
      <c r="DY1137" s="11"/>
      <c r="DZ1137" s="11"/>
      <c r="EA1137" s="11"/>
      <c r="EB1137" s="11"/>
      <c r="EC1137" s="11"/>
      <c r="ED1137" s="11"/>
      <c r="EE1137" s="11"/>
      <c r="EF1137" s="11"/>
      <c r="EG1137" s="11"/>
      <c r="EH1137" s="11"/>
      <c r="EI1137" s="11"/>
    </row>
    <row r="1138" spans="1:139" s="52" customFormat="1">
      <c r="A1138" s="85"/>
      <c r="B1138" s="99"/>
      <c r="C1138" s="11"/>
      <c r="K1138" s="77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  <c r="AW1138" s="11"/>
      <c r="AX1138" s="11"/>
      <c r="AY1138" s="11"/>
      <c r="AZ1138" s="11"/>
      <c r="BA1138" s="11"/>
      <c r="BB1138" s="11"/>
      <c r="BC1138" s="11"/>
      <c r="BD1138" s="11"/>
      <c r="BE1138" s="11"/>
      <c r="BF1138" s="11"/>
      <c r="BG1138" s="11"/>
      <c r="BH1138" s="11"/>
      <c r="BI1138" s="11"/>
      <c r="BJ1138" s="11"/>
      <c r="BK1138" s="11"/>
      <c r="BL1138" s="11"/>
      <c r="BM1138" s="11"/>
      <c r="BN1138" s="11"/>
      <c r="BO1138" s="11"/>
      <c r="BP1138" s="11"/>
      <c r="BQ1138" s="11"/>
      <c r="BR1138" s="11"/>
      <c r="BS1138" s="11"/>
      <c r="BT1138" s="11"/>
      <c r="BU1138" s="11"/>
      <c r="BV1138" s="11"/>
      <c r="BW1138" s="11"/>
      <c r="BX1138" s="11"/>
      <c r="BY1138" s="11"/>
      <c r="BZ1138" s="11"/>
      <c r="CA1138" s="11"/>
      <c r="CB1138" s="11"/>
      <c r="CC1138" s="11"/>
      <c r="CD1138" s="11"/>
      <c r="CE1138" s="11"/>
      <c r="CF1138" s="11"/>
      <c r="CG1138" s="11"/>
      <c r="CH1138" s="11"/>
      <c r="CI1138" s="11"/>
      <c r="CJ1138" s="11"/>
      <c r="CK1138" s="11"/>
      <c r="CL1138" s="11"/>
      <c r="CM1138" s="11"/>
      <c r="CN1138" s="11"/>
      <c r="CO1138" s="11"/>
      <c r="CP1138" s="11"/>
      <c r="CQ1138" s="11"/>
      <c r="CR1138" s="11"/>
      <c r="CS1138" s="11"/>
      <c r="CT1138" s="11"/>
      <c r="CU1138" s="11"/>
      <c r="CV1138" s="11"/>
      <c r="CW1138" s="11"/>
      <c r="CX1138" s="11"/>
      <c r="CY1138" s="11"/>
      <c r="CZ1138" s="11"/>
      <c r="DA1138" s="11"/>
      <c r="DB1138" s="11"/>
      <c r="DC1138" s="11"/>
      <c r="DD1138" s="11"/>
      <c r="DE1138" s="11"/>
      <c r="DF1138" s="11"/>
      <c r="DG1138" s="11"/>
      <c r="DH1138" s="11"/>
      <c r="DI1138" s="11"/>
      <c r="DJ1138" s="11"/>
      <c r="DK1138" s="11"/>
      <c r="DL1138" s="11"/>
      <c r="DM1138" s="11"/>
      <c r="DN1138" s="11"/>
      <c r="DO1138" s="11"/>
      <c r="DP1138" s="11"/>
      <c r="DQ1138" s="11"/>
      <c r="DR1138" s="11"/>
      <c r="DS1138" s="11"/>
      <c r="DT1138" s="11"/>
      <c r="DU1138" s="11"/>
      <c r="DV1138" s="11"/>
      <c r="DW1138" s="11"/>
      <c r="DX1138" s="11"/>
      <c r="DY1138" s="11"/>
      <c r="DZ1138" s="11"/>
      <c r="EA1138" s="11"/>
      <c r="EB1138" s="11"/>
      <c r="EC1138" s="11"/>
      <c r="ED1138" s="11"/>
      <c r="EE1138" s="11"/>
      <c r="EF1138" s="11"/>
      <c r="EG1138" s="11"/>
      <c r="EH1138" s="11"/>
      <c r="EI1138" s="11"/>
    </row>
    <row r="1139" spans="1:139" s="52" customFormat="1">
      <c r="A1139" s="85"/>
      <c r="B1139" s="99"/>
      <c r="C1139" s="11"/>
      <c r="K1139" s="77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  <c r="AZ1139" s="11"/>
      <c r="BA1139" s="11"/>
      <c r="BB1139" s="11"/>
      <c r="BC1139" s="11"/>
      <c r="BD1139" s="11"/>
      <c r="BE1139" s="11"/>
      <c r="BF1139" s="11"/>
      <c r="BG1139" s="11"/>
      <c r="BH1139" s="11"/>
      <c r="BI1139" s="11"/>
      <c r="BJ1139" s="11"/>
      <c r="BK1139" s="11"/>
      <c r="BL1139" s="11"/>
      <c r="BM1139" s="11"/>
      <c r="BN1139" s="11"/>
      <c r="BO1139" s="11"/>
      <c r="BP1139" s="11"/>
      <c r="BQ1139" s="11"/>
      <c r="BR1139" s="11"/>
      <c r="BS1139" s="11"/>
      <c r="BT1139" s="11"/>
      <c r="BU1139" s="11"/>
      <c r="BV1139" s="11"/>
      <c r="BW1139" s="11"/>
      <c r="BX1139" s="11"/>
      <c r="BY1139" s="11"/>
      <c r="BZ1139" s="11"/>
      <c r="CA1139" s="11"/>
      <c r="CB1139" s="11"/>
      <c r="CC1139" s="11"/>
      <c r="CD1139" s="11"/>
      <c r="CE1139" s="11"/>
      <c r="CF1139" s="11"/>
      <c r="CG1139" s="11"/>
      <c r="CH1139" s="11"/>
      <c r="CI1139" s="11"/>
      <c r="CJ1139" s="11"/>
      <c r="CK1139" s="11"/>
      <c r="CL1139" s="11"/>
      <c r="CM1139" s="11"/>
      <c r="CN1139" s="11"/>
      <c r="CO1139" s="11"/>
      <c r="CP1139" s="11"/>
      <c r="CQ1139" s="11"/>
      <c r="CR1139" s="11"/>
      <c r="CS1139" s="11"/>
      <c r="CT1139" s="11"/>
      <c r="CU1139" s="11"/>
      <c r="CV1139" s="11"/>
      <c r="CW1139" s="11"/>
      <c r="CX1139" s="11"/>
      <c r="CY1139" s="11"/>
      <c r="CZ1139" s="11"/>
      <c r="DA1139" s="11"/>
      <c r="DB1139" s="11"/>
      <c r="DC1139" s="11"/>
      <c r="DD1139" s="11"/>
      <c r="DE1139" s="11"/>
      <c r="DF1139" s="11"/>
      <c r="DG1139" s="11"/>
      <c r="DH1139" s="11"/>
      <c r="DI1139" s="11"/>
      <c r="DJ1139" s="11"/>
      <c r="DK1139" s="11"/>
      <c r="DL1139" s="11"/>
      <c r="DM1139" s="11"/>
      <c r="DN1139" s="11"/>
      <c r="DO1139" s="11"/>
      <c r="DP1139" s="11"/>
      <c r="DQ1139" s="11"/>
      <c r="DR1139" s="11"/>
      <c r="DS1139" s="11"/>
      <c r="DT1139" s="11"/>
      <c r="DU1139" s="11"/>
      <c r="DV1139" s="11"/>
      <c r="DW1139" s="11"/>
      <c r="DX1139" s="11"/>
      <c r="DY1139" s="11"/>
      <c r="DZ1139" s="11"/>
      <c r="EA1139" s="11"/>
      <c r="EB1139" s="11"/>
      <c r="EC1139" s="11"/>
      <c r="ED1139" s="11"/>
      <c r="EE1139" s="11"/>
      <c r="EF1139" s="11"/>
      <c r="EG1139" s="11"/>
      <c r="EH1139" s="11"/>
      <c r="EI1139" s="11"/>
    </row>
    <row r="1140" spans="1:139" s="52" customFormat="1">
      <c r="A1140" s="85"/>
      <c r="B1140" s="99"/>
      <c r="C1140" s="11"/>
      <c r="K1140" s="77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1"/>
      <c r="AY1140" s="11"/>
      <c r="AZ1140" s="11"/>
      <c r="BA1140" s="11"/>
      <c r="BB1140" s="11"/>
      <c r="BC1140" s="11"/>
      <c r="BD1140" s="11"/>
      <c r="BE1140" s="11"/>
      <c r="BF1140" s="11"/>
      <c r="BG1140" s="11"/>
      <c r="BH1140" s="11"/>
      <c r="BI1140" s="11"/>
      <c r="BJ1140" s="11"/>
      <c r="BK1140" s="11"/>
      <c r="BL1140" s="11"/>
      <c r="BM1140" s="11"/>
      <c r="BN1140" s="11"/>
      <c r="BO1140" s="11"/>
      <c r="BP1140" s="11"/>
      <c r="BQ1140" s="11"/>
      <c r="BR1140" s="11"/>
      <c r="BS1140" s="11"/>
      <c r="BT1140" s="11"/>
      <c r="BU1140" s="11"/>
      <c r="BV1140" s="11"/>
      <c r="BW1140" s="11"/>
      <c r="BX1140" s="11"/>
      <c r="BY1140" s="11"/>
      <c r="BZ1140" s="11"/>
      <c r="CA1140" s="11"/>
      <c r="CB1140" s="11"/>
      <c r="CC1140" s="11"/>
      <c r="CD1140" s="11"/>
      <c r="CE1140" s="11"/>
      <c r="CF1140" s="11"/>
      <c r="CG1140" s="11"/>
      <c r="CH1140" s="11"/>
      <c r="CI1140" s="11"/>
      <c r="CJ1140" s="11"/>
      <c r="CK1140" s="11"/>
      <c r="CL1140" s="11"/>
      <c r="CM1140" s="11"/>
      <c r="CN1140" s="11"/>
      <c r="CO1140" s="11"/>
      <c r="CP1140" s="11"/>
      <c r="CQ1140" s="11"/>
      <c r="CR1140" s="11"/>
      <c r="CS1140" s="11"/>
      <c r="CT1140" s="11"/>
      <c r="CU1140" s="11"/>
      <c r="CV1140" s="11"/>
      <c r="CW1140" s="11"/>
      <c r="CX1140" s="11"/>
      <c r="CY1140" s="11"/>
      <c r="CZ1140" s="11"/>
      <c r="DA1140" s="11"/>
      <c r="DB1140" s="11"/>
      <c r="DC1140" s="11"/>
      <c r="DD1140" s="11"/>
      <c r="DE1140" s="11"/>
      <c r="DF1140" s="11"/>
      <c r="DG1140" s="11"/>
      <c r="DH1140" s="11"/>
      <c r="DI1140" s="11"/>
      <c r="DJ1140" s="11"/>
      <c r="DK1140" s="11"/>
      <c r="DL1140" s="11"/>
      <c r="DM1140" s="11"/>
      <c r="DN1140" s="11"/>
      <c r="DO1140" s="11"/>
      <c r="DP1140" s="11"/>
      <c r="DQ1140" s="11"/>
      <c r="DR1140" s="11"/>
      <c r="DS1140" s="11"/>
      <c r="DT1140" s="11"/>
      <c r="DU1140" s="11"/>
      <c r="DV1140" s="11"/>
      <c r="DW1140" s="11"/>
      <c r="DX1140" s="11"/>
      <c r="DY1140" s="11"/>
      <c r="DZ1140" s="11"/>
      <c r="EA1140" s="11"/>
      <c r="EB1140" s="11"/>
      <c r="EC1140" s="11"/>
      <c r="ED1140" s="11"/>
      <c r="EE1140" s="11"/>
      <c r="EF1140" s="11"/>
      <c r="EG1140" s="11"/>
      <c r="EH1140" s="11"/>
      <c r="EI1140" s="11"/>
    </row>
    <row r="1141" spans="1:139" s="52" customFormat="1">
      <c r="A1141" s="85"/>
      <c r="B1141" s="99"/>
      <c r="C1141" s="11"/>
      <c r="K1141" s="77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11"/>
      <c r="AW1141" s="11"/>
      <c r="AX1141" s="11"/>
      <c r="AY1141" s="11"/>
      <c r="AZ1141" s="11"/>
      <c r="BA1141" s="11"/>
      <c r="BB1141" s="11"/>
      <c r="BC1141" s="11"/>
      <c r="BD1141" s="11"/>
      <c r="BE1141" s="11"/>
      <c r="BF1141" s="11"/>
      <c r="BG1141" s="11"/>
      <c r="BH1141" s="11"/>
      <c r="BI1141" s="11"/>
      <c r="BJ1141" s="11"/>
      <c r="BK1141" s="11"/>
      <c r="BL1141" s="11"/>
      <c r="BM1141" s="11"/>
      <c r="BN1141" s="11"/>
      <c r="BO1141" s="11"/>
      <c r="BP1141" s="11"/>
      <c r="BQ1141" s="11"/>
      <c r="BR1141" s="11"/>
      <c r="BS1141" s="11"/>
      <c r="BT1141" s="11"/>
      <c r="BU1141" s="11"/>
      <c r="BV1141" s="11"/>
      <c r="BW1141" s="11"/>
      <c r="BX1141" s="11"/>
      <c r="BY1141" s="11"/>
      <c r="BZ1141" s="11"/>
      <c r="CA1141" s="11"/>
      <c r="CB1141" s="11"/>
      <c r="CC1141" s="11"/>
      <c r="CD1141" s="11"/>
      <c r="CE1141" s="11"/>
      <c r="CF1141" s="11"/>
      <c r="CG1141" s="11"/>
      <c r="CH1141" s="11"/>
      <c r="CI1141" s="11"/>
      <c r="CJ1141" s="11"/>
      <c r="CK1141" s="11"/>
      <c r="CL1141" s="11"/>
      <c r="CM1141" s="11"/>
      <c r="CN1141" s="11"/>
      <c r="CO1141" s="11"/>
      <c r="CP1141" s="11"/>
      <c r="CQ1141" s="11"/>
      <c r="CR1141" s="11"/>
      <c r="CS1141" s="11"/>
      <c r="CT1141" s="11"/>
      <c r="CU1141" s="11"/>
      <c r="CV1141" s="11"/>
      <c r="CW1141" s="11"/>
      <c r="CX1141" s="11"/>
      <c r="CY1141" s="11"/>
      <c r="CZ1141" s="11"/>
      <c r="DA1141" s="11"/>
      <c r="DB1141" s="11"/>
      <c r="DC1141" s="11"/>
      <c r="DD1141" s="11"/>
      <c r="DE1141" s="11"/>
      <c r="DF1141" s="11"/>
      <c r="DG1141" s="11"/>
      <c r="DH1141" s="11"/>
      <c r="DI1141" s="11"/>
      <c r="DJ1141" s="11"/>
      <c r="DK1141" s="11"/>
      <c r="DL1141" s="11"/>
      <c r="DM1141" s="11"/>
      <c r="DN1141" s="11"/>
      <c r="DO1141" s="11"/>
      <c r="DP1141" s="11"/>
      <c r="DQ1141" s="11"/>
      <c r="DR1141" s="11"/>
      <c r="DS1141" s="11"/>
      <c r="DT1141" s="11"/>
      <c r="DU1141" s="11"/>
      <c r="DV1141" s="11"/>
      <c r="DW1141" s="11"/>
      <c r="DX1141" s="11"/>
      <c r="DY1141" s="11"/>
      <c r="DZ1141" s="11"/>
      <c r="EA1141" s="11"/>
      <c r="EB1141" s="11"/>
      <c r="EC1141" s="11"/>
      <c r="ED1141" s="11"/>
      <c r="EE1141" s="11"/>
      <c r="EF1141" s="11"/>
      <c r="EG1141" s="11"/>
      <c r="EH1141" s="11"/>
      <c r="EI1141" s="11"/>
    </row>
    <row r="1142" spans="1:139" s="52" customFormat="1">
      <c r="A1142" s="85"/>
      <c r="B1142" s="99"/>
      <c r="C1142" s="11"/>
      <c r="K1142" s="77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1"/>
      <c r="AY1142" s="11"/>
      <c r="AZ1142" s="11"/>
      <c r="BA1142" s="11"/>
      <c r="BB1142" s="11"/>
      <c r="BC1142" s="11"/>
      <c r="BD1142" s="11"/>
      <c r="BE1142" s="11"/>
      <c r="BF1142" s="11"/>
      <c r="BG1142" s="11"/>
      <c r="BH1142" s="11"/>
      <c r="BI1142" s="11"/>
      <c r="BJ1142" s="11"/>
      <c r="BK1142" s="11"/>
      <c r="BL1142" s="11"/>
      <c r="BM1142" s="11"/>
      <c r="BN1142" s="11"/>
      <c r="BO1142" s="11"/>
      <c r="BP1142" s="11"/>
      <c r="BQ1142" s="11"/>
      <c r="BR1142" s="11"/>
      <c r="BS1142" s="11"/>
      <c r="BT1142" s="11"/>
      <c r="BU1142" s="11"/>
      <c r="BV1142" s="11"/>
      <c r="BW1142" s="11"/>
      <c r="BX1142" s="11"/>
      <c r="BY1142" s="11"/>
      <c r="BZ1142" s="11"/>
      <c r="CA1142" s="11"/>
      <c r="CB1142" s="11"/>
      <c r="CC1142" s="11"/>
      <c r="CD1142" s="11"/>
      <c r="CE1142" s="11"/>
      <c r="CF1142" s="11"/>
      <c r="CG1142" s="11"/>
      <c r="CH1142" s="11"/>
      <c r="CI1142" s="11"/>
      <c r="CJ1142" s="11"/>
      <c r="CK1142" s="11"/>
      <c r="CL1142" s="11"/>
      <c r="CM1142" s="11"/>
      <c r="CN1142" s="11"/>
      <c r="CO1142" s="11"/>
      <c r="CP1142" s="11"/>
      <c r="CQ1142" s="11"/>
      <c r="CR1142" s="11"/>
      <c r="CS1142" s="11"/>
      <c r="CT1142" s="11"/>
      <c r="CU1142" s="11"/>
      <c r="CV1142" s="11"/>
      <c r="CW1142" s="11"/>
      <c r="CX1142" s="11"/>
      <c r="CY1142" s="11"/>
      <c r="CZ1142" s="11"/>
      <c r="DA1142" s="11"/>
      <c r="DB1142" s="11"/>
      <c r="DC1142" s="11"/>
      <c r="DD1142" s="11"/>
      <c r="DE1142" s="11"/>
      <c r="DF1142" s="11"/>
      <c r="DG1142" s="11"/>
      <c r="DH1142" s="11"/>
      <c r="DI1142" s="11"/>
      <c r="DJ1142" s="11"/>
      <c r="DK1142" s="11"/>
      <c r="DL1142" s="11"/>
      <c r="DM1142" s="11"/>
      <c r="DN1142" s="11"/>
      <c r="DO1142" s="11"/>
      <c r="DP1142" s="11"/>
      <c r="DQ1142" s="11"/>
      <c r="DR1142" s="11"/>
      <c r="DS1142" s="11"/>
      <c r="DT1142" s="11"/>
      <c r="DU1142" s="11"/>
      <c r="DV1142" s="11"/>
      <c r="DW1142" s="11"/>
      <c r="DX1142" s="11"/>
      <c r="DY1142" s="11"/>
      <c r="DZ1142" s="11"/>
      <c r="EA1142" s="11"/>
      <c r="EB1142" s="11"/>
      <c r="EC1142" s="11"/>
      <c r="ED1142" s="11"/>
      <c r="EE1142" s="11"/>
      <c r="EF1142" s="11"/>
      <c r="EG1142" s="11"/>
      <c r="EH1142" s="11"/>
      <c r="EI1142" s="11"/>
    </row>
    <row r="1143" spans="1:139" s="52" customFormat="1">
      <c r="A1143" s="85"/>
      <c r="B1143" s="99"/>
      <c r="C1143" s="11"/>
      <c r="K1143" s="77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1"/>
      <c r="AY1143" s="11"/>
      <c r="AZ1143" s="11"/>
      <c r="BA1143" s="11"/>
      <c r="BB1143" s="11"/>
      <c r="BC1143" s="11"/>
      <c r="BD1143" s="11"/>
      <c r="BE1143" s="11"/>
      <c r="BF1143" s="11"/>
      <c r="BG1143" s="11"/>
      <c r="BH1143" s="11"/>
      <c r="BI1143" s="11"/>
      <c r="BJ1143" s="11"/>
      <c r="BK1143" s="11"/>
      <c r="BL1143" s="11"/>
      <c r="BM1143" s="11"/>
      <c r="BN1143" s="11"/>
      <c r="BO1143" s="11"/>
      <c r="BP1143" s="11"/>
      <c r="BQ1143" s="11"/>
      <c r="BR1143" s="11"/>
      <c r="BS1143" s="11"/>
      <c r="BT1143" s="11"/>
      <c r="BU1143" s="11"/>
      <c r="BV1143" s="11"/>
      <c r="BW1143" s="11"/>
      <c r="BX1143" s="11"/>
      <c r="BY1143" s="11"/>
      <c r="BZ1143" s="11"/>
      <c r="CA1143" s="11"/>
      <c r="CB1143" s="11"/>
      <c r="CC1143" s="11"/>
      <c r="CD1143" s="11"/>
      <c r="CE1143" s="11"/>
      <c r="CF1143" s="11"/>
      <c r="CG1143" s="11"/>
      <c r="CH1143" s="11"/>
      <c r="CI1143" s="11"/>
      <c r="CJ1143" s="11"/>
      <c r="CK1143" s="11"/>
      <c r="CL1143" s="11"/>
      <c r="CM1143" s="11"/>
      <c r="CN1143" s="11"/>
      <c r="CO1143" s="11"/>
      <c r="CP1143" s="11"/>
      <c r="CQ1143" s="11"/>
      <c r="CR1143" s="11"/>
      <c r="CS1143" s="11"/>
      <c r="CT1143" s="11"/>
      <c r="CU1143" s="11"/>
      <c r="CV1143" s="11"/>
      <c r="CW1143" s="11"/>
      <c r="CX1143" s="11"/>
      <c r="CY1143" s="11"/>
      <c r="CZ1143" s="11"/>
      <c r="DA1143" s="11"/>
      <c r="DB1143" s="11"/>
      <c r="DC1143" s="11"/>
      <c r="DD1143" s="11"/>
      <c r="DE1143" s="11"/>
      <c r="DF1143" s="11"/>
      <c r="DG1143" s="11"/>
      <c r="DH1143" s="11"/>
      <c r="DI1143" s="11"/>
      <c r="DJ1143" s="11"/>
      <c r="DK1143" s="11"/>
      <c r="DL1143" s="11"/>
      <c r="DM1143" s="11"/>
      <c r="DN1143" s="11"/>
      <c r="DO1143" s="11"/>
      <c r="DP1143" s="11"/>
      <c r="DQ1143" s="11"/>
      <c r="DR1143" s="11"/>
      <c r="DS1143" s="11"/>
      <c r="DT1143" s="11"/>
      <c r="DU1143" s="11"/>
      <c r="DV1143" s="11"/>
      <c r="DW1143" s="11"/>
      <c r="DX1143" s="11"/>
      <c r="DY1143" s="11"/>
      <c r="DZ1143" s="11"/>
      <c r="EA1143" s="11"/>
      <c r="EB1143" s="11"/>
      <c r="EC1143" s="11"/>
      <c r="ED1143" s="11"/>
      <c r="EE1143" s="11"/>
      <c r="EF1143" s="11"/>
      <c r="EG1143" s="11"/>
      <c r="EH1143" s="11"/>
      <c r="EI1143" s="11"/>
    </row>
    <row r="1144" spans="1:139" s="52" customFormat="1">
      <c r="A1144" s="85"/>
      <c r="B1144" s="99"/>
      <c r="C1144" s="11"/>
      <c r="K1144" s="77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  <c r="AV1144" s="11"/>
      <c r="AW1144" s="11"/>
      <c r="AX1144" s="11"/>
      <c r="AY1144" s="11"/>
      <c r="AZ1144" s="11"/>
      <c r="BA1144" s="11"/>
      <c r="BB1144" s="11"/>
      <c r="BC1144" s="11"/>
      <c r="BD1144" s="11"/>
      <c r="BE1144" s="11"/>
      <c r="BF1144" s="11"/>
      <c r="BG1144" s="11"/>
      <c r="BH1144" s="11"/>
      <c r="BI1144" s="11"/>
      <c r="BJ1144" s="11"/>
      <c r="BK1144" s="11"/>
      <c r="BL1144" s="11"/>
      <c r="BM1144" s="11"/>
      <c r="BN1144" s="11"/>
      <c r="BO1144" s="11"/>
      <c r="BP1144" s="11"/>
      <c r="BQ1144" s="11"/>
      <c r="BR1144" s="11"/>
      <c r="BS1144" s="11"/>
      <c r="BT1144" s="11"/>
      <c r="BU1144" s="11"/>
      <c r="BV1144" s="11"/>
      <c r="BW1144" s="11"/>
      <c r="BX1144" s="11"/>
      <c r="BY1144" s="11"/>
      <c r="BZ1144" s="11"/>
      <c r="CA1144" s="11"/>
      <c r="CB1144" s="11"/>
      <c r="CC1144" s="11"/>
      <c r="CD1144" s="11"/>
      <c r="CE1144" s="11"/>
      <c r="CF1144" s="11"/>
      <c r="CG1144" s="11"/>
      <c r="CH1144" s="11"/>
      <c r="CI1144" s="11"/>
      <c r="CJ1144" s="11"/>
      <c r="CK1144" s="11"/>
      <c r="CL1144" s="11"/>
      <c r="CM1144" s="11"/>
      <c r="CN1144" s="11"/>
      <c r="CO1144" s="11"/>
      <c r="CP1144" s="11"/>
      <c r="CQ1144" s="11"/>
      <c r="CR1144" s="11"/>
      <c r="CS1144" s="11"/>
      <c r="CT1144" s="11"/>
      <c r="CU1144" s="11"/>
      <c r="CV1144" s="11"/>
      <c r="CW1144" s="11"/>
      <c r="CX1144" s="11"/>
      <c r="CY1144" s="11"/>
      <c r="CZ1144" s="11"/>
      <c r="DA1144" s="11"/>
      <c r="DB1144" s="11"/>
      <c r="DC1144" s="11"/>
      <c r="DD1144" s="11"/>
      <c r="DE1144" s="11"/>
      <c r="DF1144" s="11"/>
      <c r="DG1144" s="11"/>
      <c r="DH1144" s="11"/>
      <c r="DI1144" s="11"/>
      <c r="DJ1144" s="11"/>
      <c r="DK1144" s="11"/>
      <c r="DL1144" s="11"/>
      <c r="DM1144" s="11"/>
      <c r="DN1144" s="11"/>
      <c r="DO1144" s="11"/>
      <c r="DP1144" s="11"/>
      <c r="DQ1144" s="11"/>
      <c r="DR1144" s="11"/>
      <c r="DS1144" s="11"/>
      <c r="DT1144" s="11"/>
      <c r="DU1144" s="11"/>
      <c r="DV1144" s="11"/>
      <c r="DW1144" s="11"/>
      <c r="DX1144" s="11"/>
      <c r="DY1144" s="11"/>
      <c r="DZ1144" s="11"/>
      <c r="EA1144" s="11"/>
      <c r="EB1144" s="11"/>
      <c r="EC1144" s="11"/>
      <c r="ED1144" s="11"/>
      <c r="EE1144" s="11"/>
      <c r="EF1144" s="11"/>
      <c r="EG1144" s="11"/>
      <c r="EH1144" s="11"/>
      <c r="EI1144" s="11"/>
    </row>
    <row r="1145" spans="1:139" s="52" customFormat="1">
      <c r="A1145" s="85"/>
      <c r="B1145" s="99"/>
      <c r="C1145" s="11"/>
      <c r="K1145" s="77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  <c r="AW1145" s="11"/>
      <c r="AX1145" s="11"/>
      <c r="AY1145" s="11"/>
      <c r="AZ1145" s="11"/>
      <c r="BA1145" s="11"/>
      <c r="BB1145" s="11"/>
      <c r="BC1145" s="11"/>
      <c r="BD1145" s="11"/>
      <c r="BE1145" s="11"/>
      <c r="BF1145" s="11"/>
      <c r="BG1145" s="11"/>
      <c r="BH1145" s="11"/>
      <c r="BI1145" s="11"/>
      <c r="BJ1145" s="11"/>
      <c r="BK1145" s="11"/>
      <c r="BL1145" s="11"/>
      <c r="BM1145" s="11"/>
      <c r="BN1145" s="11"/>
      <c r="BO1145" s="11"/>
      <c r="BP1145" s="11"/>
      <c r="BQ1145" s="11"/>
      <c r="BR1145" s="11"/>
      <c r="BS1145" s="11"/>
      <c r="BT1145" s="11"/>
      <c r="BU1145" s="11"/>
      <c r="BV1145" s="11"/>
      <c r="BW1145" s="11"/>
      <c r="BX1145" s="11"/>
      <c r="BY1145" s="11"/>
      <c r="BZ1145" s="11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</row>
    <row r="1146" spans="1:139" s="52" customFormat="1">
      <c r="A1146" s="85"/>
      <c r="B1146" s="99"/>
      <c r="C1146" s="11"/>
      <c r="K1146" s="77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  <c r="AV1146" s="11"/>
      <c r="AW1146" s="11"/>
      <c r="AX1146" s="11"/>
      <c r="AY1146" s="11"/>
      <c r="AZ1146" s="11"/>
      <c r="BA1146" s="11"/>
      <c r="BB1146" s="11"/>
      <c r="BC1146" s="11"/>
      <c r="BD1146" s="11"/>
      <c r="BE1146" s="11"/>
      <c r="BF1146" s="11"/>
      <c r="BG1146" s="11"/>
      <c r="BH1146" s="11"/>
      <c r="BI1146" s="11"/>
      <c r="BJ1146" s="11"/>
      <c r="BK1146" s="11"/>
      <c r="BL1146" s="11"/>
      <c r="BM1146" s="11"/>
      <c r="BN1146" s="11"/>
      <c r="BO1146" s="11"/>
      <c r="BP1146" s="11"/>
      <c r="BQ1146" s="11"/>
      <c r="BR1146" s="11"/>
      <c r="BS1146" s="11"/>
      <c r="BT1146" s="11"/>
      <c r="BU1146" s="11"/>
      <c r="BV1146" s="11"/>
      <c r="BW1146" s="11"/>
      <c r="BX1146" s="11"/>
      <c r="BY1146" s="11"/>
      <c r="BZ1146" s="11"/>
      <c r="CA1146" s="11"/>
      <c r="CB1146" s="11"/>
      <c r="CC1146" s="11"/>
      <c r="CD1146" s="11"/>
      <c r="CE1146" s="11"/>
      <c r="CF1146" s="11"/>
      <c r="CG1146" s="11"/>
      <c r="CH1146" s="11"/>
      <c r="CI1146" s="11"/>
      <c r="CJ1146" s="11"/>
      <c r="CK1146" s="11"/>
      <c r="CL1146" s="11"/>
      <c r="CM1146" s="11"/>
      <c r="CN1146" s="11"/>
      <c r="CO1146" s="11"/>
      <c r="CP1146" s="11"/>
      <c r="CQ1146" s="11"/>
      <c r="CR1146" s="11"/>
      <c r="CS1146" s="11"/>
      <c r="CT1146" s="11"/>
      <c r="CU1146" s="11"/>
      <c r="CV1146" s="11"/>
      <c r="CW1146" s="11"/>
      <c r="CX1146" s="11"/>
      <c r="CY1146" s="11"/>
      <c r="CZ1146" s="11"/>
      <c r="DA1146" s="11"/>
      <c r="DB1146" s="11"/>
      <c r="DC1146" s="11"/>
      <c r="DD1146" s="11"/>
      <c r="DE1146" s="11"/>
      <c r="DF1146" s="11"/>
      <c r="DG1146" s="11"/>
      <c r="DH1146" s="11"/>
      <c r="DI1146" s="11"/>
      <c r="DJ1146" s="11"/>
      <c r="DK1146" s="11"/>
      <c r="DL1146" s="11"/>
      <c r="DM1146" s="11"/>
      <c r="DN1146" s="11"/>
      <c r="DO1146" s="11"/>
      <c r="DP1146" s="11"/>
      <c r="DQ1146" s="11"/>
      <c r="DR1146" s="11"/>
      <c r="DS1146" s="11"/>
      <c r="DT1146" s="11"/>
      <c r="DU1146" s="11"/>
      <c r="DV1146" s="11"/>
      <c r="DW1146" s="11"/>
      <c r="DX1146" s="11"/>
      <c r="DY1146" s="11"/>
      <c r="DZ1146" s="11"/>
      <c r="EA1146" s="11"/>
      <c r="EB1146" s="11"/>
      <c r="EC1146" s="11"/>
      <c r="ED1146" s="11"/>
      <c r="EE1146" s="11"/>
      <c r="EF1146" s="11"/>
      <c r="EG1146" s="11"/>
      <c r="EH1146" s="11"/>
      <c r="EI1146" s="11"/>
    </row>
    <row r="1147" spans="1:139" s="52" customFormat="1">
      <c r="A1147" s="85"/>
      <c r="B1147" s="99"/>
      <c r="C1147" s="11"/>
      <c r="K1147" s="77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  <c r="AV1147" s="11"/>
      <c r="AW1147" s="11"/>
      <c r="AX1147" s="11"/>
      <c r="AY1147" s="11"/>
      <c r="AZ1147" s="11"/>
      <c r="BA1147" s="11"/>
      <c r="BB1147" s="11"/>
      <c r="BC1147" s="11"/>
      <c r="BD1147" s="11"/>
      <c r="BE1147" s="11"/>
      <c r="BF1147" s="11"/>
      <c r="BG1147" s="11"/>
      <c r="BH1147" s="11"/>
      <c r="BI1147" s="11"/>
      <c r="BJ1147" s="11"/>
      <c r="BK1147" s="11"/>
      <c r="BL1147" s="11"/>
      <c r="BM1147" s="11"/>
      <c r="BN1147" s="11"/>
      <c r="BO1147" s="11"/>
      <c r="BP1147" s="11"/>
      <c r="BQ1147" s="11"/>
      <c r="BR1147" s="11"/>
      <c r="BS1147" s="11"/>
      <c r="BT1147" s="11"/>
      <c r="BU1147" s="11"/>
      <c r="BV1147" s="11"/>
      <c r="BW1147" s="11"/>
      <c r="BX1147" s="11"/>
      <c r="BY1147" s="11"/>
      <c r="BZ1147" s="11"/>
      <c r="CA1147" s="11"/>
      <c r="CB1147" s="11"/>
      <c r="CC1147" s="11"/>
      <c r="CD1147" s="11"/>
      <c r="CE1147" s="11"/>
      <c r="CF1147" s="11"/>
      <c r="CG1147" s="11"/>
      <c r="CH1147" s="11"/>
      <c r="CI1147" s="11"/>
      <c r="CJ1147" s="11"/>
      <c r="CK1147" s="11"/>
      <c r="CL1147" s="11"/>
      <c r="CM1147" s="11"/>
      <c r="CN1147" s="11"/>
      <c r="CO1147" s="11"/>
      <c r="CP1147" s="11"/>
      <c r="CQ1147" s="11"/>
      <c r="CR1147" s="11"/>
      <c r="CS1147" s="11"/>
      <c r="CT1147" s="11"/>
      <c r="CU1147" s="11"/>
      <c r="CV1147" s="11"/>
      <c r="CW1147" s="11"/>
      <c r="CX1147" s="11"/>
      <c r="CY1147" s="11"/>
      <c r="CZ1147" s="11"/>
      <c r="DA1147" s="11"/>
      <c r="DB1147" s="11"/>
      <c r="DC1147" s="11"/>
      <c r="DD1147" s="11"/>
      <c r="DE1147" s="11"/>
      <c r="DF1147" s="11"/>
      <c r="DG1147" s="11"/>
      <c r="DH1147" s="11"/>
      <c r="DI1147" s="11"/>
      <c r="DJ1147" s="11"/>
      <c r="DK1147" s="11"/>
      <c r="DL1147" s="11"/>
      <c r="DM1147" s="11"/>
      <c r="DN1147" s="11"/>
      <c r="DO1147" s="11"/>
      <c r="DP1147" s="11"/>
      <c r="DQ1147" s="11"/>
      <c r="DR1147" s="11"/>
      <c r="DS1147" s="11"/>
      <c r="DT1147" s="11"/>
      <c r="DU1147" s="11"/>
      <c r="DV1147" s="11"/>
      <c r="DW1147" s="11"/>
      <c r="DX1147" s="11"/>
      <c r="DY1147" s="11"/>
      <c r="DZ1147" s="11"/>
      <c r="EA1147" s="11"/>
      <c r="EB1147" s="11"/>
      <c r="EC1147" s="11"/>
      <c r="ED1147" s="11"/>
      <c r="EE1147" s="11"/>
      <c r="EF1147" s="11"/>
      <c r="EG1147" s="11"/>
      <c r="EH1147" s="11"/>
      <c r="EI1147" s="11"/>
    </row>
    <row r="1148" spans="1:139" s="52" customFormat="1">
      <c r="A1148" s="85"/>
      <c r="B1148" s="99"/>
      <c r="C1148" s="11"/>
      <c r="K1148" s="77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  <c r="AW1148" s="11"/>
      <c r="AX1148" s="11"/>
      <c r="AY1148" s="11"/>
      <c r="AZ1148" s="11"/>
      <c r="BA1148" s="11"/>
      <c r="BB1148" s="11"/>
      <c r="BC1148" s="11"/>
      <c r="BD1148" s="11"/>
      <c r="BE1148" s="11"/>
      <c r="BF1148" s="11"/>
      <c r="BG1148" s="11"/>
      <c r="BH1148" s="11"/>
      <c r="BI1148" s="11"/>
      <c r="BJ1148" s="11"/>
      <c r="BK1148" s="11"/>
      <c r="BL1148" s="11"/>
      <c r="BM1148" s="11"/>
      <c r="BN1148" s="11"/>
      <c r="BO1148" s="11"/>
      <c r="BP1148" s="11"/>
      <c r="BQ1148" s="11"/>
      <c r="BR1148" s="11"/>
      <c r="BS1148" s="11"/>
      <c r="BT1148" s="11"/>
      <c r="BU1148" s="11"/>
      <c r="BV1148" s="11"/>
      <c r="BW1148" s="11"/>
      <c r="BX1148" s="11"/>
      <c r="BY1148" s="11"/>
      <c r="BZ1148" s="11"/>
      <c r="CA1148" s="11"/>
      <c r="CB1148" s="11"/>
      <c r="CC1148" s="11"/>
      <c r="CD1148" s="11"/>
      <c r="CE1148" s="11"/>
      <c r="CF1148" s="11"/>
      <c r="CG1148" s="11"/>
      <c r="CH1148" s="11"/>
      <c r="CI1148" s="11"/>
      <c r="CJ1148" s="11"/>
      <c r="CK1148" s="11"/>
      <c r="CL1148" s="11"/>
      <c r="CM1148" s="11"/>
      <c r="CN1148" s="11"/>
      <c r="CO1148" s="11"/>
      <c r="CP1148" s="11"/>
      <c r="CQ1148" s="11"/>
      <c r="CR1148" s="11"/>
      <c r="CS1148" s="11"/>
      <c r="CT1148" s="11"/>
      <c r="CU1148" s="11"/>
      <c r="CV1148" s="11"/>
      <c r="CW1148" s="11"/>
      <c r="CX1148" s="11"/>
      <c r="CY1148" s="11"/>
      <c r="CZ1148" s="11"/>
      <c r="DA1148" s="11"/>
      <c r="DB1148" s="11"/>
      <c r="DC1148" s="11"/>
      <c r="DD1148" s="11"/>
      <c r="DE1148" s="11"/>
      <c r="DF1148" s="11"/>
      <c r="DG1148" s="11"/>
      <c r="DH1148" s="11"/>
      <c r="DI1148" s="11"/>
      <c r="DJ1148" s="11"/>
      <c r="DK1148" s="11"/>
      <c r="DL1148" s="11"/>
      <c r="DM1148" s="11"/>
      <c r="DN1148" s="11"/>
      <c r="DO1148" s="11"/>
      <c r="DP1148" s="11"/>
      <c r="DQ1148" s="11"/>
      <c r="DR1148" s="11"/>
      <c r="DS1148" s="11"/>
      <c r="DT1148" s="11"/>
      <c r="DU1148" s="11"/>
      <c r="DV1148" s="11"/>
      <c r="DW1148" s="11"/>
      <c r="DX1148" s="11"/>
      <c r="DY1148" s="11"/>
      <c r="DZ1148" s="11"/>
      <c r="EA1148" s="11"/>
      <c r="EB1148" s="11"/>
      <c r="EC1148" s="11"/>
      <c r="ED1148" s="11"/>
      <c r="EE1148" s="11"/>
      <c r="EF1148" s="11"/>
      <c r="EG1148" s="11"/>
      <c r="EH1148" s="11"/>
      <c r="EI1148" s="11"/>
    </row>
    <row r="1149" spans="1:139" s="52" customFormat="1">
      <c r="A1149" s="85"/>
      <c r="B1149" s="99"/>
      <c r="C1149" s="11"/>
      <c r="K1149" s="77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  <c r="AV1149" s="11"/>
      <c r="AW1149" s="11"/>
      <c r="AX1149" s="11"/>
      <c r="AY1149" s="11"/>
      <c r="AZ1149" s="11"/>
      <c r="BA1149" s="11"/>
      <c r="BB1149" s="11"/>
      <c r="BC1149" s="11"/>
      <c r="BD1149" s="11"/>
      <c r="BE1149" s="11"/>
      <c r="BF1149" s="11"/>
      <c r="BG1149" s="11"/>
      <c r="BH1149" s="11"/>
      <c r="BI1149" s="11"/>
      <c r="BJ1149" s="11"/>
      <c r="BK1149" s="11"/>
      <c r="BL1149" s="11"/>
      <c r="BM1149" s="11"/>
      <c r="BN1149" s="11"/>
      <c r="BO1149" s="11"/>
      <c r="BP1149" s="11"/>
      <c r="BQ1149" s="11"/>
      <c r="BR1149" s="11"/>
      <c r="BS1149" s="11"/>
      <c r="BT1149" s="11"/>
      <c r="BU1149" s="11"/>
      <c r="BV1149" s="11"/>
      <c r="BW1149" s="11"/>
      <c r="BX1149" s="11"/>
      <c r="BY1149" s="11"/>
      <c r="BZ1149" s="11"/>
      <c r="CA1149" s="11"/>
      <c r="CB1149" s="11"/>
      <c r="CC1149" s="11"/>
      <c r="CD1149" s="11"/>
      <c r="CE1149" s="11"/>
      <c r="CF1149" s="11"/>
      <c r="CG1149" s="11"/>
      <c r="CH1149" s="11"/>
      <c r="CI1149" s="11"/>
      <c r="CJ1149" s="11"/>
      <c r="CK1149" s="11"/>
      <c r="CL1149" s="11"/>
      <c r="CM1149" s="11"/>
      <c r="CN1149" s="11"/>
      <c r="CO1149" s="11"/>
      <c r="CP1149" s="11"/>
      <c r="CQ1149" s="11"/>
      <c r="CR1149" s="11"/>
      <c r="CS1149" s="11"/>
      <c r="CT1149" s="11"/>
      <c r="CU1149" s="11"/>
      <c r="CV1149" s="11"/>
      <c r="CW1149" s="11"/>
      <c r="CX1149" s="11"/>
      <c r="CY1149" s="11"/>
      <c r="CZ1149" s="11"/>
      <c r="DA1149" s="11"/>
      <c r="DB1149" s="11"/>
      <c r="DC1149" s="11"/>
      <c r="DD1149" s="11"/>
      <c r="DE1149" s="11"/>
      <c r="DF1149" s="11"/>
      <c r="DG1149" s="11"/>
      <c r="DH1149" s="11"/>
      <c r="DI1149" s="11"/>
      <c r="DJ1149" s="11"/>
      <c r="DK1149" s="11"/>
      <c r="DL1149" s="11"/>
      <c r="DM1149" s="11"/>
      <c r="DN1149" s="11"/>
      <c r="DO1149" s="11"/>
      <c r="DP1149" s="11"/>
      <c r="DQ1149" s="11"/>
      <c r="DR1149" s="11"/>
      <c r="DS1149" s="11"/>
      <c r="DT1149" s="11"/>
      <c r="DU1149" s="11"/>
      <c r="DV1149" s="11"/>
      <c r="DW1149" s="11"/>
      <c r="DX1149" s="11"/>
      <c r="DY1149" s="11"/>
      <c r="DZ1149" s="11"/>
      <c r="EA1149" s="11"/>
      <c r="EB1149" s="11"/>
      <c r="EC1149" s="11"/>
      <c r="ED1149" s="11"/>
      <c r="EE1149" s="11"/>
      <c r="EF1149" s="11"/>
      <c r="EG1149" s="11"/>
      <c r="EH1149" s="11"/>
      <c r="EI1149" s="11"/>
    </row>
    <row r="1150" spans="1:139" s="52" customFormat="1">
      <c r="A1150" s="85"/>
      <c r="B1150" s="99"/>
      <c r="C1150" s="11"/>
      <c r="K1150" s="77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  <c r="AV1150" s="11"/>
      <c r="AW1150" s="11"/>
      <c r="AX1150" s="11"/>
      <c r="AY1150" s="11"/>
      <c r="AZ1150" s="11"/>
      <c r="BA1150" s="11"/>
      <c r="BB1150" s="11"/>
      <c r="BC1150" s="11"/>
      <c r="BD1150" s="11"/>
      <c r="BE1150" s="11"/>
      <c r="BF1150" s="11"/>
      <c r="BG1150" s="11"/>
      <c r="BH1150" s="11"/>
      <c r="BI1150" s="11"/>
      <c r="BJ1150" s="11"/>
      <c r="BK1150" s="11"/>
      <c r="BL1150" s="11"/>
      <c r="BM1150" s="11"/>
      <c r="BN1150" s="11"/>
      <c r="BO1150" s="11"/>
      <c r="BP1150" s="11"/>
      <c r="BQ1150" s="11"/>
      <c r="BR1150" s="11"/>
      <c r="BS1150" s="11"/>
      <c r="BT1150" s="11"/>
      <c r="BU1150" s="11"/>
      <c r="BV1150" s="11"/>
      <c r="BW1150" s="11"/>
      <c r="BX1150" s="11"/>
      <c r="BY1150" s="11"/>
      <c r="BZ1150" s="11"/>
      <c r="CA1150" s="11"/>
      <c r="CB1150" s="11"/>
      <c r="CC1150" s="11"/>
      <c r="CD1150" s="11"/>
      <c r="CE1150" s="11"/>
      <c r="CF1150" s="11"/>
      <c r="CG1150" s="11"/>
      <c r="CH1150" s="11"/>
      <c r="CI1150" s="11"/>
      <c r="CJ1150" s="11"/>
      <c r="CK1150" s="11"/>
      <c r="CL1150" s="11"/>
      <c r="CM1150" s="11"/>
      <c r="CN1150" s="11"/>
      <c r="CO1150" s="11"/>
      <c r="CP1150" s="11"/>
      <c r="CQ1150" s="11"/>
      <c r="CR1150" s="11"/>
      <c r="CS1150" s="11"/>
      <c r="CT1150" s="11"/>
      <c r="CU1150" s="11"/>
      <c r="CV1150" s="11"/>
      <c r="CW1150" s="11"/>
      <c r="CX1150" s="11"/>
      <c r="CY1150" s="11"/>
      <c r="CZ1150" s="11"/>
      <c r="DA1150" s="11"/>
      <c r="DB1150" s="11"/>
      <c r="DC1150" s="11"/>
      <c r="DD1150" s="11"/>
      <c r="DE1150" s="11"/>
      <c r="DF1150" s="11"/>
      <c r="DG1150" s="11"/>
      <c r="DH1150" s="11"/>
      <c r="DI1150" s="11"/>
      <c r="DJ1150" s="11"/>
      <c r="DK1150" s="11"/>
      <c r="DL1150" s="11"/>
      <c r="DM1150" s="11"/>
      <c r="DN1150" s="11"/>
      <c r="DO1150" s="11"/>
      <c r="DP1150" s="11"/>
      <c r="DQ1150" s="11"/>
      <c r="DR1150" s="11"/>
      <c r="DS1150" s="11"/>
      <c r="DT1150" s="11"/>
      <c r="DU1150" s="11"/>
      <c r="DV1150" s="11"/>
      <c r="DW1150" s="11"/>
      <c r="DX1150" s="11"/>
      <c r="DY1150" s="11"/>
      <c r="DZ1150" s="11"/>
      <c r="EA1150" s="11"/>
      <c r="EB1150" s="11"/>
      <c r="EC1150" s="11"/>
      <c r="ED1150" s="11"/>
      <c r="EE1150" s="11"/>
      <c r="EF1150" s="11"/>
      <c r="EG1150" s="11"/>
      <c r="EH1150" s="11"/>
      <c r="EI1150" s="11"/>
    </row>
    <row r="1151" spans="1:139" s="52" customFormat="1">
      <c r="A1151" s="85"/>
      <c r="B1151" s="99"/>
      <c r="C1151" s="11"/>
      <c r="K1151" s="77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1"/>
      <c r="AY1151" s="11"/>
      <c r="AZ1151" s="11"/>
      <c r="BA1151" s="11"/>
      <c r="BB1151" s="11"/>
      <c r="BC1151" s="11"/>
      <c r="BD1151" s="11"/>
      <c r="BE1151" s="11"/>
      <c r="BF1151" s="11"/>
      <c r="BG1151" s="11"/>
      <c r="BH1151" s="11"/>
      <c r="BI1151" s="11"/>
      <c r="BJ1151" s="11"/>
      <c r="BK1151" s="11"/>
      <c r="BL1151" s="11"/>
      <c r="BM1151" s="11"/>
      <c r="BN1151" s="11"/>
      <c r="BO1151" s="11"/>
      <c r="BP1151" s="11"/>
      <c r="BQ1151" s="11"/>
      <c r="BR1151" s="11"/>
      <c r="BS1151" s="11"/>
      <c r="BT1151" s="11"/>
      <c r="BU1151" s="11"/>
      <c r="BV1151" s="11"/>
      <c r="BW1151" s="11"/>
      <c r="BX1151" s="11"/>
      <c r="BY1151" s="11"/>
      <c r="BZ1151" s="11"/>
      <c r="CA1151" s="11"/>
      <c r="CB1151" s="11"/>
      <c r="CC1151" s="11"/>
      <c r="CD1151" s="11"/>
      <c r="CE1151" s="11"/>
      <c r="CF1151" s="11"/>
      <c r="CG1151" s="11"/>
      <c r="CH1151" s="11"/>
      <c r="CI1151" s="11"/>
      <c r="CJ1151" s="11"/>
      <c r="CK1151" s="11"/>
      <c r="CL1151" s="11"/>
      <c r="CM1151" s="11"/>
      <c r="CN1151" s="11"/>
      <c r="CO1151" s="11"/>
      <c r="CP1151" s="11"/>
      <c r="CQ1151" s="11"/>
      <c r="CR1151" s="11"/>
      <c r="CS1151" s="11"/>
      <c r="CT1151" s="11"/>
      <c r="CU1151" s="11"/>
      <c r="CV1151" s="11"/>
      <c r="CW1151" s="11"/>
      <c r="CX1151" s="11"/>
      <c r="CY1151" s="11"/>
      <c r="CZ1151" s="11"/>
      <c r="DA1151" s="11"/>
      <c r="DB1151" s="11"/>
      <c r="DC1151" s="11"/>
      <c r="DD1151" s="11"/>
      <c r="DE1151" s="11"/>
      <c r="DF1151" s="11"/>
      <c r="DG1151" s="11"/>
      <c r="DH1151" s="11"/>
      <c r="DI1151" s="11"/>
      <c r="DJ1151" s="11"/>
      <c r="DK1151" s="11"/>
      <c r="DL1151" s="11"/>
      <c r="DM1151" s="11"/>
      <c r="DN1151" s="11"/>
      <c r="DO1151" s="11"/>
      <c r="DP1151" s="11"/>
      <c r="DQ1151" s="11"/>
      <c r="DR1151" s="11"/>
      <c r="DS1151" s="11"/>
      <c r="DT1151" s="11"/>
      <c r="DU1151" s="11"/>
      <c r="DV1151" s="11"/>
      <c r="DW1151" s="11"/>
      <c r="DX1151" s="11"/>
      <c r="DY1151" s="11"/>
      <c r="DZ1151" s="11"/>
      <c r="EA1151" s="11"/>
      <c r="EB1151" s="11"/>
      <c r="EC1151" s="11"/>
      <c r="ED1151" s="11"/>
      <c r="EE1151" s="11"/>
      <c r="EF1151" s="11"/>
      <c r="EG1151" s="11"/>
      <c r="EH1151" s="11"/>
      <c r="EI1151" s="11"/>
    </row>
    <row r="1152" spans="1:139" s="52" customFormat="1">
      <c r="A1152" s="85"/>
      <c r="B1152" s="99"/>
      <c r="C1152" s="11"/>
      <c r="K1152" s="77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  <c r="AV1152" s="11"/>
      <c r="AW1152" s="11"/>
      <c r="AX1152" s="11"/>
      <c r="AY1152" s="11"/>
      <c r="AZ1152" s="11"/>
      <c r="BA1152" s="11"/>
      <c r="BB1152" s="11"/>
      <c r="BC1152" s="11"/>
      <c r="BD1152" s="11"/>
      <c r="BE1152" s="11"/>
      <c r="BF1152" s="11"/>
      <c r="BG1152" s="11"/>
      <c r="BH1152" s="11"/>
      <c r="BI1152" s="11"/>
      <c r="BJ1152" s="11"/>
      <c r="BK1152" s="11"/>
      <c r="BL1152" s="11"/>
      <c r="BM1152" s="11"/>
      <c r="BN1152" s="11"/>
      <c r="BO1152" s="11"/>
      <c r="BP1152" s="11"/>
      <c r="BQ1152" s="11"/>
      <c r="BR1152" s="11"/>
      <c r="BS1152" s="11"/>
      <c r="BT1152" s="11"/>
      <c r="BU1152" s="11"/>
      <c r="BV1152" s="11"/>
      <c r="BW1152" s="11"/>
      <c r="BX1152" s="11"/>
      <c r="BY1152" s="11"/>
      <c r="BZ1152" s="11"/>
      <c r="CA1152" s="11"/>
      <c r="CB1152" s="11"/>
      <c r="CC1152" s="11"/>
      <c r="CD1152" s="11"/>
      <c r="CE1152" s="11"/>
      <c r="CF1152" s="11"/>
      <c r="CG1152" s="11"/>
      <c r="CH1152" s="11"/>
      <c r="CI1152" s="11"/>
      <c r="CJ1152" s="11"/>
      <c r="CK1152" s="11"/>
      <c r="CL1152" s="11"/>
      <c r="CM1152" s="11"/>
      <c r="CN1152" s="11"/>
      <c r="CO1152" s="11"/>
      <c r="CP1152" s="11"/>
      <c r="CQ1152" s="11"/>
      <c r="CR1152" s="11"/>
      <c r="CS1152" s="11"/>
      <c r="CT1152" s="11"/>
      <c r="CU1152" s="11"/>
      <c r="CV1152" s="11"/>
      <c r="CW1152" s="11"/>
      <c r="CX1152" s="11"/>
      <c r="CY1152" s="11"/>
      <c r="CZ1152" s="11"/>
      <c r="DA1152" s="11"/>
      <c r="DB1152" s="11"/>
      <c r="DC1152" s="11"/>
      <c r="DD1152" s="11"/>
      <c r="DE1152" s="11"/>
      <c r="DF1152" s="11"/>
      <c r="DG1152" s="11"/>
      <c r="DH1152" s="11"/>
      <c r="DI1152" s="11"/>
      <c r="DJ1152" s="11"/>
      <c r="DK1152" s="11"/>
      <c r="DL1152" s="11"/>
      <c r="DM1152" s="11"/>
      <c r="DN1152" s="11"/>
      <c r="DO1152" s="11"/>
      <c r="DP1152" s="11"/>
      <c r="DQ1152" s="11"/>
      <c r="DR1152" s="11"/>
      <c r="DS1152" s="11"/>
      <c r="DT1152" s="11"/>
      <c r="DU1152" s="11"/>
      <c r="DV1152" s="11"/>
      <c r="DW1152" s="11"/>
      <c r="DX1152" s="11"/>
      <c r="DY1152" s="11"/>
      <c r="DZ1152" s="11"/>
      <c r="EA1152" s="11"/>
      <c r="EB1152" s="11"/>
      <c r="EC1152" s="11"/>
      <c r="ED1152" s="11"/>
      <c r="EE1152" s="11"/>
      <c r="EF1152" s="11"/>
      <c r="EG1152" s="11"/>
      <c r="EH1152" s="11"/>
      <c r="EI1152" s="11"/>
    </row>
    <row r="1153" spans="1:139" s="52" customFormat="1">
      <c r="A1153" s="85"/>
      <c r="B1153" s="99"/>
      <c r="C1153" s="11"/>
      <c r="K1153" s="77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  <c r="AV1153" s="11"/>
      <c r="AW1153" s="11"/>
      <c r="AX1153" s="11"/>
      <c r="AY1153" s="11"/>
      <c r="AZ1153" s="11"/>
      <c r="BA1153" s="11"/>
      <c r="BB1153" s="11"/>
      <c r="BC1153" s="11"/>
      <c r="BD1153" s="11"/>
      <c r="BE1153" s="11"/>
      <c r="BF1153" s="11"/>
      <c r="BG1153" s="11"/>
      <c r="BH1153" s="11"/>
      <c r="BI1153" s="11"/>
      <c r="BJ1153" s="11"/>
      <c r="BK1153" s="11"/>
      <c r="BL1153" s="11"/>
      <c r="BM1153" s="11"/>
      <c r="BN1153" s="11"/>
      <c r="BO1153" s="11"/>
      <c r="BP1153" s="11"/>
      <c r="BQ1153" s="11"/>
      <c r="BR1153" s="11"/>
      <c r="BS1153" s="11"/>
      <c r="BT1153" s="11"/>
      <c r="BU1153" s="11"/>
      <c r="BV1153" s="11"/>
      <c r="BW1153" s="11"/>
      <c r="BX1153" s="11"/>
      <c r="BY1153" s="11"/>
      <c r="BZ1153" s="11"/>
      <c r="CA1153" s="11"/>
      <c r="CB1153" s="11"/>
      <c r="CC1153" s="11"/>
      <c r="CD1153" s="11"/>
      <c r="CE1153" s="11"/>
      <c r="CF1153" s="11"/>
      <c r="CG1153" s="11"/>
      <c r="CH1153" s="11"/>
      <c r="CI1153" s="11"/>
      <c r="CJ1153" s="11"/>
      <c r="CK1153" s="11"/>
      <c r="CL1153" s="11"/>
      <c r="CM1153" s="11"/>
      <c r="CN1153" s="11"/>
      <c r="CO1153" s="11"/>
      <c r="CP1153" s="11"/>
      <c r="CQ1153" s="11"/>
      <c r="CR1153" s="11"/>
      <c r="CS1153" s="11"/>
      <c r="CT1153" s="11"/>
      <c r="CU1153" s="11"/>
      <c r="CV1153" s="11"/>
      <c r="CW1153" s="11"/>
      <c r="CX1153" s="11"/>
      <c r="CY1153" s="11"/>
      <c r="CZ1153" s="11"/>
      <c r="DA1153" s="11"/>
      <c r="DB1153" s="11"/>
      <c r="DC1153" s="11"/>
      <c r="DD1153" s="11"/>
      <c r="DE1153" s="11"/>
      <c r="DF1153" s="11"/>
      <c r="DG1153" s="11"/>
      <c r="DH1153" s="11"/>
      <c r="DI1153" s="11"/>
      <c r="DJ1153" s="11"/>
      <c r="DK1153" s="11"/>
      <c r="DL1153" s="11"/>
      <c r="DM1153" s="11"/>
      <c r="DN1153" s="11"/>
      <c r="DO1153" s="11"/>
      <c r="DP1153" s="11"/>
      <c r="DQ1153" s="11"/>
      <c r="DR1153" s="11"/>
      <c r="DS1153" s="11"/>
      <c r="DT1153" s="11"/>
      <c r="DU1153" s="11"/>
      <c r="DV1153" s="11"/>
      <c r="DW1153" s="11"/>
      <c r="DX1153" s="11"/>
      <c r="DY1153" s="11"/>
      <c r="DZ1153" s="11"/>
      <c r="EA1153" s="11"/>
      <c r="EB1153" s="11"/>
      <c r="EC1153" s="11"/>
      <c r="ED1153" s="11"/>
      <c r="EE1153" s="11"/>
      <c r="EF1153" s="11"/>
      <c r="EG1153" s="11"/>
      <c r="EH1153" s="11"/>
      <c r="EI1153" s="11"/>
    </row>
    <row r="1154" spans="1:139" s="52" customFormat="1">
      <c r="A1154" s="85"/>
      <c r="B1154" s="99"/>
      <c r="C1154" s="11"/>
      <c r="K1154" s="77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1"/>
      <c r="AY1154" s="11"/>
      <c r="AZ1154" s="11"/>
      <c r="BA1154" s="11"/>
      <c r="BB1154" s="11"/>
      <c r="BC1154" s="11"/>
      <c r="BD1154" s="11"/>
      <c r="BE1154" s="11"/>
      <c r="BF1154" s="11"/>
      <c r="BG1154" s="11"/>
      <c r="BH1154" s="11"/>
      <c r="BI1154" s="11"/>
      <c r="BJ1154" s="11"/>
      <c r="BK1154" s="11"/>
      <c r="BL1154" s="11"/>
      <c r="BM1154" s="11"/>
      <c r="BN1154" s="11"/>
      <c r="BO1154" s="11"/>
      <c r="BP1154" s="11"/>
      <c r="BQ1154" s="11"/>
      <c r="BR1154" s="11"/>
      <c r="BS1154" s="11"/>
      <c r="BT1154" s="11"/>
      <c r="BU1154" s="11"/>
      <c r="BV1154" s="11"/>
      <c r="BW1154" s="11"/>
      <c r="BX1154" s="11"/>
      <c r="BY1154" s="11"/>
      <c r="BZ1154" s="11"/>
      <c r="CA1154" s="11"/>
      <c r="CB1154" s="11"/>
      <c r="CC1154" s="11"/>
      <c r="CD1154" s="11"/>
      <c r="CE1154" s="11"/>
      <c r="CF1154" s="11"/>
      <c r="CG1154" s="11"/>
      <c r="CH1154" s="11"/>
      <c r="CI1154" s="11"/>
      <c r="CJ1154" s="11"/>
      <c r="CK1154" s="11"/>
      <c r="CL1154" s="11"/>
      <c r="CM1154" s="11"/>
      <c r="CN1154" s="11"/>
      <c r="CO1154" s="11"/>
      <c r="CP1154" s="11"/>
      <c r="CQ1154" s="11"/>
      <c r="CR1154" s="11"/>
      <c r="CS1154" s="11"/>
      <c r="CT1154" s="11"/>
      <c r="CU1154" s="11"/>
      <c r="CV1154" s="11"/>
      <c r="CW1154" s="11"/>
      <c r="CX1154" s="11"/>
      <c r="CY1154" s="11"/>
      <c r="CZ1154" s="11"/>
      <c r="DA1154" s="11"/>
      <c r="DB1154" s="11"/>
      <c r="DC1154" s="11"/>
      <c r="DD1154" s="11"/>
      <c r="DE1154" s="11"/>
      <c r="DF1154" s="11"/>
      <c r="DG1154" s="11"/>
      <c r="DH1154" s="11"/>
      <c r="DI1154" s="11"/>
      <c r="DJ1154" s="11"/>
      <c r="DK1154" s="11"/>
      <c r="DL1154" s="11"/>
      <c r="DM1154" s="11"/>
      <c r="DN1154" s="11"/>
      <c r="DO1154" s="11"/>
      <c r="DP1154" s="11"/>
      <c r="DQ1154" s="11"/>
      <c r="DR1154" s="11"/>
      <c r="DS1154" s="11"/>
      <c r="DT1154" s="11"/>
      <c r="DU1154" s="11"/>
      <c r="DV1154" s="11"/>
      <c r="DW1154" s="11"/>
      <c r="DX1154" s="11"/>
      <c r="DY1154" s="11"/>
      <c r="DZ1154" s="11"/>
      <c r="EA1154" s="11"/>
      <c r="EB1154" s="11"/>
      <c r="EC1154" s="11"/>
      <c r="ED1154" s="11"/>
      <c r="EE1154" s="11"/>
      <c r="EF1154" s="11"/>
      <c r="EG1154" s="11"/>
      <c r="EH1154" s="11"/>
      <c r="EI1154" s="11"/>
    </row>
    <row r="1155" spans="1:139" s="52" customFormat="1">
      <c r="A1155" s="85"/>
      <c r="B1155" s="99"/>
      <c r="C1155" s="11"/>
      <c r="K1155" s="77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  <c r="AV1155" s="11"/>
      <c r="AW1155" s="11"/>
      <c r="AX1155" s="11"/>
      <c r="AY1155" s="11"/>
      <c r="AZ1155" s="11"/>
      <c r="BA1155" s="11"/>
      <c r="BB1155" s="11"/>
      <c r="BC1155" s="11"/>
      <c r="BD1155" s="11"/>
      <c r="BE1155" s="11"/>
      <c r="BF1155" s="11"/>
      <c r="BG1155" s="11"/>
      <c r="BH1155" s="11"/>
      <c r="BI1155" s="11"/>
      <c r="BJ1155" s="11"/>
      <c r="BK1155" s="11"/>
      <c r="BL1155" s="11"/>
      <c r="BM1155" s="11"/>
      <c r="BN1155" s="11"/>
      <c r="BO1155" s="11"/>
      <c r="BP1155" s="11"/>
      <c r="BQ1155" s="11"/>
      <c r="BR1155" s="11"/>
      <c r="BS1155" s="11"/>
      <c r="BT1155" s="11"/>
      <c r="BU1155" s="11"/>
      <c r="BV1155" s="11"/>
      <c r="BW1155" s="11"/>
      <c r="BX1155" s="11"/>
      <c r="BY1155" s="11"/>
      <c r="BZ1155" s="11"/>
      <c r="CA1155" s="11"/>
      <c r="CB1155" s="11"/>
      <c r="CC1155" s="11"/>
      <c r="CD1155" s="11"/>
      <c r="CE1155" s="11"/>
      <c r="CF1155" s="11"/>
      <c r="CG1155" s="11"/>
      <c r="CH1155" s="11"/>
      <c r="CI1155" s="11"/>
      <c r="CJ1155" s="11"/>
      <c r="CK1155" s="11"/>
      <c r="CL1155" s="11"/>
      <c r="CM1155" s="11"/>
      <c r="CN1155" s="11"/>
      <c r="CO1155" s="11"/>
      <c r="CP1155" s="11"/>
      <c r="CQ1155" s="11"/>
      <c r="CR1155" s="11"/>
      <c r="CS1155" s="11"/>
      <c r="CT1155" s="11"/>
      <c r="CU1155" s="11"/>
      <c r="CV1155" s="11"/>
      <c r="CW1155" s="11"/>
      <c r="CX1155" s="11"/>
      <c r="CY1155" s="11"/>
      <c r="CZ1155" s="11"/>
      <c r="DA1155" s="11"/>
      <c r="DB1155" s="11"/>
      <c r="DC1155" s="11"/>
      <c r="DD1155" s="11"/>
      <c r="DE1155" s="11"/>
      <c r="DF1155" s="11"/>
      <c r="DG1155" s="11"/>
      <c r="DH1155" s="11"/>
      <c r="DI1155" s="11"/>
      <c r="DJ1155" s="11"/>
      <c r="DK1155" s="11"/>
      <c r="DL1155" s="11"/>
      <c r="DM1155" s="11"/>
      <c r="DN1155" s="11"/>
      <c r="DO1155" s="11"/>
      <c r="DP1155" s="11"/>
      <c r="DQ1155" s="11"/>
      <c r="DR1155" s="11"/>
      <c r="DS1155" s="11"/>
      <c r="DT1155" s="11"/>
      <c r="DU1155" s="11"/>
      <c r="DV1155" s="11"/>
      <c r="DW1155" s="11"/>
      <c r="DX1155" s="11"/>
      <c r="DY1155" s="11"/>
      <c r="DZ1155" s="11"/>
      <c r="EA1155" s="11"/>
      <c r="EB1155" s="11"/>
      <c r="EC1155" s="11"/>
      <c r="ED1155" s="11"/>
      <c r="EE1155" s="11"/>
      <c r="EF1155" s="11"/>
      <c r="EG1155" s="11"/>
      <c r="EH1155" s="11"/>
      <c r="EI1155" s="11"/>
    </row>
    <row r="1156" spans="1:139" s="52" customFormat="1">
      <c r="A1156" s="85"/>
      <c r="B1156" s="99"/>
      <c r="C1156" s="11"/>
      <c r="K1156" s="77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  <c r="AV1156" s="11"/>
      <c r="AW1156" s="11"/>
      <c r="AX1156" s="11"/>
      <c r="AY1156" s="11"/>
      <c r="AZ1156" s="11"/>
      <c r="BA1156" s="11"/>
      <c r="BB1156" s="11"/>
      <c r="BC1156" s="11"/>
      <c r="BD1156" s="11"/>
      <c r="BE1156" s="11"/>
      <c r="BF1156" s="11"/>
      <c r="BG1156" s="11"/>
      <c r="BH1156" s="11"/>
      <c r="BI1156" s="11"/>
      <c r="BJ1156" s="11"/>
      <c r="BK1156" s="11"/>
      <c r="BL1156" s="11"/>
      <c r="BM1156" s="11"/>
      <c r="BN1156" s="11"/>
      <c r="BO1156" s="11"/>
      <c r="BP1156" s="11"/>
      <c r="BQ1156" s="11"/>
      <c r="BR1156" s="11"/>
      <c r="BS1156" s="11"/>
      <c r="BT1156" s="11"/>
      <c r="BU1156" s="11"/>
      <c r="BV1156" s="11"/>
      <c r="BW1156" s="11"/>
      <c r="BX1156" s="11"/>
      <c r="BY1156" s="11"/>
      <c r="BZ1156" s="11"/>
      <c r="CA1156" s="11"/>
      <c r="CB1156" s="11"/>
      <c r="CC1156" s="11"/>
      <c r="CD1156" s="11"/>
      <c r="CE1156" s="11"/>
      <c r="CF1156" s="11"/>
      <c r="CG1156" s="11"/>
      <c r="CH1156" s="11"/>
      <c r="CI1156" s="11"/>
      <c r="CJ1156" s="11"/>
      <c r="CK1156" s="11"/>
      <c r="CL1156" s="11"/>
      <c r="CM1156" s="11"/>
      <c r="CN1156" s="11"/>
      <c r="CO1156" s="11"/>
      <c r="CP1156" s="11"/>
      <c r="CQ1156" s="11"/>
      <c r="CR1156" s="11"/>
      <c r="CS1156" s="11"/>
      <c r="CT1156" s="11"/>
      <c r="CU1156" s="11"/>
      <c r="CV1156" s="11"/>
      <c r="CW1156" s="11"/>
      <c r="CX1156" s="11"/>
      <c r="CY1156" s="11"/>
      <c r="CZ1156" s="11"/>
      <c r="DA1156" s="11"/>
      <c r="DB1156" s="11"/>
      <c r="DC1156" s="11"/>
      <c r="DD1156" s="11"/>
      <c r="DE1156" s="11"/>
      <c r="DF1156" s="11"/>
      <c r="DG1156" s="11"/>
      <c r="DH1156" s="11"/>
      <c r="DI1156" s="11"/>
      <c r="DJ1156" s="11"/>
      <c r="DK1156" s="11"/>
      <c r="DL1156" s="11"/>
      <c r="DM1156" s="11"/>
      <c r="DN1156" s="11"/>
      <c r="DO1156" s="11"/>
      <c r="DP1156" s="11"/>
      <c r="DQ1156" s="11"/>
      <c r="DR1156" s="11"/>
      <c r="DS1156" s="11"/>
      <c r="DT1156" s="11"/>
      <c r="DU1156" s="11"/>
      <c r="DV1156" s="11"/>
      <c r="DW1156" s="11"/>
      <c r="DX1156" s="11"/>
      <c r="DY1156" s="11"/>
      <c r="DZ1156" s="11"/>
      <c r="EA1156" s="11"/>
      <c r="EB1156" s="11"/>
      <c r="EC1156" s="11"/>
      <c r="ED1156" s="11"/>
      <c r="EE1156" s="11"/>
      <c r="EF1156" s="11"/>
      <c r="EG1156" s="11"/>
      <c r="EH1156" s="11"/>
      <c r="EI1156" s="11"/>
    </row>
    <row r="1157" spans="1:139" s="52" customFormat="1">
      <c r="A1157" s="85"/>
      <c r="B1157" s="99"/>
      <c r="C1157" s="11"/>
      <c r="K1157" s="77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  <c r="AW1157" s="11"/>
      <c r="AX1157" s="11"/>
      <c r="AY1157" s="11"/>
      <c r="AZ1157" s="11"/>
      <c r="BA1157" s="11"/>
      <c r="BB1157" s="11"/>
      <c r="BC1157" s="11"/>
      <c r="BD1157" s="11"/>
      <c r="BE1157" s="11"/>
      <c r="BF1157" s="11"/>
      <c r="BG1157" s="11"/>
      <c r="BH1157" s="11"/>
      <c r="BI1157" s="11"/>
      <c r="BJ1157" s="11"/>
      <c r="BK1157" s="11"/>
      <c r="BL1157" s="11"/>
      <c r="BM1157" s="11"/>
      <c r="BN1157" s="11"/>
      <c r="BO1157" s="11"/>
      <c r="BP1157" s="11"/>
      <c r="BQ1157" s="11"/>
      <c r="BR1157" s="11"/>
      <c r="BS1157" s="11"/>
      <c r="BT1157" s="11"/>
      <c r="BU1157" s="11"/>
      <c r="BV1157" s="11"/>
      <c r="BW1157" s="11"/>
      <c r="BX1157" s="11"/>
      <c r="BY1157" s="11"/>
      <c r="BZ1157" s="11"/>
      <c r="CA1157" s="11"/>
      <c r="CB1157" s="11"/>
      <c r="CC1157" s="11"/>
      <c r="CD1157" s="11"/>
      <c r="CE1157" s="11"/>
      <c r="CF1157" s="11"/>
      <c r="CG1157" s="11"/>
      <c r="CH1157" s="11"/>
      <c r="CI1157" s="11"/>
      <c r="CJ1157" s="11"/>
      <c r="CK1157" s="11"/>
      <c r="CL1157" s="11"/>
      <c r="CM1157" s="11"/>
      <c r="CN1157" s="11"/>
      <c r="CO1157" s="11"/>
      <c r="CP1157" s="11"/>
      <c r="CQ1157" s="11"/>
      <c r="CR1157" s="11"/>
      <c r="CS1157" s="11"/>
      <c r="CT1157" s="11"/>
      <c r="CU1157" s="11"/>
      <c r="CV1157" s="11"/>
      <c r="CW1157" s="11"/>
      <c r="CX1157" s="11"/>
      <c r="CY1157" s="11"/>
      <c r="CZ1157" s="11"/>
      <c r="DA1157" s="11"/>
      <c r="DB1157" s="11"/>
      <c r="DC1157" s="11"/>
      <c r="DD1157" s="11"/>
      <c r="DE1157" s="11"/>
      <c r="DF1157" s="11"/>
      <c r="DG1157" s="11"/>
      <c r="DH1157" s="11"/>
      <c r="DI1157" s="11"/>
      <c r="DJ1157" s="11"/>
      <c r="DK1157" s="11"/>
      <c r="DL1157" s="11"/>
      <c r="DM1157" s="11"/>
      <c r="DN1157" s="11"/>
      <c r="DO1157" s="11"/>
      <c r="DP1157" s="11"/>
      <c r="DQ1157" s="11"/>
      <c r="DR1157" s="11"/>
      <c r="DS1157" s="11"/>
      <c r="DT1157" s="11"/>
      <c r="DU1157" s="11"/>
      <c r="DV1157" s="11"/>
      <c r="DW1157" s="11"/>
      <c r="DX1157" s="11"/>
      <c r="DY1157" s="11"/>
      <c r="DZ1157" s="11"/>
      <c r="EA1157" s="11"/>
      <c r="EB1157" s="11"/>
      <c r="EC1157" s="11"/>
      <c r="ED1157" s="11"/>
      <c r="EE1157" s="11"/>
      <c r="EF1157" s="11"/>
      <c r="EG1157" s="11"/>
      <c r="EH1157" s="11"/>
      <c r="EI1157" s="11"/>
    </row>
    <row r="1158" spans="1:139" s="52" customFormat="1">
      <c r="A1158" s="85"/>
      <c r="B1158" s="99"/>
      <c r="C1158" s="11"/>
      <c r="K1158" s="77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11"/>
      <c r="AW1158" s="11"/>
      <c r="AX1158" s="11"/>
      <c r="AY1158" s="11"/>
      <c r="AZ1158" s="11"/>
      <c r="BA1158" s="11"/>
      <c r="BB1158" s="11"/>
      <c r="BC1158" s="11"/>
      <c r="BD1158" s="11"/>
      <c r="BE1158" s="11"/>
      <c r="BF1158" s="11"/>
      <c r="BG1158" s="11"/>
      <c r="BH1158" s="11"/>
      <c r="BI1158" s="11"/>
      <c r="BJ1158" s="11"/>
      <c r="BK1158" s="11"/>
      <c r="BL1158" s="11"/>
      <c r="BM1158" s="11"/>
      <c r="BN1158" s="11"/>
      <c r="BO1158" s="11"/>
      <c r="BP1158" s="11"/>
      <c r="BQ1158" s="11"/>
      <c r="BR1158" s="11"/>
      <c r="BS1158" s="11"/>
      <c r="BT1158" s="11"/>
      <c r="BU1158" s="11"/>
      <c r="BV1158" s="11"/>
      <c r="BW1158" s="11"/>
      <c r="BX1158" s="11"/>
      <c r="BY1158" s="11"/>
      <c r="BZ1158" s="11"/>
      <c r="CA1158" s="11"/>
      <c r="CB1158" s="11"/>
      <c r="CC1158" s="11"/>
      <c r="CD1158" s="11"/>
      <c r="CE1158" s="11"/>
      <c r="CF1158" s="11"/>
      <c r="CG1158" s="11"/>
      <c r="CH1158" s="11"/>
      <c r="CI1158" s="11"/>
      <c r="CJ1158" s="11"/>
      <c r="CK1158" s="11"/>
      <c r="CL1158" s="11"/>
      <c r="CM1158" s="11"/>
      <c r="CN1158" s="11"/>
      <c r="CO1158" s="11"/>
      <c r="CP1158" s="11"/>
      <c r="CQ1158" s="11"/>
      <c r="CR1158" s="11"/>
      <c r="CS1158" s="11"/>
      <c r="CT1158" s="11"/>
      <c r="CU1158" s="11"/>
      <c r="CV1158" s="11"/>
      <c r="CW1158" s="11"/>
      <c r="CX1158" s="11"/>
      <c r="CY1158" s="11"/>
      <c r="CZ1158" s="11"/>
      <c r="DA1158" s="11"/>
      <c r="DB1158" s="11"/>
      <c r="DC1158" s="11"/>
      <c r="DD1158" s="11"/>
      <c r="DE1158" s="11"/>
      <c r="DF1158" s="11"/>
      <c r="DG1158" s="11"/>
      <c r="DH1158" s="11"/>
      <c r="DI1158" s="11"/>
      <c r="DJ1158" s="11"/>
      <c r="DK1158" s="11"/>
      <c r="DL1158" s="11"/>
      <c r="DM1158" s="11"/>
      <c r="DN1158" s="11"/>
      <c r="DO1158" s="11"/>
      <c r="DP1158" s="11"/>
      <c r="DQ1158" s="11"/>
      <c r="DR1158" s="11"/>
      <c r="DS1158" s="11"/>
      <c r="DT1158" s="11"/>
      <c r="DU1158" s="11"/>
      <c r="DV1158" s="11"/>
      <c r="DW1158" s="11"/>
      <c r="DX1158" s="11"/>
      <c r="DY1158" s="11"/>
      <c r="DZ1158" s="11"/>
      <c r="EA1158" s="11"/>
      <c r="EB1158" s="11"/>
      <c r="EC1158" s="11"/>
      <c r="ED1158" s="11"/>
      <c r="EE1158" s="11"/>
      <c r="EF1158" s="11"/>
      <c r="EG1158" s="11"/>
      <c r="EH1158" s="11"/>
      <c r="EI1158" s="11"/>
    </row>
    <row r="1159" spans="1:139" s="52" customFormat="1">
      <c r="A1159" s="85"/>
      <c r="B1159" s="99"/>
      <c r="C1159" s="11"/>
      <c r="K1159" s="77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  <c r="AV1159" s="11"/>
      <c r="AW1159" s="11"/>
      <c r="AX1159" s="11"/>
      <c r="AY1159" s="11"/>
      <c r="AZ1159" s="11"/>
      <c r="BA1159" s="11"/>
      <c r="BB1159" s="11"/>
      <c r="BC1159" s="11"/>
      <c r="BD1159" s="11"/>
      <c r="BE1159" s="11"/>
      <c r="BF1159" s="11"/>
      <c r="BG1159" s="11"/>
      <c r="BH1159" s="11"/>
      <c r="BI1159" s="11"/>
      <c r="BJ1159" s="11"/>
      <c r="BK1159" s="11"/>
      <c r="BL1159" s="11"/>
      <c r="BM1159" s="11"/>
      <c r="BN1159" s="11"/>
      <c r="BO1159" s="11"/>
      <c r="BP1159" s="11"/>
      <c r="BQ1159" s="11"/>
      <c r="BR1159" s="11"/>
      <c r="BS1159" s="11"/>
      <c r="BT1159" s="11"/>
      <c r="BU1159" s="11"/>
      <c r="BV1159" s="11"/>
      <c r="BW1159" s="11"/>
      <c r="BX1159" s="11"/>
      <c r="BY1159" s="11"/>
      <c r="BZ1159" s="11"/>
      <c r="CA1159" s="11"/>
      <c r="CB1159" s="11"/>
      <c r="CC1159" s="11"/>
      <c r="CD1159" s="11"/>
      <c r="CE1159" s="11"/>
      <c r="CF1159" s="11"/>
      <c r="CG1159" s="11"/>
      <c r="CH1159" s="11"/>
      <c r="CI1159" s="11"/>
      <c r="CJ1159" s="11"/>
      <c r="CK1159" s="11"/>
      <c r="CL1159" s="11"/>
      <c r="CM1159" s="11"/>
      <c r="CN1159" s="11"/>
      <c r="CO1159" s="11"/>
      <c r="CP1159" s="11"/>
      <c r="CQ1159" s="11"/>
      <c r="CR1159" s="11"/>
      <c r="CS1159" s="11"/>
      <c r="CT1159" s="11"/>
      <c r="CU1159" s="11"/>
      <c r="CV1159" s="11"/>
      <c r="CW1159" s="11"/>
      <c r="CX1159" s="11"/>
      <c r="CY1159" s="11"/>
      <c r="CZ1159" s="11"/>
      <c r="DA1159" s="11"/>
      <c r="DB1159" s="11"/>
      <c r="DC1159" s="11"/>
      <c r="DD1159" s="11"/>
      <c r="DE1159" s="11"/>
      <c r="DF1159" s="11"/>
      <c r="DG1159" s="11"/>
      <c r="DH1159" s="11"/>
      <c r="DI1159" s="11"/>
      <c r="DJ1159" s="11"/>
      <c r="DK1159" s="11"/>
      <c r="DL1159" s="11"/>
      <c r="DM1159" s="11"/>
      <c r="DN1159" s="11"/>
      <c r="DO1159" s="11"/>
      <c r="DP1159" s="11"/>
      <c r="DQ1159" s="11"/>
      <c r="DR1159" s="11"/>
      <c r="DS1159" s="11"/>
      <c r="DT1159" s="11"/>
      <c r="DU1159" s="11"/>
      <c r="DV1159" s="11"/>
      <c r="DW1159" s="11"/>
      <c r="DX1159" s="11"/>
      <c r="DY1159" s="11"/>
      <c r="DZ1159" s="11"/>
      <c r="EA1159" s="11"/>
      <c r="EB1159" s="11"/>
      <c r="EC1159" s="11"/>
      <c r="ED1159" s="11"/>
      <c r="EE1159" s="11"/>
      <c r="EF1159" s="11"/>
      <c r="EG1159" s="11"/>
      <c r="EH1159" s="11"/>
      <c r="EI1159" s="11"/>
    </row>
    <row r="1160" spans="1:139" s="52" customFormat="1">
      <c r="A1160" s="85"/>
      <c r="B1160" s="99"/>
      <c r="C1160" s="11"/>
      <c r="K1160" s="77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1"/>
      <c r="AY1160" s="11"/>
      <c r="AZ1160" s="11"/>
      <c r="BA1160" s="11"/>
      <c r="BB1160" s="11"/>
      <c r="BC1160" s="11"/>
      <c r="BD1160" s="11"/>
      <c r="BE1160" s="11"/>
      <c r="BF1160" s="11"/>
      <c r="BG1160" s="11"/>
      <c r="BH1160" s="11"/>
      <c r="BI1160" s="11"/>
      <c r="BJ1160" s="11"/>
      <c r="BK1160" s="11"/>
      <c r="BL1160" s="11"/>
      <c r="BM1160" s="11"/>
      <c r="BN1160" s="11"/>
      <c r="BO1160" s="11"/>
      <c r="BP1160" s="11"/>
      <c r="BQ1160" s="11"/>
      <c r="BR1160" s="11"/>
      <c r="BS1160" s="11"/>
      <c r="BT1160" s="11"/>
      <c r="BU1160" s="11"/>
      <c r="BV1160" s="11"/>
      <c r="BW1160" s="11"/>
      <c r="BX1160" s="11"/>
      <c r="BY1160" s="11"/>
      <c r="BZ1160" s="11"/>
      <c r="CA1160" s="11"/>
      <c r="CB1160" s="11"/>
      <c r="CC1160" s="11"/>
      <c r="CD1160" s="11"/>
      <c r="CE1160" s="11"/>
      <c r="CF1160" s="11"/>
      <c r="CG1160" s="11"/>
      <c r="CH1160" s="11"/>
      <c r="CI1160" s="11"/>
      <c r="CJ1160" s="11"/>
      <c r="CK1160" s="11"/>
      <c r="CL1160" s="11"/>
      <c r="CM1160" s="11"/>
      <c r="CN1160" s="11"/>
      <c r="CO1160" s="11"/>
      <c r="CP1160" s="11"/>
      <c r="CQ1160" s="11"/>
      <c r="CR1160" s="11"/>
      <c r="CS1160" s="11"/>
      <c r="CT1160" s="11"/>
      <c r="CU1160" s="11"/>
      <c r="CV1160" s="11"/>
      <c r="CW1160" s="11"/>
      <c r="CX1160" s="11"/>
      <c r="CY1160" s="11"/>
      <c r="CZ1160" s="11"/>
      <c r="DA1160" s="11"/>
      <c r="DB1160" s="11"/>
      <c r="DC1160" s="11"/>
      <c r="DD1160" s="11"/>
      <c r="DE1160" s="11"/>
      <c r="DF1160" s="11"/>
      <c r="DG1160" s="11"/>
      <c r="DH1160" s="11"/>
      <c r="DI1160" s="11"/>
      <c r="DJ1160" s="11"/>
      <c r="DK1160" s="11"/>
      <c r="DL1160" s="11"/>
      <c r="DM1160" s="11"/>
      <c r="DN1160" s="11"/>
      <c r="DO1160" s="11"/>
      <c r="DP1160" s="11"/>
      <c r="DQ1160" s="11"/>
      <c r="DR1160" s="11"/>
      <c r="DS1160" s="11"/>
      <c r="DT1160" s="11"/>
      <c r="DU1160" s="11"/>
      <c r="DV1160" s="11"/>
      <c r="DW1160" s="11"/>
      <c r="DX1160" s="11"/>
      <c r="DY1160" s="11"/>
      <c r="DZ1160" s="11"/>
      <c r="EA1160" s="11"/>
      <c r="EB1160" s="11"/>
      <c r="EC1160" s="11"/>
      <c r="ED1160" s="11"/>
      <c r="EE1160" s="11"/>
      <c r="EF1160" s="11"/>
      <c r="EG1160" s="11"/>
      <c r="EH1160" s="11"/>
      <c r="EI1160" s="11"/>
    </row>
    <row r="1161" spans="1:139" s="52" customFormat="1">
      <c r="A1161" s="85"/>
      <c r="B1161" s="99"/>
      <c r="C1161" s="11"/>
      <c r="K1161" s="77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  <c r="AV1161" s="11"/>
      <c r="AW1161" s="11"/>
      <c r="AX1161" s="11"/>
      <c r="AY1161" s="11"/>
      <c r="AZ1161" s="11"/>
      <c r="BA1161" s="11"/>
      <c r="BB1161" s="11"/>
      <c r="BC1161" s="11"/>
      <c r="BD1161" s="11"/>
      <c r="BE1161" s="11"/>
      <c r="BF1161" s="11"/>
      <c r="BG1161" s="11"/>
      <c r="BH1161" s="11"/>
      <c r="BI1161" s="11"/>
      <c r="BJ1161" s="11"/>
      <c r="BK1161" s="11"/>
      <c r="BL1161" s="11"/>
      <c r="BM1161" s="11"/>
      <c r="BN1161" s="11"/>
      <c r="BO1161" s="11"/>
      <c r="BP1161" s="11"/>
      <c r="BQ1161" s="11"/>
      <c r="BR1161" s="11"/>
      <c r="BS1161" s="11"/>
      <c r="BT1161" s="11"/>
      <c r="BU1161" s="11"/>
      <c r="BV1161" s="11"/>
      <c r="BW1161" s="11"/>
      <c r="BX1161" s="11"/>
      <c r="BY1161" s="11"/>
      <c r="BZ1161" s="11"/>
      <c r="CA1161" s="11"/>
      <c r="CB1161" s="11"/>
      <c r="CC1161" s="11"/>
      <c r="CD1161" s="11"/>
      <c r="CE1161" s="11"/>
      <c r="CF1161" s="11"/>
      <c r="CG1161" s="11"/>
      <c r="CH1161" s="11"/>
      <c r="CI1161" s="11"/>
      <c r="CJ1161" s="11"/>
      <c r="CK1161" s="11"/>
      <c r="CL1161" s="11"/>
      <c r="CM1161" s="11"/>
      <c r="CN1161" s="11"/>
      <c r="CO1161" s="11"/>
      <c r="CP1161" s="11"/>
      <c r="CQ1161" s="11"/>
      <c r="CR1161" s="11"/>
      <c r="CS1161" s="11"/>
      <c r="CT1161" s="11"/>
      <c r="CU1161" s="11"/>
      <c r="CV1161" s="11"/>
      <c r="CW1161" s="11"/>
      <c r="CX1161" s="11"/>
      <c r="CY1161" s="11"/>
      <c r="CZ1161" s="11"/>
      <c r="DA1161" s="11"/>
      <c r="DB1161" s="11"/>
      <c r="DC1161" s="11"/>
      <c r="DD1161" s="11"/>
      <c r="DE1161" s="11"/>
      <c r="DF1161" s="11"/>
      <c r="DG1161" s="11"/>
      <c r="DH1161" s="11"/>
      <c r="DI1161" s="11"/>
      <c r="DJ1161" s="11"/>
      <c r="DK1161" s="11"/>
      <c r="DL1161" s="11"/>
      <c r="DM1161" s="11"/>
      <c r="DN1161" s="11"/>
      <c r="DO1161" s="11"/>
      <c r="DP1161" s="11"/>
      <c r="DQ1161" s="11"/>
      <c r="DR1161" s="11"/>
      <c r="DS1161" s="11"/>
      <c r="DT1161" s="11"/>
      <c r="DU1161" s="11"/>
      <c r="DV1161" s="11"/>
      <c r="DW1161" s="11"/>
      <c r="DX1161" s="11"/>
      <c r="DY1161" s="11"/>
      <c r="DZ1161" s="11"/>
      <c r="EA1161" s="11"/>
      <c r="EB1161" s="11"/>
      <c r="EC1161" s="11"/>
      <c r="ED1161" s="11"/>
      <c r="EE1161" s="11"/>
      <c r="EF1161" s="11"/>
      <c r="EG1161" s="11"/>
      <c r="EH1161" s="11"/>
      <c r="EI1161" s="11"/>
    </row>
    <row r="1162" spans="1:139" s="52" customFormat="1">
      <c r="A1162" s="85"/>
      <c r="B1162" s="99"/>
      <c r="C1162" s="11"/>
      <c r="K1162" s="77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  <c r="AV1162" s="11"/>
      <c r="AW1162" s="11"/>
      <c r="AX1162" s="11"/>
      <c r="AY1162" s="11"/>
      <c r="AZ1162" s="11"/>
      <c r="BA1162" s="11"/>
      <c r="BB1162" s="11"/>
      <c r="BC1162" s="11"/>
      <c r="BD1162" s="11"/>
      <c r="BE1162" s="11"/>
      <c r="BF1162" s="11"/>
      <c r="BG1162" s="11"/>
      <c r="BH1162" s="11"/>
      <c r="BI1162" s="11"/>
      <c r="BJ1162" s="11"/>
      <c r="BK1162" s="11"/>
      <c r="BL1162" s="11"/>
      <c r="BM1162" s="11"/>
      <c r="BN1162" s="11"/>
      <c r="BO1162" s="11"/>
      <c r="BP1162" s="11"/>
      <c r="BQ1162" s="11"/>
      <c r="BR1162" s="11"/>
      <c r="BS1162" s="11"/>
      <c r="BT1162" s="11"/>
      <c r="BU1162" s="11"/>
      <c r="BV1162" s="11"/>
      <c r="BW1162" s="11"/>
      <c r="BX1162" s="11"/>
      <c r="BY1162" s="11"/>
      <c r="BZ1162" s="11"/>
      <c r="CA1162" s="11"/>
      <c r="CB1162" s="11"/>
      <c r="CC1162" s="11"/>
      <c r="CD1162" s="11"/>
      <c r="CE1162" s="11"/>
      <c r="CF1162" s="11"/>
      <c r="CG1162" s="11"/>
      <c r="CH1162" s="11"/>
      <c r="CI1162" s="11"/>
      <c r="CJ1162" s="11"/>
      <c r="CK1162" s="11"/>
      <c r="CL1162" s="11"/>
      <c r="CM1162" s="11"/>
      <c r="CN1162" s="11"/>
      <c r="CO1162" s="11"/>
      <c r="CP1162" s="11"/>
      <c r="CQ1162" s="11"/>
      <c r="CR1162" s="11"/>
      <c r="CS1162" s="11"/>
      <c r="CT1162" s="11"/>
      <c r="CU1162" s="11"/>
      <c r="CV1162" s="11"/>
      <c r="CW1162" s="11"/>
      <c r="CX1162" s="11"/>
      <c r="CY1162" s="11"/>
      <c r="CZ1162" s="11"/>
      <c r="DA1162" s="11"/>
      <c r="DB1162" s="11"/>
      <c r="DC1162" s="11"/>
      <c r="DD1162" s="11"/>
      <c r="DE1162" s="11"/>
      <c r="DF1162" s="11"/>
      <c r="DG1162" s="11"/>
      <c r="DH1162" s="11"/>
      <c r="DI1162" s="11"/>
      <c r="DJ1162" s="11"/>
      <c r="DK1162" s="11"/>
      <c r="DL1162" s="11"/>
      <c r="DM1162" s="11"/>
      <c r="DN1162" s="11"/>
      <c r="DO1162" s="11"/>
      <c r="DP1162" s="11"/>
      <c r="DQ1162" s="11"/>
      <c r="DR1162" s="11"/>
      <c r="DS1162" s="11"/>
      <c r="DT1162" s="11"/>
      <c r="DU1162" s="11"/>
      <c r="DV1162" s="11"/>
      <c r="DW1162" s="11"/>
      <c r="DX1162" s="11"/>
      <c r="DY1162" s="11"/>
      <c r="DZ1162" s="11"/>
      <c r="EA1162" s="11"/>
      <c r="EB1162" s="11"/>
      <c r="EC1162" s="11"/>
      <c r="ED1162" s="11"/>
      <c r="EE1162" s="11"/>
      <c r="EF1162" s="11"/>
      <c r="EG1162" s="11"/>
      <c r="EH1162" s="11"/>
      <c r="EI1162" s="11"/>
    </row>
    <row r="1163" spans="1:139" s="52" customFormat="1">
      <c r="A1163" s="85"/>
      <c r="B1163" s="99"/>
      <c r="C1163" s="11"/>
      <c r="K1163" s="77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1"/>
      <c r="AY1163" s="11"/>
      <c r="AZ1163" s="11"/>
      <c r="BA1163" s="11"/>
      <c r="BB1163" s="11"/>
      <c r="BC1163" s="11"/>
      <c r="BD1163" s="11"/>
      <c r="BE1163" s="11"/>
      <c r="BF1163" s="11"/>
      <c r="BG1163" s="11"/>
      <c r="BH1163" s="11"/>
      <c r="BI1163" s="11"/>
      <c r="BJ1163" s="11"/>
      <c r="BK1163" s="11"/>
      <c r="BL1163" s="11"/>
      <c r="BM1163" s="11"/>
      <c r="BN1163" s="11"/>
      <c r="BO1163" s="11"/>
      <c r="BP1163" s="11"/>
      <c r="BQ1163" s="11"/>
      <c r="BR1163" s="11"/>
      <c r="BS1163" s="11"/>
      <c r="BT1163" s="11"/>
      <c r="BU1163" s="11"/>
      <c r="BV1163" s="11"/>
      <c r="BW1163" s="11"/>
      <c r="BX1163" s="11"/>
      <c r="BY1163" s="11"/>
      <c r="BZ1163" s="11"/>
      <c r="CA1163" s="11"/>
      <c r="CB1163" s="11"/>
      <c r="CC1163" s="11"/>
      <c r="CD1163" s="11"/>
      <c r="CE1163" s="11"/>
      <c r="CF1163" s="11"/>
      <c r="CG1163" s="11"/>
      <c r="CH1163" s="11"/>
      <c r="CI1163" s="11"/>
      <c r="CJ1163" s="11"/>
      <c r="CK1163" s="11"/>
      <c r="CL1163" s="11"/>
      <c r="CM1163" s="11"/>
      <c r="CN1163" s="11"/>
      <c r="CO1163" s="11"/>
      <c r="CP1163" s="11"/>
      <c r="CQ1163" s="11"/>
      <c r="CR1163" s="11"/>
      <c r="CS1163" s="11"/>
      <c r="CT1163" s="11"/>
      <c r="CU1163" s="11"/>
      <c r="CV1163" s="11"/>
      <c r="CW1163" s="11"/>
      <c r="CX1163" s="11"/>
      <c r="CY1163" s="11"/>
      <c r="CZ1163" s="11"/>
      <c r="DA1163" s="11"/>
      <c r="DB1163" s="11"/>
      <c r="DC1163" s="11"/>
      <c r="DD1163" s="11"/>
      <c r="DE1163" s="11"/>
      <c r="DF1163" s="11"/>
      <c r="DG1163" s="11"/>
      <c r="DH1163" s="11"/>
      <c r="DI1163" s="11"/>
      <c r="DJ1163" s="11"/>
      <c r="DK1163" s="11"/>
      <c r="DL1163" s="11"/>
      <c r="DM1163" s="11"/>
      <c r="DN1163" s="11"/>
      <c r="DO1163" s="11"/>
      <c r="DP1163" s="11"/>
      <c r="DQ1163" s="11"/>
      <c r="DR1163" s="11"/>
      <c r="DS1163" s="11"/>
      <c r="DT1163" s="11"/>
      <c r="DU1163" s="11"/>
      <c r="DV1163" s="11"/>
      <c r="DW1163" s="11"/>
      <c r="DX1163" s="11"/>
      <c r="DY1163" s="11"/>
      <c r="DZ1163" s="11"/>
      <c r="EA1163" s="11"/>
      <c r="EB1163" s="11"/>
      <c r="EC1163" s="11"/>
      <c r="ED1163" s="11"/>
      <c r="EE1163" s="11"/>
      <c r="EF1163" s="11"/>
      <c r="EG1163" s="11"/>
      <c r="EH1163" s="11"/>
      <c r="EI1163" s="11"/>
    </row>
    <row r="1164" spans="1:139" s="52" customFormat="1">
      <c r="A1164" s="85"/>
      <c r="B1164" s="99"/>
      <c r="C1164" s="11"/>
      <c r="K1164" s="77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  <c r="AV1164" s="11"/>
      <c r="AW1164" s="11"/>
      <c r="AX1164" s="11"/>
      <c r="AY1164" s="11"/>
      <c r="AZ1164" s="11"/>
      <c r="BA1164" s="11"/>
      <c r="BB1164" s="11"/>
      <c r="BC1164" s="11"/>
      <c r="BD1164" s="11"/>
      <c r="BE1164" s="11"/>
      <c r="BF1164" s="11"/>
      <c r="BG1164" s="11"/>
      <c r="BH1164" s="11"/>
      <c r="BI1164" s="11"/>
      <c r="BJ1164" s="11"/>
      <c r="BK1164" s="11"/>
      <c r="BL1164" s="11"/>
      <c r="BM1164" s="11"/>
      <c r="BN1164" s="11"/>
      <c r="BO1164" s="11"/>
      <c r="BP1164" s="11"/>
      <c r="BQ1164" s="11"/>
      <c r="BR1164" s="11"/>
      <c r="BS1164" s="11"/>
      <c r="BT1164" s="11"/>
      <c r="BU1164" s="11"/>
      <c r="BV1164" s="11"/>
      <c r="BW1164" s="11"/>
      <c r="BX1164" s="11"/>
      <c r="BY1164" s="11"/>
      <c r="BZ1164" s="11"/>
      <c r="CA1164" s="11"/>
      <c r="CB1164" s="11"/>
      <c r="CC1164" s="11"/>
      <c r="CD1164" s="11"/>
      <c r="CE1164" s="11"/>
      <c r="CF1164" s="11"/>
      <c r="CG1164" s="11"/>
      <c r="CH1164" s="11"/>
      <c r="CI1164" s="11"/>
      <c r="CJ1164" s="11"/>
      <c r="CK1164" s="11"/>
      <c r="CL1164" s="11"/>
      <c r="CM1164" s="11"/>
      <c r="CN1164" s="11"/>
      <c r="CO1164" s="11"/>
      <c r="CP1164" s="11"/>
      <c r="CQ1164" s="11"/>
      <c r="CR1164" s="11"/>
      <c r="CS1164" s="11"/>
      <c r="CT1164" s="11"/>
      <c r="CU1164" s="11"/>
      <c r="CV1164" s="11"/>
      <c r="CW1164" s="11"/>
      <c r="CX1164" s="11"/>
      <c r="CY1164" s="11"/>
      <c r="CZ1164" s="11"/>
      <c r="DA1164" s="11"/>
      <c r="DB1164" s="11"/>
      <c r="DC1164" s="11"/>
      <c r="DD1164" s="11"/>
      <c r="DE1164" s="11"/>
      <c r="DF1164" s="11"/>
      <c r="DG1164" s="11"/>
      <c r="DH1164" s="11"/>
      <c r="DI1164" s="11"/>
      <c r="DJ1164" s="11"/>
      <c r="DK1164" s="11"/>
      <c r="DL1164" s="11"/>
      <c r="DM1164" s="11"/>
      <c r="DN1164" s="11"/>
      <c r="DO1164" s="11"/>
      <c r="DP1164" s="11"/>
      <c r="DQ1164" s="11"/>
      <c r="DR1164" s="11"/>
      <c r="DS1164" s="11"/>
      <c r="DT1164" s="11"/>
      <c r="DU1164" s="11"/>
      <c r="DV1164" s="11"/>
      <c r="DW1164" s="11"/>
      <c r="DX1164" s="11"/>
      <c r="DY1164" s="11"/>
      <c r="DZ1164" s="11"/>
      <c r="EA1164" s="11"/>
      <c r="EB1164" s="11"/>
      <c r="EC1164" s="11"/>
      <c r="ED1164" s="11"/>
      <c r="EE1164" s="11"/>
      <c r="EF1164" s="11"/>
      <c r="EG1164" s="11"/>
      <c r="EH1164" s="11"/>
      <c r="EI1164" s="11"/>
    </row>
    <row r="1165" spans="1:139" s="52" customFormat="1">
      <c r="A1165" s="85"/>
      <c r="B1165" s="99"/>
      <c r="C1165" s="11"/>
      <c r="K1165" s="77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  <c r="AV1165" s="11"/>
      <c r="AW1165" s="11"/>
      <c r="AX1165" s="11"/>
      <c r="AY1165" s="11"/>
      <c r="AZ1165" s="11"/>
      <c r="BA1165" s="11"/>
      <c r="BB1165" s="11"/>
      <c r="BC1165" s="11"/>
      <c r="BD1165" s="11"/>
      <c r="BE1165" s="11"/>
      <c r="BF1165" s="11"/>
      <c r="BG1165" s="11"/>
      <c r="BH1165" s="11"/>
      <c r="BI1165" s="11"/>
      <c r="BJ1165" s="11"/>
      <c r="BK1165" s="11"/>
      <c r="BL1165" s="11"/>
      <c r="BM1165" s="11"/>
      <c r="BN1165" s="11"/>
      <c r="BO1165" s="11"/>
      <c r="BP1165" s="11"/>
      <c r="BQ1165" s="11"/>
      <c r="BR1165" s="11"/>
      <c r="BS1165" s="11"/>
      <c r="BT1165" s="11"/>
      <c r="BU1165" s="11"/>
      <c r="BV1165" s="11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</row>
    <row r="1166" spans="1:139" s="52" customFormat="1">
      <c r="A1166" s="85"/>
      <c r="B1166" s="99"/>
      <c r="C1166" s="11"/>
      <c r="K1166" s="77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11"/>
      <c r="AW1166" s="11"/>
      <c r="AX1166" s="11"/>
      <c r="AY1166" s="11"/>
      <c r="AZ1166" s="11"/>
      <c r="BA1166" s="11"/>
      <c r="BB1166" s="11"/>
      <c r="BC1166" s="11"/>
      <c r="BD1166" s="11"/>
      <c r="BE1166" s="11"/>
      <c r="BF1166" s="11"/>
      <c r="BG1166" s="11"/>
      <c r="BH1166" s="11"/>
      <c r="BI1166" s="11"/>
      <c r="BJ1166" s="11"/>
      <c r="BK1166" s="11"/>
      <c r="BL1166" s="11"/>
      <c r="BM1166" s="11"/>
      <c r="BN1166" s="11"/>
      <c r="BO1166" s="11"/>
      <c r="BP1166" s="11"/>
      <c r="BQ1166" s="11"/>
      <c r="BR1166" s="11"/>
      <c r="BS1166" s="11"/>
      <c r="BT1166" s="11"/>
      <c r="BU1166" s="11"/>
      <c r="BV1166" s="11"/>
      <c r="BW1166" s="11"/>
      <c r="BX1166" s="11"/>
      <c r="BY1166" s="11"/>
      <c r="BZ1166" s="11"/>
      <c r="CA1166" s="11"/>
      <c r="CB1166" s="11"/>
      <c r="CC1166" s="11"/>
      <c r="CD1166" s="11"/>
      <c r="CE1166" s="11"/>
      <c r="CF1166" s="11"/>
      <c r="CG1166" s="11"/>
      <c r="CH1166" s="11"/>
      <c r="CI1166" s="11"/>
      <c r="CJ1166" s="11"/>
      <c r="CK1166" s="11"/>
      <c r="CL1166" s="11"/>
      <c r="CM1166" s="11"/>
      <c r="CN1166" s="11"/>
      <c r="CO1166" s="11"/>
      <c r="CP1166" s="11"/>
      <c r="CQ1166" s="11"/>
      <c r="CR1166" s="11"/>
      <c r="CS1166" s="11"/>
      <c r="CT1166" s="11"/>
      <c r="CU1166" s="11"/>
      <c r="CV1166" s="11"/>
      <c r="CW1166" s="11"/>
      <c r="CX1166" s="11"/>
      <c r="CY1166" s="11"/>
      <c r="CZ1166" s="11"/>
      <c r="DA1166" s="11"/>
      <c r="DB1166" s="11"/>
      <c r="DC1166" s="11"/>
      <c r="DD1166" s="11"/>
      <c r="DE1166" s="11"/>
      <c r="DF1166" s="11"/>
      <c r="DG1166" s="11"/>
      <c r="DH1166" s="11"/>
      <c r="DI1166" s="11"/>
      <c r="DJ1166" s="11"/>
      <c r="DK1166" s="11"/>
      <c r="DL1166" s="11"/>
      <c r="DM1166" s="11"/>
      <c r="DN1166" s="11"/>
      <c r="DO1166" s="11"/>
      <c r="DP1166" s="11"/>
      <c r="DQ1166" s="11"/>
      <c r="DR1166" s="11"/>
      <c r="DS1166" s="11"/>
      <c r="DT1166" s="11"/>
      <c r="DU1166" s="11"/>
      <c r="DV1166" s="11"/>
      <c r="DW1166" s="11"/>
      <c r="DX1166" s="11"/>
      <c r="DY1166" s="11"/>
      <c r="DZ1166" s="11"/>
      <c r="EA1166" s="11"/>
      <c r="EB1166" s="11"/>
      <c r="EC1166" s="11"/>
      <c r="ED1166" s="11"/>
      <c r="EE1166" s="11"/>
      <c r="EF1166" s="11"/>
      <c r="EG1166" s="11"/>
      <c r="EH1166" s="11"/>
      <c r="EI1166" s="11"/>
    </row>
    <row r="1167" spans="1:139" s="52" customFormat="1">
      <c r="A1167" s="85"/>
      <c r="B1167" s="99"/>
      <c r="C1167" s="11"/>
      <c r="K1167" s="77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11"/>
      <c r="AW1167" s="11"/>
      <c r="AX1167" s="11"/>
      <c r="AY1167" s="11"/>
      <c r="AZ1167" s="11"/>
      <c r="BA1167" s="11"/>
      <c r="BB1167" s="11"/>
      <c r="BC1167" s="11"/>
      <c r="BD1167" s="11"/>
      <c r="BE1167" s="11"/>
      <c r="BF1167" s="11"/>
      <c r="BG1167" s="11"/>
      <c r="BH1167" s="11"/>
      <c r="BI1167" s="11"/>
      <c r="BJ1167" s="11"/>
      <c r="BK1167" s="11"/>
      <c r="BL1167" s="11"/>
      <c r="BM1167" s="11"/>
      <c r="BN1167" s="11"/>
      <c r="BO1167" s="11"/>
      <c r="BP1167" s="11"/>
      <c r="BQ1167" s="11"/>
      <c r="BR1167" s="11"/>
      <c r="BS1167" s="11"/>
      <c r="BT1167" s="11"/>
      <c r="BU1167" s="11"/>
      <c r="BV1167" s="11"/>
      <c r="BW1167" s="11"/>
      <c r="BX1167" s="11"/>
      <c r="BY1167" s="11"/>
      <c r="BZ1167" s="11"/>
      <c r="CA1167" s="11"/>
      <c r="CB1167" s="11"/>
      <c r="CC1167" s="11"/>
      <c r="CD1167" s="11"/>
      <c r="CE1167" s="11"/>
      <c r="CF1167" s="11"/>
      <c r="CG1167" s="11"/>
      <c r="CH1167" s="11"/>
      <c r="CI1167" s="11"/>
      <c r="CJ1167" s="11"/>
      <c r="CK1167" s="11"/>
      <c r="CL1167" s="11"/>
      <c r="CM1167" s="11"/>
      <c r="CN1167" s="11"/>
      <c r="CO1167" s="11"/>
      <c r="CP1167" s="11"/>
      <c r="CQ1167" s="11"/>
      <c r="CR1167" s="11"/>
      <c r="CS1167" s="11"/>
      <c r="CT1167" s="11"/>
      <c r="CU1167" s="11"/>
      <c r="CV1167" s="11"/>
      <c r="CW1167" s="11"/>
      <c r="CX1167" s="11"/>
      <c r="CY1167" s="11"/>
      <c r="CZ1167" s="11"/>
      <c r="DA1167" s="11"/>
      <c r="DB1167" s="11"/>
      <c r="DC1167" s="11"/>
      <c r="DD1167" s="11"/>
      <c r="DE1167" s="11"/>
      <c r="DF1167" s="11"/>
      <c r="DG1167" s="11"/>
      <c r="DH1167" s="11"/>
      <c r="DI1167" s="11"/>
      <c r="DJ1167" s="11"/>
      <c r="DK1167" s="11"/>
      <c r="DL1167" s="11"/>
      <c r="DM1167" s="11"/>
      <c r="DN1167" s="11"/>
      <c r="DO1167" s="11"/>
      <c r="DP1167" s="11"/>
      <c r="DQ1167" s="11"/>
      <c r="DR1167" s="11"/>
      <c r="DS1167" s="11"/>
      <c r="DT1167" s="11"/>
      <c r="DU1167" s="11"/>
      <c r="DV1167" s="11"/>
      <c r="DW1167" s="11"/>
      <c r="DX1167" s="11"/>
      <c r="DY1167" s="11"/>
      <c r="DZ1167" s="11"/>
      <c r="EA1167" s="11"/>
      <c r="EB1167" s="11"/>
      <c r="EC1167" s="11"/>
      <c r="ED1167" s="11"/>
      <c r="EE1167" s="11"/>
      <c r="EF1167" s="11"/>
      <c r="EG1167" s="11"/>
      <c r="EH1167" s="11"/>
      <c r="EI1167" s="11"/>
    </row>
    <row r="1168" spans="1:139" s="52" customFormat="1">
      <c r="A1168" s="85"/>
      <c r="B1168" s="99"/>
      <c r="C1168" s="11"/>
      <c r="K1168" s="77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  <c r="AV1168" s="11"/>
      <c r="AW1168" s="11"/>
      <c r="AX1168" s="11"/>
      <c r="AY1168" s="11"/>
      <c r="AZ1168" s="11"/>
      <c r="BA1168" s="11"/>
      <c r="BB1168" s="11"/>
      <c r="BC1168" s="11"/>
      <c r="BD1168" s="11"/>
      <c r="BE1168" s="11"/>
      <c r="BF1168" s="11"/>
      <c r="BG1168" s="11"/>
      <c r="BH1168" s="11"/>
      <c r="BI1168" s="11"/>
      <c r="BJ1168" s="11"/>
      <c r="BK1168" s="11"/>
      <c r="BL1168" s="11"/>
      <c r="BM1168" s="11"/>
      <c r="BN1168" s="11"/>
      <c r="BO1168" s="11"/>
      <c r="BP1168" s="11"/>
      <c r="BQ1168" s="11"/>
      <c r="BR1168" s="11"/>
      <c r="BS1168" s="11"/>
      <c r="BT1168" s="11"/>
      <c r="BU1168" s="11"/>
      <c r="BV1168" s="11"/>
      <c r="BW1168" s="11"/>
      <c r="BX1168" s="11"/>
      <c r="BY1168" s="11"/>
      <c r="BZ1168" s="11"/>
      <c r="CA1168" s="11"/>
      <c r="CB1168" s="11"/>
      <c r="CC1168" s="11"/>
      <c r="CD1168" s="11"/>
      <c r="CE1168" s="11"/>
      <c r="CF1168" s="11"/>
      <c r="CG1168" s="11"/>
      <c r="CH1168" s="11"/>
      <c r="CI1168" s="11"/>
      <c r="CJ1168" s="11"/>
      <c r="CK1168" s="11"/>
      <c r="CL1168" s="11"/>
      <c r="CM1168" s="11"/>
      <c r="CN1168" s="11"/>
      <c r="CO1168" s="11"/>
      <c r="CP1168" s="11"/>
      <c r="CQ1168" s="11"/>
      <c r="CR1168" s="11"/>
      <c r="CS1168" s="11"/>
      <c r="CT1168" s="11"/>
      <c r="CU1168" s="11"/>
      <c r="CV1168" s="11"/>
      <c r="CW1168" s="11"/>
      <c r="CX1168" s="11"/>
      <c r="CY1168" s="11"/>
      <c r="CZ1168" s="11"/>
      <c r="DA1168" s="11"/>
      <c r="DB1168" s="11"/>
      <c r="DC1168" s="11"/>
      <c r="DD1168" s="11"/>
      <c r="DE1168" s="11"/>
      <c r="DF1168" s="11"/>
      <c r="DG1168" s="11"/>
      <c r="DH1168" s="11"/>
      <c r="DI1168" s="11"/>
      <c r="DJ1168" s="11"/>
      <c r="DK1168" s="11"/>
      <c r="DL1168" s="11"/>
      <c r="DM1168" s="11"/>
      <c r="DN1168" s="11"/>
      <c r="DO1168" s="11"/>
      <c r="DP1168" s="11"/>
      <c r="DQ1168" s="11"/>
      <c r="DR1168" s="11"/>
      <c r="DS1168" s="11"/>
      <c r="DT1168" s="11"/>
      <c r="DU1168" s="11"/>
      <c r="DV1168" s="11"/>
      <c r="DW1168" s="11"/>
      <c r="DX1168" s="11"/>
      <c r="DY1168" s="11"/>
      <c r="DZ1168" s="11"/>
      <c r="EA1168" s="11"/>
      <c r="EB1168" s="11"/>
      <c r="EC1168" s="11"/>
      <c r="ED1168" s="11"/>
      <c r="EE1168" s="11"/>
      <c r="EF1168" s="11"/>
      <c r="EG1168" s="11"/>
      <c r="EH1168" s="11"/>
      <c r="EI1168" s="11"/>
    </row>
    <row r="1169" spans="1:139" s="52" customFormat="1">
      <c r="A1169" s="85"/>
      <c r="B1169" s="99"/>
      <c r="C1169" s="11"/>
      <c r="K1169" s="77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  <c r="AV1169" s="11"/>
      <c r="AW1169" s="11"/>
      <c r="AX1169" s="11"/>
      <c r="AY1169" s="11"/>
      <c r="AZ1169" s="11"/>
      <c r="BA1169" s="11"/>
      <c r="BB1169" s="11"/>
      <c r="BC1169" s="11"/>
      <c r="BD1169" s="11"/>
      <c r="BE1169" s="11"/>
      <c r="BF1169" s="11"/>
      <c r="BG1169" s="11"/>
      <c r="BH1169" s="11"/>
      <c r="BI1169" s="11"/>
      <c r="BJ1169" s="11"/>
      <c r="BK1169" s="11"/>
      <c r="BL1169" s="11"/>
      <c r="BM1169" s="11"/>
      <c r="BN1169" s="11"/>
      <c r="BO1169" s="11"/>
      <c r="BP1169" s="11"/>
      <c r="BQ1169" s="11"/>
      <c r="BR1169" s="11"/>
      <c r="BS1169" s="11"/>
      <c r="BT1169" s="11"/>
      <c r="BU1169" s="11"/>
      <c r="BV1169" s="11"/>
      <c r="BW1169" s="11"/>
      <c r="BX1169" s="11"/>
      <c r="BY1169" s="11"/>
      <c r="BZ1169" s="11"/>
      <c r="CA1169" s="11"/>
      <c r="CB1169" s="11"/>
      <c r="CC1169" s="11"/>
      <c r="CD1169" s="11"/>
      <c r="CE1169" s="11"/>
      <c r="CF1169" s="11"/>
      <c r="CG1169" s="11"/>
      <c r="CH1169" s="11"/>
      <c r="CI1169" s="11"/>
      <c r="CJ1169" s="11"/>
      <c r="CK1169" s="11"/>
      <c r="CL1169" s="11"/>
      <c r="CM1169" s="11"/>
      <c r="CN1169" s="11"/>
      <c r="CO1169" s="11"/>
      <c r="CP1169" s="11"/>
      <c r="CQ1169" s="11"/>
      <c r="CR1169" s="11"/>
      <c r="CS1169" s="11"/>
      <c r="CT1169" s="11"/>
      <c r="CU1169" s="11"/>
      <c r="CV1169" s="11"/>
      <c r="CW1169" s="11"/>
      <c r="CX1169" s="11"/>
      <c r="CY1169" s="11"/>
      <c r="CZ1169" s="11"/>
      <c r="DA1169" s="11"/>
      <c r="DB1169" s="11"/>
      <c r="DC1169" s="11"/>
      <c r="DD1169" s="11"/>
      <c r="DE1169" s="11"/>
      <c r="DF1169" s="11"/>
      <c r="DG1169" s="11"/>
      <c r="DH1169" s="11"/>
      <c r="DI1169" s="11"/>
      <c r="DJ1169" s="11"/>
      <c r="DK1169" s="11"/>
      <c r="DL1169" s="11"/>
      <c r="DM1169" s="11"/>
      <c r="DN1169" s="11"/>
      <c r="DO1169" s="11"/>
      <c r="DP1169" s="11"/>
      <c r="DQ1169" s="11"/>
      <c r="DR1169" s="11"/>
      <c r="DS1169" s="11"/>
      <c r="DT1169" s="11"/>
      <c r="DU1169" s="11"/>
      <c r="DV1169" s="11"/>
      <c r="DW1169" s="11"/>
      <c r="DX1169" s="11"/>
      <c r="DY1169" s="11"/>
      <c r="DZ1169" s="11"/>
      <c r="EA1169" s="11"/>
      <c r="EB1169" s="11"/>
      <c r="EC1169" s="11"/>
      <c r="ED1169" s="11"/>
      <c r="EE1169" s="11"/>
      <c r="EF1169" s="11"/>
      <c r="EG1169" s="11"/>
      <c r="EH1169" s="11"/>
      <c r="EI1169" s="11"/>
    </row>
    <row r="1170" spans="1:139" s="52" customFormat="1">
      <c r="A1170" s="85"/>
      <c r="B1170" s="99"/>
      <c r="C1170" s="11"/>
      <c r="K1170" s="77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  <c r="AT1170" s="11"/>
      <c r="AU1170" s="11"/>
      <c r="AV1170" s="11"/>
      <c r="AW1170" s="11"/>
      <c r="AX1170" s="11"/>
      <c r="AY1170" s="11"/>
      <c r="AZ1170" s="11"/>
      <c r="BA1170" s="11"/>
      <c r="BB1170" s="11"/>
      <c r="BC1170" s="11"/>
      <c r="BD1170" s="11"/>
      <c r="BE1170" s="11"/>
      <c r="BF1170" s="11"/>
      <c r="BG1170" s="11"/>
      <c r="BH1170" s="11"/>
      <c r="BI1170" s="11"/>
      <c r="BJ1170" s="11"/>
      <c r="BK1170" s="11"/>
      <c r="BL1170" s="11"/>
      <c r="BM1170" s="11"/>
      <c r="BN1170" s="11"/>
      <c r="BO1170" s="11"/>
      <c r="BP1170" s="11"/>
      <c r="BQ1170" s="11"/>
      <c r="BR1170" s="11"/>
      <c r="BS1170" s="11"/>
      <c r="BT1170" s="11"/>
      <c r="BU1170" s="11"/>
      <c r="BV1170" s="11"/>
      <c r="BW1170" s="11"/>
      <c r="BX1170" s="11"/>
      <c r="BY1170" s="11"/>
      <c r="BZ1170" s="11"/>
      <c r="CA1170" s="11"/>
      <c r="CB1170" s="11"/>
      <c r="CC1170" s="11"/>
      <c r="CD1170" s="11"/>
      <c r="CE1170" s="11"/>
      <c r="CF1170" s="11"/>
      <c r="CG1170" s="11"/>
      <c r="CH1170" s="11"/>
      <c r="CI1170" s="11"/>
      <c r="CJ1170" s="11"/>
      <c r="CK1170" s="11"/>
      <c r="CL1170" s="11"/>
      <c r="CM1170" s="11"/>
      <c r="CN1170" s="11"/>
      <c r="CO1170" s="11"/>
      <c r="CP1170" s="11"/>
      <c r="CQ1170" s="11"/>
      <c r="CR1170" s="11"/>
      <c r="CS1170" s="11"/>
      <c r="CT1170" s="11"/>
      <c r="CU1170" s="11"/>
      <c r="CV1170" s="11"/>
      <c r="CW1170" s="11"/>
      <c r="CX1170" s="11"/>
      <c r="CY1170" s="11"/>
      <c r="CZ1170" s="11"/>
      <c r="DA1170" s="11"/>
      <c r="DB1170" s="11"/>
      <c r="DC1170" s="11"/>
      <c r="DD1170" s="11"/>
      <c r="DE1170" s="11"/>
      <c r="DF1170" s="11"/>
      <c r="DG1170" s="11"/>
      <c r="DH1170" s="11"/>
      <c r="DI1170" s="11"/>
      <c r="DJ1170" s="11"/>
      <c r="DK1170" s="11"/>
      <c r="DL1170" s="11"/>
      <c r="DM1170" s="11"/>
      <c r="DN1170" s="11"/>
      <c r="DO1170" s="11"/>
      <c r="DP1170" s="11"/>
      <c r="DQ1170" s="11"/>
      <c r="DR1170" s="11"/>
      <c r="DS1170" s="11"/>
      <c r="DT1170" s="11"/>
      <c r="DU1170" s="11"/>
      <c r="DV1170" s="11"/>
      <c r="DW1170" s="11"/>
      <c r="DX1170" s="11"/>
      <c r="DY1170" s="11"/>
      <c r="DZ1170" s="11"/>
      <c r="EA1170" s="11"/>
      <c r="EB1170" s="11"/>
      <c r="EC1170" s="11"/>
      <c r="ED1170" s="11"/>
      <c r="EE1170" s="11"/>
      <c r="EF1170" s="11"/>
      <c r="EG1170" s="11"/>
      <c r="EH1170" s="11"/>
      <c r="EI1170" s="11"/>
    </row>
    <row r="1171" spans="1:139" s="52" customFormat="1">
      <c r="A1171" s="85"/>
      <c r="B1171" s="99"/>
      <c r="C1171" s="11"/>
      <c r="K1171" s="77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  <c r="AV1171" s="11"/>
      <c r="AW1171" s="11"/>
      <c r="AX1171" s="11"/>
      <c r="AY1171" s="11"/>
      <c r="AZ1171" s="11"/>
      <c r="BA1171" s="11"/>
      <c r="BB1171" s="11"/>
      <c r="BC1171" s="11"/>
      <c r="BD1171" s="11"/>
      <c r="BE1171" s="11"/>
      <c r="BF1171" s="11"/>
      <c r="BG1171" s="11"/>
      <c r="BH1171" s="11"/>
      <c r="BI1171" s="11"/>
      <c r="BJ1171" s="11"/>
      <c r="BK1171" s="11"/>
      <c r="BL1171" s="11"/>
      <c r="BM1171" s="11"/>
      <c r="BN1171" s="11"/>
      <c r="BO1171" s="11"/>
      <c r="BP1171" s="11"/>
      <c r="BQ1171" s="11"/>
      <c r="BR1171" s="11"/>
      <c r="BS1171" s="11"/>
      <c r="BT1171" s="11"/>
      <c r="BU1171" s="11"/>
      <c r="BV1171" s="11"/>
      <c r="BW1171" s="11"/>
      <c r="BX1171" s="11"/>
      <c r="BY1171" s="11"/>
      <c r="BZ1171" s="11"/>
      <c r="CA1171" s="11"/>
      <c r="CB1171" s="11"/>
      <c r="CC1171" s="11"/>
      <c r="CD1171" s="11"/>
      <c r="CE1171" s="11"/>
      <c r="CF1171" s="11"/>
      <c r="CG1171" s="11"/>
      <c r="CH1171" s="11"/>
      <c r="CI1171" s="11"/>
      <c r="CJ1171" s="11"/>
      <c r="CK1171" s="11"/>
      <c r="CL1171" s="11"/>
      <c r="CM1171" s="11"/>
      <c r="CN1171" s="11"/>
      <c r="CO1171" s="11"/>
      <c r="CP1171" s="11"/>
      <c r="CQ1171" s="11"/>
      <c r="CR1171" s="11"/>
      <c r="CS1171" s="11"/>
      <c r="CT1171" s="11"/>
      <c r="CU1171" s="11"/>
      <c r="CV1171" s="11"/>
      <c r="CW1171" s="11"/>
      <c r="CX1171" s="11"/>
      <c r="CY1171" s="11"/>
      <c r="CZ1171" s="11"/>
      <c r="DA1171" s="11"/>
      <c r="DB1171" s="11"/>
      <c r="DC1171" s="11"/>
      <c r="DD1171" s="11"/>
      <c r="DE1171" s="11"/>
      <c r="DF1171" s="11"/>
      <c r="DG1171" s="11"/>
      <c r="DH1171" s="11"/>
      <c r="DI1171" s="11"/>
      <c r="DJ1171" s="11"/>
      <c r="DK1171" s="11"/>
      <c r="DL1171" s="11"/>
      <c r="DM1171" s="11"/>
      <c r="DN1171" s="11"/>
      <c r="DO1171" s="11"/>
      <c r="DP1171" s="11"/>
      <c r="DQ1171" s="11"/>
      <c r="DR1171" s="11"/>
      <c r="DS1171" s="11"/>
      <c r="DT1171" s="11"/>
      <c r="DU1171" s="11"/>
      <c r="DV1171" s="11"/>
      <c r="DW1171" s="11"/>
      <c r="DX1171" s="11"/>
      <c r="DY1171" s="11"/>
      <c r="DZ1171" s="11"/>
      <c r="EA1171" s="11"/>
      <c r="EB1171" s="11"/>
      <c r="EC1171" s="11"/>
      <c r="ED1171" s="11"/>
      <c r="EE1171" s="11"/>
      <c r="EF1171" s="11"/>
      <c r="EG1171" s="11"/>
      <c r="EH1171" s="11"/>
      <c r="EI1171" s="11"/>
    </row>
    <row r="1172" spans="1:139" s="52" customFormat="1">
      <c r="A1172" s="85"/>
      <c r="B1172" s="99"/>
      <c r="C1172" s="11"/>
      <c r="K1172" s="77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11"/>
      <c r="AW1172" s="11"/>
      <c r="AX1172" s="11"/>
      <c r="AY1172" s="11"/>
      <c r="AZ1172" s="11"/>
      <c r="BA1172" s="11"/>
      <c r="BB1172" s="11"/>
      <c r="BC1172" s="11"/>
      <c r="BD1172" s="11"/>
      <c r="BE1172" s="11"/>
      <c r="BF1172" s="11"/>
      <c r="BG1172" s="11"/>
      <c r="BH1172" s="11"/>
      <c r="BI1172" s="11"/>
      <c r="BJ1172" s="11"/>
      <c r="BK1172" s="11"/>
      <c r="BL1172" s="11"/>
      <c r="BM1172" s="11"/>
      <c r="BN1172" s="11"/>
      <c r="BO1172" s="11"/>
      <c r="BP1172" s="11"/>
      <c r="BQ1172" s="11"/>
      <c r="BR1172" s="11"/>
      <c r="BS1172" s="11"/>
      <c r="BT1172" s="11"/>
      <c r="BU1172" s="11"/>
      <c r="BV1172" s="11"/>
      <c r="BW1172" s="11"/>
      <c r="BX1172" s="11"/>
      <c r="BY1172" s="11"/>
      <c r="BZ1172" s="11"/>
      <c r="CA1172" s="11"/>
      <c r="CB1172" s="11"/>
      <c r="CC1172" s="11"/>
      <c r="CD1172" s="11"/>
      <c r="CE1172" s="11"/>
      <c r="CF1172" s="11"/>
      <c r="CG1172" s="11"/>
      <c r="CH1172" s="11"/>
      <c r="CI1172" s="11"/>
      <c r="CJ1172" s="11"/>
      <c r="CK1172" s="11"/>
      <c r="CL1172" s="11"/>
      <c r="CM1172" s="11"/>
      <c r="CN1172" s="11"/>
      <c r="CO1172" s="11"/>
      <c r="CP1172" s="11"/>
      <c r="CQ1172" s="11"/>
      <c r="CR1172" s="11"/>
      <c r="CS1172" s="11"/>
      <c r="CT1172" s="11"/>
      <c r="CU1172" s="11"/>
      <c r="CV1172" s="11"/>
      <c r="CW1172" s="11"/>
      <c r="CX1172" s="11"/>
      <c r="CY1172" s="11"/>
      <c r="CZ1172" s="11"/>
      <c r="DA1172" s="11"/>
      <c r="DB1172" s="11"/>
      <c r="DC1172" s="11"/>
      <c r="DD1172" s="11"/>
      <c r="DE1172" s="11"/>
      <c r="DF1172" s="11"/>
      <c r="DG1172" s="11"/>
      <c r="DH1172" s="11"/>
      <c r="DI1172" s="11"/>
      <c r="DJ1172" s="11"/>
      <c r="DK1172" s="11"/>
      <c r="DL1172" s="11"/>
      <c r="DM1172" s="11"/>
      <c r="DN1172" s="11"/>
      <c r="DO1172" s="11"/>
      <c r="DP1172" s="11"/>
      <c r="DQ1172" s="11"/>
      <c r="DR1172" s="11"/>
      <c r="DS1172" s="11"/>
      <c r="DT1172" s="11"/>
      <c r="DU1172" s="11"/>
      <c r="DV1172" s="11"/>
      <c r="DW1172" s="11"/>
      <c r="DX1172" s="11"/>
      <c r="DY1172" s="11"/>
      <c r="DZ1172" s="11"/>
      <c r="EA1172" s="11"/>
      <c r="EB1172" s="11"/>
      <c r="EC1172" s="11"/>
      <c r="ED1172" s="11"/>
      <c r="EE1172" s="11"/>
      <c r="EF1172" s="11"/>
      <c r="EG1172" s="11"/>
      <c r="EH1172" s="11"/>
      <c r="EI1172" s="11"/>
    </row>
    <row r="1173" spans="1:139" s="52" customFormat="1">
      <c r="A1173" s="85"/>
      <c r="B1173" s="99"/>
      <c r="C1173" s="11"/>
      <c r="K1173" s="77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  <c r="AW1173" s="11"/>
      <c r="AX1173" s="11"/>
      <c r="AY1173" s="11"/>
      <c r="AZ1173" s="11"/>
      <c r="BA1173" s="11"/>
      <c r="BB1173" s="11"/>
      <c r="BC1173" s="11"/>
      <c r="BD1173" s="11"/>
      <c r="BE1173" s="11"/>
      <c r="BF1173" s="11"/>
      <c r="BG1173" s="11"/>
      <c r="BH1173" s="11"/>
      <c r="BI1173" s="11"/>
      <c r="BJ1173" s="11"/>
      <c r="BK1173" s="11"/>
      <c r="BL1173" s="11"/>
      <c r="BM1173" s="11"/>
      <c r="BN1173" s="11"/>
      <c r="BO1173" s="11"/>
      <c r="BP1173" s="11"/>
      <c r="BQ1173" s="11"/>
      <c r="BR1173" s="11"/>
      <c r="BS1173" s="11"/>
      <c r="BT1173" s="11"/>
      <c r="BU1173" s="11"/>
      <c r="BV1173" s="11"/>
      <c r="BW1173" s="11"/>
      <c r="BX1173" s="11"/>
      <c r="BY1173" s="11"/>
      <c r="BZ1173" s="11"/>
      <c r="CA1173" s="11"/>
      <c r="CB1173" s="11"/>
      <c r="CC1173" s="11"/>
      <c r="CD1173" s="11"/>
      <c r="CE1173" s="11"/>
      <c r="CF1173" s="11"/>
      <c r="CG1173" s="11"/>
      <c r="CH1173" s="11"/>
      <c r="CI1173" s="11"/>
      <c r="CJ1173" s="11"/>
      <c r="CK1173" s="11"/>
      <c r="CL1173" s="11"/>
      <c r="CM1173" s="11"/>
      <c r="CN1173" s="11"/>
      <c r="CO1173" s="11"/>
      <c r="CP1173" s="11"/>
      <c r="CQ1173" s="11"/>
      <c r="CR1173" s="11"/>
      <c r="CS1173" s="11"/>
      <c r="CT1173" s="11"/>
      <c r="CU1173" s="11"/>
      <c r="CV1173" s="11"/>
      <c r="CW1173" s="11"/>
      <c r="CX1173" s="11"/>
      <c r="CY1173" s="11"/>
      <c r="CZ1173" s="11"/>
      <c r="DA1173" s="11"/>
      <c r="DB1173" s="11"/>
      <c r="DC1173" s="11"/>
      <c r="DD1173" s="11"/>
      <c r="DE1173" s="11"/>
      <c r="DF1173" s="11"/>
      <c r="DG1173" s="11"/>
      <c r="DH1173" s="11"/>
      <c r="DI1173" s="11"/>
      <c r="DJ1173" s="11"/>
      <c r="DK1173" s="11"/>
      <c r="DL1173" s="11"/>
      <c r="DM1173" s="11"/>
      <c r="DN1173" s="11"/>
      <c r="DO1173" s="11"/>
      <c r="DP1173" s="11"/>
      <c r="DQ1173" s="11"/>
      <c r="DR1173" s="11"/>
      <c r="DS1173" s="11"/>
      <c r="DT1173" s="11"/>
      <c r="DU1173" s="11"/>
      <c r="DV1173" s="11"/>
      <c r="DW1173" s="11"/>
      <c r="DX1173" s="11"/>
      <c r="DY1173" s="11"/>
      <c r="DZ1173" s="11"/>
      <c r="EA1173" s="11"/>
      <c r="EB1173" s="11"/>
      <c r="EC1173" s="11"/>
      <c r="ED1173" s="11"/>
      <c r="EE1173" s="11"/>
      <c r="EF1173" s="11"/>
      <c r="EG1173" s="11"/>
      <c r="EH1173" s="11"/>
      <c r="EI1173" s="11"/>
    </row>
    <row r="1174" spans="1:139" s="52" customFormat="1">
      <c r="A1174" s="85"/>
      <c r="B1174" s="99"/>
      <c r="C1174" s="11"/>
      <c r="K1174" s="77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11"/>
      <c r="AW1174" s="11"/>
      <c r="AX1174" s="11"/>
      <c r="AY1174" s="11"/>
      <c r="AZ1174" s="11"/>
      <c r="BA1174" s="11"/>
      <c r="BB1174" s="11"/>
      <c r="BC1174" s="11"/>
      <c r="BD1174" s="11"/>
      <c r="BE1174" s="11"/>
      <c r="BF1174" s="11"/>
      <c r="BG1174" s="11"/>
      <c r="BH1174" s="11"/>
      <c r="BI1174" s="11"/>
      <c r="BJ1174" s="11"/>
      <c r="BK1174" s="11"/>
      <c r="BL1174" s="11"/>
      <c r="BM1174" s="11"/>
      <c r="BN1174" s="11"/>
      <c r="BO1174" s="11"/>
      <c r="BP1174" s="11"/>
      <c r="BQ1174" s="11"/>
      <c r="BR1174" s="11"/>
      <c r="BS1174" s="11"/>
      <c r="BT1174" s="11"/>
      <c r="BU1174" s="11"/>
      <c r="BV1174" s="11"/>
      <c r="BW1174" s="11"/>
      <c r="BX1174" s="11"/>
      <c r="BY1174" s="11"/>
      <c r="BZ1174" s="11"/>
      <c r="CA1174" s="11"/>
      <c r="CB1174" s="11"/>
      <c r="CC1174" s="11"/>
      <c r="CD1174" s="11"/>
      <c r="CE1174" s="11"/>
      <c r="CF1174" s="11"/>
      <c r="CG1174" s="11"/>
      <c r="CH1174" s="11"/>
      <c r="CI1174" s="11"/>
      <c r="CJ1174" s="11"/>
      <c r="CK1174" s="11"/>
      <c r="CL1174" s="11"/>
      <c r="CM1174" s="11"/>
      <c r="CN1174" s="11"/>
      <c r="CO1174" s="11"/>
      <c r="CP1174" s="11"/>
      <c r="CQ1174" s="11"/>
      <c r="CR1174" s="11"/>
      <c r="CS1174" s="11"/>
      <c r="CT1174" s="11"/>
      <c r="CU1174" s="11"/>
      <c r="CV1174" s="11"/>
      <c r="CW1174" s="11"/>
      <c r="CX1174" s="11"/>
      <c r="CY1174" s="11"/>
      <c r="CZ1174" s="11"/>
      <c r="DA1174" s="11"/>
      <c r="DB1174" s="11"/>
      <c r="DC1174" s="11"/>
      <c r="DD1174" s="11"/>
      <c r="DE1174" s="11"/>
      <c r="DF1174" s="11"/>
      <c r="DG1174" s="11"/>
      <c r="DH1174" s="11"/>
      <c r="DI1174" s="11"/>
      <c r="DJ1174" s="11"/>
      <c r="DK1174" s="11"/>
      <c r="DL1174" s="11"/>
      <c r="DM1174" s="11"/>
      <c r="DN1174" s="11"/>
      <c r="DO1174" s="11"/>
      <c r="DP1174" s="11"/>
      <c r="DQ1174" s="11"/>
      <c r="DR1174" s="11"/>
      <c r="DS1174" s="11"/>
      <c r="DT1174" s="11"/>
      <c r="DU1174" s="11"/>
      <c r="DV1174" s="11"/>
      <c r="DW1174" s="11"/>
      <c r="DX1174" s="11"/>
      <c r="DY1174" s="11"/>
      <c r="DZ1174" s="11"/>
      <c r="EA1174" s="11"/>
      <c r="EB1174" s="11"/>
      <c r="EC1174" s="11"/>
      <c r="ED1174" s="11"/>
      <c r="EE1174" s="11"/>
      <c r="EF1174" s="11"/>
      <c r="EG1174" s="11"/>
      <c r="EH1174" s="11"/>
      <c r="EI1174" s="11"/>
    </row>
    <row r="1175" spans="1:139" s="52" customFormat="1">
      <c r="A1175" s="85"/>
      <c r="B1175" s="99"/>
      <c r="C1175" s="11"/>
      <c r="K1175" s="77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1"/>
      <c r="AY1175" s="11"/>
      <c r="AZ1175" s="11"/>
      <c r="BA1175" s="11"/>
      <c r="BB1175" s="11"/>
      <c r="BC1175" s="11"/>
      <c r="BD1175" s="11"/>
      <c r="BE1175" s="11"/>
      <c r="BF1175" s="11"/>
      <c r="BG1175" s="11"/>
      <c r="BH1175" s="11"/>
      <c r="BI1175" s="11"/>
      <c r="BJ1175" s="11"/>
      <c r="BK1175" s="11"/>
      <c r="BL1175" s="11"/>
      <c r="BM1175" s="11"/>
      <c r="BN1175" s="11"/>
      <c r="BO1175" s="11"/>
      <c r="BP1175" s="11"/>
      <c r="BQ1175" s="11"/>
      <c r="BR1175" s="11"/>
      <c r="BS1175" s="11"/>
      <c r="BT1175" s="11"/>
      <c r="BU1175" s="11"/>
      <c r="BV1175" s="11"/>
      <c r="BW1175" s="11"/>
      <c r="BX1175" s="11"/>
      <c r="BY1175" s="11"/>
      <c r="BZ1175" s="11"/>
      <c r="CA1175" s="11"/>
      <c r="CB1175" s="11"/>
      <c r="CC1175" s="11"/>
      <c r="CD1175" s="11"/>
      <c r="CE1175" s="11"/>
      <c r="CF1175" s="11"/>
      <c r="CG1175" s="11"/>
      <c r="CH1175" s="11"/>
      <c r="CI1175" s="11"/>
      <c r="CJ1175" s="11"/>
      <c r="CK1175" s="11"/>
      <c r="CL1175" s="11"/>
      <c r="CM1175" s="11"/>
      <c r="CN1175" s="11"/>
      <c r="CO1175" s="11"/>
      <c r="CP1175" s="11"/>
      <c r="CQ1175" s="11"/>
      <c r="CR1175" s="11"/>
      <c r="CS1175" s="11"/>
      <c r="CT1175" s="11"/>
      <c r="CU1175" s="11"/>
      <c r="CV1175" s="11"/>
      <c r="CW1175" s="11"/>
      <c r="CX1175" s="11"/>
      <c r="CY1175" s="11"/>
      <c r="CZ1175" s="11"/>
      <c r="DA1175" s="11"/>
      <c r="DB1175" s="11"/>
      <c r="DC1175" s="11"/>
      <c r="DD1175" s="11"/>
      <c r="DE1175" s="11"/>
      <c r="DF1175" s="11"/>
      <c r="DG1175" s="11"/>
      <c r="DH1175" s="11"/>
      <c r="DI1175" s="11"/>
      <c r="DJ1175" s="11"/>
      <c r="DK1175" s="11"/>
      <c r="DL1175" s="11"/>
      <c r="DM1175" s="11"/>
      <c r="DN1175" s="11"/>
      <c r="DO1175" s="11"/>
      <c r="DP1175" s="11"/>
      <c r="DQ1175" s="11"/>
      <c r="DR1175" s="11"/>
      <c r="DS1175" s="11"/>
      <c r="DT1175" s="11"/>
      <c r="DU1175" s="11"/>
      <c r="DV1175" s="11"/>
      <c r="DW1175" s="11"/>
      <c r="DX1175" s="11"/>
      <c r="DY1175" s="11"/>
      <c r="DZ1175" s="11"/>
      <c r="EA1175" s="11"/>
      <c r="EB1175" s="11"/>
      <c r="EC1175" s="11"/>
      <c r="ED1175" s="11"/>
      <c r="EE1175" s="11"/>
      <c r="EF1175" s="11"/>
      <c r="EG1175" s="11"/>
      <c r="EH1175" s="11"/>
      <c r="EI1175" s="11"/>
    </row>
    <row r="1176" spans="1:139" s="52" customFormat="1">
      <c r="A1176" s="85"/>
      <c r="B1176" s="99"/>
      <c r="C1176" s="11"/>
      <c r="K1176" s="77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  <c r="AS1176" s="11"/>
      <c r="AT1176" s="11"/>
      <c r="AU1176" s="11"/>
      <c r="AV1176" s="11"/>
      <c r="AW1176" s="11"/>
      <c r="AX1176" s="11"/>
      <c r="AY1176" s="11"/>
      <c r="AZ1176" s="11"/>
      <c r="BA1176" s="11"/>
      <c r="BB1176" s="11"/>
      <c r="BC1176" s="11"/>
      <c r="BD1176" s="11"/>
      <c r="BE1176" s="11"/>
      <c r="BF1176" s="11"/>
      <c r="BG1176" s="11"/>
      <c r="BH1176" s="11"/>
      <c r="BI1176" s="11"/>
      <c r="BJ1176" s="11"/>
      <c r="BK1176" s="11"/>
      <c r="BL1176" s="11"/>
      <c r="BM1176" s="11"/>
      <c r="BN1176" s="11"/>
      <c r="BO1176" s="11"/>
      <c r="BP1176" s="11"/>
      <c r="BQ1176" s="11"/>
      <c r="BR1176" s="11"/>
      <c r="BS1176" s="11"/>
      <c r="BT1176" s="11"/>
      <c r="BU1176" s="11"/>
      <c r="BV1176" s="11"/>
      <c r="BW1176" s="11"/>
      <c r="BX1176" s="11"/>
      <c r="BY1176" s="11"/>
      <c r="BZ1176" s="11"/>
      <c r="CA1176" s="11"/>
      <c r="CB1176" s="11"/>
      <c r="CC1176" s="11"/>
      <c r="CD1176" s="11"/>
      <c r="CE1176" s="11"/>
      <c r="CF1176" s="11"/>
      <c r="CG1176" s="11"/>
      <c r="CH1176" s="11"/>
      <c r="CI1176" s="11"/>
      <c r="CJ1176" s="11"/>
      <c r="CK1176" s="11"/>
      <c r="CL1176" s="11"/>
      <c r="CM1176" s="11"/>
      <c r="CN1176" s="11"/>
      <c r="CO1176" s="11"/>
      <c r="CP1176" s="11"/>
      <c r="CQ1176" s="11"/>
      <c r="CR1176" s="11"/>
      <c r="CS1176" s="11"/>
      <c r="CT1176" s="11"/>
      <c r="CU1176" s="11"/>
      <c r="CV1176" s="11"/>
      <c r="CW1176" s="11"/>
      <c r="CX1176" s="11"/>
      <c r="CY1176" s="11"/>
      <c r="CZ1176" s="11"/>
      <c r="DA1176" s="11"/>
      <c r="DB1176" s="11"/>
      <c r="DC1176" s="11"/>
      <c r="DD1176" s="11"/>
      <c r="DE1176" s="11"/>
      <c r="DF1176" s="11"/>
      <c r="DG1176" s="11"/>
      <c r="DH1176" s="11"/>
      <c r="DI1176" s="11"/>
      <c r="DJ1176" s="11"/>
      <c r="DK1176" s="11"/>
      <c r="DL1176" s="11"/>
      <c r="DM1176" s="11"/>
      <c r="DN1176" s="11"/>
      <c r="DO1176" s="11"/>
      <c r="DP1176" s="11"/>
      <c r="DQ1176" s="11"/>
      <c r="DR1176" s="11"/>
      <c r="DS1176" s="11"/>
      <c r="DT1176" s="11"/>
      <c r="DU1176" s="11"/>
      <c r="DV1176" s="11"/>
      <c r="DW1176" s="11"/>
      <c r="DX1176" s="11"/>
      <c r="DY1176" s="11"/>
      <c r="DZ1176" s="11"/>
      <c r="EA1176" s="11"/>
      <c r="EB1176" s="11"/>
      <c r="EC1176" s="11"/>
      <c r="ED1176" s="11"/>
      <c r="EE1176" s="11"/>
      <c r="EF1176" s="11"/>
      <c r="EG1176" s="11"/>
      <c r="EH1176" s="11"/>
      <c r="EI1176" s="11"/>
    </row>
    <row r="1177" spans="1:139" s="52" customFormat="1">
      <c r="A1177" s="85"/>
      <c r="B1177" s="99"/>
      <c r="C1177" s="11"/>
      <c r="K1177" s="77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  <c r="AV1177" s="11"/>
      <c r="AW1177" s="11"/>
      <c r="AX1177" s="11"/>
      <c r="AY1177" s="11"/>
      <c r="AZ1177" s="11"/>
      <c r="BA1177" s="11"/>
      <c r="BB1177" s="11"/>
      <c r="BC1177" s="11"/>
      <c r="BD1177" s="11"/>
      <c r="BE1177" s="11"/>
      <c r="BF1177" s="11"/>
      <c r="BG1177" s="11"/>
      <c r="BH1177" s="11"/>
      <c r="BI1177" s="11"/>
      <c r="BJ1177" s="11"/>
      <c r="BK1177" s="11"/>
      <c r="BL1177" s="11"/>
      <c r="BM1177" s="11"/>
      <c r="BN1177" s="11"/>
      <c r="BO1177" s="11"/>
      <c r="BP1177" s="11"/>
      <c r="BQ1177" s="11"/>
      <c r="BR1177" s="11"/>
      <c r="BS1177" s="11"/>
      <c r="BT1177" s="11"/>
      <c r="BU1177" s="11"/>
      <c r="BV1177" s="11"/>
      <c r="BW1177" s="11"/>
      <c r="BX1177" s="11"/>
      <c r="BY1177" s="11"/>
      <c r="BZ1177" s="11"/>
      <c r="CA1177" s="11"/>
      <c r="CB1177" s="11"/>
      <c r="CC1177" s="11"/>
      <c r="CD1177" s="11"/>
      <c r="CE1177" s="11"/>
      <c r="CF1177" s="11"/>
      <c r="CG1177" s="11"/>
      <c r="CH1177" s="11"/>
      <c r="CI1177" s="11"/>
      <c r="CJ1177" s="11"/>
      <c r="CK1177" s="11"/>
      <c r="CL1177" s="11"/>
      <c r="CM1177" s="11"/>
      <c r="CN1177" s="11"/>
      <c r="CO1177" s="11"/>
      <c r="CP1177" s="11"/>
      <c r="CQ1177" s="11"/>
      <c r="CR1177" s="11"/>
      <c r="CS1177" s="11"/>
      <c r="CT1177" s="11"/>
      <c r="CU1177" s="11"/>
      <c r="CV1177" s="11"/>
      <c r="CW1177" s="11"/>
      <c r="CX1177" s="11"/>
      <c r="CY1177" s="11"/>
      <c r="CZ1177" s="11"/>
      <c r="DA1177" s="11"/>
      <c r="DB1177" s="11"/>
      <c r="DC1177" s="11"/>
      <c r="DD1177" s="11"/>
      <c r="DE1177" s="11"/>
      <c r="DF1177" s="11"/>
      <c r="DG1177" s="11"/>
      <c r="DH1177" s="11"/>
      <c r="DI1177" s="11"/>
      <c r="DJ1177" s="11"/>
      <c r="DK1177" s="11"/>
      <c r="DL1177" s="11"/>
      <c r="DM1177" s="11"/>
      <c r="DN1177" s="11"/>
      <c r="DO1177" s="11"/>
      <c r="DP1177" s="11"/>
      <c r="DQ1177" s="11"/>
      <c r="DR1177" s="11"/>
      <c r="DS1177" s="11"/>
      <c r="DT1177" s="11"/>
      <c r="DU1177" s="11"/>
      <c r="DV1177" s="11"/>
      <c r="DW1177" s="11"/>
      <c r="DX1177" s="11"/>
      <c r="DY1177" s="11"/>
      <c r="DZ1177" s="11"/>
      <c r="EA1177" s="11"/>
      <c r="EB1177" s="11"/>
      <c r="EC1177" s="11"/>
      <c r="ED1177" s="11"/>
      <c r="EE1177" s="11"/>
      <c r="EF1177" s="11"/>
      <c r="EG1177" s="11"/>
      <c r="EH1177" s="11"/>
      <c r="EI1177" s="11"/>
    </row>
    <row r="1178" spans="1:139" s="52" customFormat="1">
      <c r="A1178" s="85"/>
      <c r="B1178" s="99"/>
      <c r="C1178" s="11"/>
      <c r="K1178" s="77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1"/>
      <c r="AY1178" s="11"/>
      <c r="AZ1178" s="11"/>
      <c r="BA1178" s="11"/>
      <c r="BB1178" s="11"/>
      <c r="BC1178" s="11"/>
      <c r="BD1178" s="11"/>
      <c r="BE1178" s="11"/>
      <c r="BF1178" s="11"/>
      <c r="BG1178" s="11"/>
      <c r="BH1178" s="11"/>
      <c r="BI1178" s="11"/>
      <c r="BJ1178" s="11"/>
      <c r="BK1178" s="11"/>
      <c r="BL1178" s="11"/>
      <c r="BM1178" s="11"/>
      <c r="BN1178" s="11"/>
      <c r="BO1178" s="11"/>
      <c r="BP1178" s="11"/>
      <c r="BQ1178" s="11"/>
      <c r="BR1178" s="11"/>
      <c r="BS1178" s="11"/>
      <c r="BT1178" s="11"/>
      <c r="BU1178" s="11"/>
      <c r="BV1178" s="11"/>
      <c r="BW1178" s="11"/>
      <c r="BX1178" s="11"/>
      <c r="BY1178" s="11"/>
      <c r="BZ1178" s="11"/>
      <c r="CA1178" s="11"/>
      <c r="CB1178" s="11"/>
      <c r="CC1178" s="11"/>
      <c r="CD1178" s="11"/>
      <c r="CE1178" s="11"/>
      <c r="CF1178" s="11"/>
      <c r="CG1178" s="11"/>
      <c r="CH1178" s="11"/>
      <c r="CI1178" s="11"/>
      <c r="CJ1178" s="11"/>
      <c r="CK1178" s="11"/>
      <c r="CL1178" s="11"/>
      <c r="CM1178" s="11"/>
      <c r="CN1178" s="11"/>
      <c r="CO1178" s="11"/>
      <c r="CP1178" s="11"/>
      <c r="CQ1178" s="11"/>
      <c r="CR1178" s="11"/>
      <c r="CS1178" s="11"/>
      <c r="CT1178" s="11"/>
      <c r="CU1178" s="11"/>
      <c r="CV1178" s="11"/>
      <c r="CW1178" s="11"/>
      <c r="CX1178" s="11"/>
      <c r="CY1178" s="11"/>
      <c r="CZ1178" s="11"/>
      <c r="DA1178" s="11"/>
      <c r="DB1178" s="11"/>
      <c r="DC1178" s="11"/>
      <c r="DD1178" s="11"/>
      <c r="DE1178" s="11"/>
      <c r="DF1178" s="11"/>
      <c r="DG1178" s="11"/>
      <c r="DH1178" s="11"/>
      <c r="DI1178" s="11"/>
      <c r="DJ1178" s="11"/>
      <c r="DK1178" s="11"/>
      <c r="DL1178" s="11"/>
      <c r="DM1178" s="11"/>
      <c r="DN1178" s="11"/>
      <c r="DO1178" s="11"/>
      <c r="DP1178" s="11"/>
      <c r="DQ1178" s="11"/>
      <c r="DR1178" s="11"/>
      <c r="DS1178" s="11"/>
      <c r="DT1178" s="11"/>
      <c r="DU1178" s="11"/>
      <c r="DV1178" s="11"/>
      <c r="DW1178" s="11"/>
      <c r="DX1178" s="11"/>
      <c r="DY1178" s="11"/>
      <c r="DZ1178" s="11"/>
      <c r="EA1178" s="11"/>
      <c r="EB1178" s="11"/>
      <c r="EC1178" s="11"/>
      <c r="ED1178" s="11"/>
      <c r="EE1178" s="11"/>
      <c r="EF1178" s="11"/>
      <c r="EG1178" s="11"/>
      <c r="EH1178" s="11"/>
      <c r="EI1178" s="11"/>
    </row>
    <row r="1179" spans="1:139" s="52" customFormat="1">
      <c r="A1179" s="85"/>
      <c r="B1179" s="99"/>
      <c r="C1179" s="11"/>
      <c r="K1179" s="77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11"/>
      <c r="AW1179" s="11"/>
      <c r="AX1179" s="11"/>
      <c r="AY1179" s="11"/>
      <c r="AZ1179" s="11"/>
      <c r="BA1179" s="11"/>
      <c r="BB1179" s="11"/>
      <c r="BC1179" s="11"/>
      <c r="BD1179" s="11"/>
      <c r="BE1179" s="11"/>
      <c r="BF1179" s="11"/>
      <c r="BG1179" s="11"/>
      <c r="BH1179" s="11"/>
      <c r="BI1179" s="11"/>
      <c r="BJ1179" s="11"/>
      <c r="BK1179" s="11"/>
      <c r="BL1179" s="11"/>
      <c r="BM1179" s="11"/>
      <c r="BN1179" s="11"/>
      <c r="BO1179" s="11"/>
      <c r="BP1179" s="11"/>
      <c r="BQ1179" s="11"/>
      <c r="BR1179" s="11"/>
      <c r="BS1179" s="11"/>
      <c r="BT1179" s="11"/>
      <c r="BU1179" s="11"/>
      <c r="BV1179" s="11"/>
      <c r="BW1179" s="11"/>
      <c r="BX1179" s="11"/>
      <c r="BY1179" s="11"/>
      <c r="BZ1179" s="11"/>
      <c r="CA1179" s="11"/>
      <c r="CB1179" s="11"/>
      <c r="CC1179" s="11"/>
      <c r="CD1179" s="11"/>
      <c r="CE1179" s="11"/>
      <c r="CF1179" s="11"/>
      <c r="CG1179" s="11"/>
      <c r="CH1179" s="11"/>
      <c r="CI1179" s="11"/>
      <c r="CJ1179" s="11"/>
      <c r="CK1179" s="11"/>
      <c r="CL1179" s="11"/>
      <c r="CM1179" s="11"/>
      <c r="CN1179" s="11"/>
      <c r="CO1179" s="11"/>
      <c r="CP1179" s="11"/>
      <c r="CQ1179" s="11"/>
      <c r="CR1179" s="11"/>
      <c r="CS1179" s="11"/>
      <c r="CT1179" s="11"/>
      <c r="CU1179" s="11"/>
      <c r="CV1179" s="11"/>
      <c r="CW1179" s="11"/>
      <c r="CX1179" s="11"/>
      <c r="CY1179" s="11"/>
      <c r="CZ1179" s="11"/>
      <c r="DA1179" s="11"/>
      <c r="DB1179" s="11"/>
      <c r="DC1179" s="11"/>
      <c r="DD1179" s="11"/>
      <c r="DE1179" s="11"/>
      <c r="DF1179" s="11"/>
      <c r="DG1179" s="11"/>
      <c r="DH1179" s="11"/>
      <c r="DI1179" s="11"/>
      <c r="DJ1179" s="11"/>
      <c r="DK1179" s="11"/>
      <c r="DL1179" s="11"/>
      <c r="DM1179" s="11"/>
      <c r="DN1179" s="11"/>
      <c r="DO1179" s="11"/>
      <c r="DP1179" s="11"/>
      <c r="DQ1179" s="11"/>
      <c r="DR1179" s="11"/>
      <c r="DS1179" s="11"/>
      <c r="DT1179" s="11"/>
      <c r="DU1179" s="11"/>
      <c r="DV1179" s="11"/>
      <c r="DW1179" s="11"/>
      <c r="DX1179" s="11"/>
      <c r="DY1179" s="11"/>
      <c r="DZ1179" s="11"/>
      <c r="EA1179" s="11"/>
      <c r="EB1179" s="11"/>
      <c r="EC1179" s="11"/>
      <c r="ED1179" s="11"/>
      <c r="EE1179" s="11"/>
      <c r="EF1179" s="11"/>
      <c r="EG1179" s="11"/>
      <c r="EH1179" s="11"/>
      <c r="EI1179" s="11"/>
    </row>
    <row r="1180" spans="1:139" s="52" customFormat="1">
      <c r="A1180" s="85"/>
      <c r="B1180" s="99"/>
      <c r="C1180" s="11"/>
      <c r="K1180" s="77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  <c r="AV1180" s="11"/>
      <c r="AW1180" s="11"/>
      <c r="AX1180" s="11"/>
      <c r="AY1180" s="11"/>
      <c r="AZ1180" s="11"/>
      <c r="BA1180" s="11"/>
      <c r="BB1180" s="11"/>
      <c r="BC1180" s="11"/>
      <c r="BD1180" s="11"/>
      <c r="BE1180" s="11"/>
      <c r="BF1180" s="11"/>
      <c r="BG1180" s="11"/>
      <c r="BH1180" s="11"/>
      <c r="BI1180" s="11"/>
      <c r="BJ1180" s="11"/>
      <c r="BK1180" s="11"/>
      <c r="BL1180" s="11"/>
      <c r="BM1180" s="11"/>
      <c r="BN1180" s="11"/>
      <c r="BO1180" s="11"/>
      <c r="BP1180" s="11"/>
      <c r="BQ1180" s="11"/>
      <c r="BR1180" s="11"/>
      <c r="BS1180" s="11"/>
      <c r="BT1180" s="11"/>
      <c r="BU1180" s="11"/>
      <c r="BV1180" s="11"/>
      <c r="BW1180" s="11"/>
      <c r="BX1180" s="11"/>
      <c r="BY1180" s="11"/>
      <c r="BZ1180" s="11"/>
      <c r="CA1180" s="11"/>
      <c r="CB1180" s="11"/>
      <c r="CC1180" s="11"/>
      <c r="CD1180" s="11"/>
      <c r="CE1180" s="11"/>
      <c r="CF1180" s="11"/>
      <c r="CG1180" s="11"/>
      <c r="CH1180" s="11"/>
      <c r="CI1180" s="11"/>
      <c r="CJ1180" s="11"/>
      <c r="CK1180" s="11"/>
      <c r="CL1180" s="11"/>
      <c r="CM1180" s="11"/>
      <c r="CN1180" s="11"/>
      <c r="CO1180" s="11"/>
      <c r="CP1180" s="11"/>
      <c r="CQ1180" s="11"/>
      <c r="CR1180" s="11"/>
      <c r="CS1180" s="11"/>
      <c r="CT1180" s="11"/>
      <c r="CU1180" s="11"/>
      <c r="CV1180" s="11"/>
      <c r="CW1180" s="11"/>
      <c r="CX1180" s="11"/>
      <c r="CY1180" s="11"/>
      <c r="CZ1180" s="11"/>
      <c r="DA1180" s="11"/>
      <c r="DB1180" s="11"/>
      <c r="DC1180" s="11"/>
      <c r="DD1180" s="11"/>
      <c r="DE1180" s="11"/>
      <c r="DF1180" s="11"/>
      <c r="DG1180" s="11"/>
      <c r="DH1180" s="11"/>
      <c r="DI1180" s="11"/>
      <c r="DJ1180" s="11"/>
      <c r="DK1180" s="11"/>
      <c r="DL1180" s="11"/>
      <c r="DM1180" s="11"/>
      <c r="DN1180" s="11"/>
      <c r="DO1180" s="11"/>
      <c r="DP1180" s="11"/>
      <c r="DQ1180" s="11"/>
      <c r="DR1180" s="11"/>
      <c r="DS1180" s="11"/>
      <c r="DT1180" s="11"/>
      <c r="DU1180" s="11"/>
      <c r="DV1180" s="11"/>
      <c r="DW1180" s="11"/>
      <c r="DX1180" s="11"/>
      <c r="DY1180" s="11"/>
      <c r="DZ1180" s="11"/>
      <c r="EA1180" s="11"/>
      <c r="EB1180" s="11"/>
      <c r="EC1180" s="11"/>
      <c r="ED1180" s="11"/>
      <c r="EE1180" s="11"/>
      <c r="EF1180" s="11"/>
      <c r="EG1180" s="11"/>
      <c r="EH1180" s="11"/>
      <c r="EI1180" s="11"/>
    </row>
    <row r="1181" spans="1:139" s="52" customFormat="1">
      <c r="A1181" s="85"/>
      <c r="B1181" s="99"/>
      <c r="C1181" s="11"/>
      <c r="K1181" s="77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11"/>
      <c r="AW1181" s="11"/>
      <c r="AX1181" s="11"/>
      <c r="AY1181" s="11"/>
      <c r="AZ1181" s="11"/>
      <c r="BA1181" s="11"/>
      <c r="BB1181" s="11"/>
      <c r="BC1181" s="11"/>
      <c r="BD1181" s="11"/>
      <c r="BE1181" s="11"/>
      <c r="BF1181" s="11"/>
      <c r="BG1181" s="11"/>
      <c r="BH1181" s="11"/>
      <c r="BI1181" s="11"/>
      <c r="BJ1181" s="11"/>
      <c r="BK1181" s="11"/>
      <c r="BL1181" s="11"/>
      <c r="BM1181" s="11"/>
      <c r="BN1181" s="11"/>
      <c r="BO1181" s="11"/>
      <c r="BP1181" s="11"/>
      <c r="BQ1181" s="11"/>
      <c r="BR1181" s="11"/>
      <c r="BS1181" s="11"/>
      <c r="BT1181" s="11"/>
      <c r="BU1181" s="11"/>
      <c r="BV1181" s="11"/>
      <c r="BW1181" s="11"/>
      <c r="BX1181" s="11"/>
      <c r="BY1181" s="11"/>
      <c r="BZ1181" s="11"/>
      <c r="CA1181" s="11"/>
      <c r="CB1181" s="11"/>
      <c r="CC1181" s="11"/>
      <c r="CD1181" s="11"/>
      <c r="CE1181" s="11"/>
      <c r="CF1181" s="11"/>
      <c r="CG1181" s="11"/>
      <c r="CH1181" s="11"/>
      <c r="CI1181" s="11"/>
      <c r="CJ1181" s="11"/>
      <c r="CK1181" s="11"/>
      <c r="CL1181" s="11"/>
      <c r="CM1181" s="11"/>
      <c r="CN1181" s="11"/>
      <c r="CO1181" s="11"/>
      <c r="CP1181" s="11"/>
      <c r="CQ1181" s="11"/>
      <c r="CR1181" s="11"/>
      <c r="CS1181" s="11"/>
      <c r="CT1181" s="11"/>
      <c r="CU1181" s="11"/>
      <c r="CV1181" s="11"/>
      <c r="CW1181" s="11"/>
      <c r="CX1181" s="11"/>
      <c r="CY1181" s="11"/>
      <c r="CZ1181" s="11"/>
      <c r="DA1181" s="11"/>
      <c r="DB1181" s="11"/>
      <c r="DC1181" s="11"/>
      <c r="DD1181" s="11"/>
      <c r="DE1181" s="11"/>
      <c r="DF1181" s="11"/>
      <c r="DG1181" s="11"/>
      <c r="DH1181" s="11"/>
      <c r="DI1181" s="11"/>
      <c r="DJ1181" s="11"/>
      <c r="DK1181" s="11"/>
      <c r="DL1181" s="11"/>
      <c r="DM1181" s="11"/>
      <c r="DN1181" s="11"/>
      <c r="DO1181" s="11"/>
      <c r="DP1181" s="11"/>
      <c r="DQ1181" s="11"/>
      <c r="DR1181" s="11"/>
      <c r="DS1181" s="11"/>
      <c r="DT1181" s="11"/>
      <c r="DU1181" s="11"/>
      <c r="DV1181" s="11"/>
      <c r="DW1181" s="11"/>
      <c r="DX1181" s="11"/>
      <c r="DY1181" s="11"/>
      <c r="DZ1181" s="11"/>
      <c r="EA1181" s="11"/>
      <c r="EB1181" s="11"/>
      <c r="EC1181" s="11"/>
      <c r="ED1181" s="11"/>
      <c r="EE1181" s="11"/>
      <c r="EF1181" s="11"/>
      <c r="EG1181" s="11"/>
      <c r="EH1181" s="11"/>
      <c r="EI1181" s="11"/>
    </row>
    <row r="1182" spans="1:139" s="52" customFormat="1">
      <c r="A1182" s="85"/>
      <c r="B1182" s="99"/>
      <c r="C1182" s="11"/>
      <c r="K1182" s="77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  <c r="AV1182" s="11"/>
      <c r="AW1182" s="11"/>
      <c r="AX1182" s="11"/>
      <c r="AY1182" s="11"/>
      <c r="AZ1182" s="11"/>
      <c r="BA1182" s="11"/>
      <c r="BB1182" s="11"/>
      <c r="BC1182" s="11"/>
      <c r="BD1182" s="11"/>
      <c r="BE1182" s="11"/>
      <c r="BF1182" s="11"/>
      <c r="BG1182" s="11"/>
      <c r="BH1182" s="11"/>
      <c r="BI1182" s="11"/>
      <c r="BJ1182" s="11"/>
      <c r="BK1182" s="11"/>
      <c r="BL1182" s="11"/>
      <c r="BM1182" s="11"/>
      <c r="BN1182" s="11"/>
      <c r="BO1182" s="11"/>
      <c r="BP1182" s="11"/>
      <c r="BQ1182" s="11"/>
      <c r="BR1182" s="11"/>
      <c r="BS1182" s="11"/>
      <c r="BT1182" s="11"/>
      <c r="BU1182" s="11"/>
      <c r="BV1182" s="11"/>
      <c r="BW1182" s="11"/>
      <c r="BX1182" s="11"/>
      <c r="BY1182" s="11"/>
      <c r="BZ1182" s="11"/>
      <c r="CA1182" s="11"/>
      <c r="CB1182" s="11"/>
      <c r="CC1182" s="11"/>
      <c r="CD1182" s="11"/>
      <c r="CE1182" s="11"/>
      <c r="CF1182" s="11"/>
      <c r="CG1182" s="11"/>
      <c r="CH1182" s="11"/>
      <c r="CI1182" s="11"/>
      <c r="CJ1182" s="11"/>
      <c r="CK1182" s="11"/>
      <c r="CL1182" s="11"/>
      <c r="CM1182" s="11"/>
      <c r="CN1182" s="11"/>
      <c r="CO1182" s="11"/>
      <c r="CP1182" s="11"/>
      <c r="CQ1182" s="11"/>
      <c r="CR1182" s="11"/>
      <c r="CS1182" s="11"/>
      <c r="CT1182" s="11"/>
      <c r="CU1182" s="11"/>
      <c r="CV1182" s="11"/>
      <c r="CW1182" s="11"/>
      <c r="CX1182" s="11"/>
      <c r="CY1182" s="11"/>
      <c r="CZ1182" s="11"/>
      <c r="DA1182" s="11"/>
      <c r="DB1182" s="11"/>
      <c r="DC1182" s="11"/>
      <c r="DD1182" s="11"/>
      <c r="DE1182" s="11"/>
      <c r="DF1182" s="11"/>
      <c r="DG1182" s="11"/>
      <c r="DH1182" s="11"/>
      <c r="DI1182" s="11"/>
      <c r="DJ1182" s="11"/>
      <c r="DK1182" s="11"/>
      <c r="DL1182" s="11"/>
      <c r="DM1182" s="11"/>
      <c r="DN1182" s="11"/>
      <c r="DO1182" s="11"/>
      <c r="DP1182" s="11"/>
      <c r="DQ1182" s="11"/>
      <c r="DR1182" s="11"/>
      <c r="DS1182" s="11"/>
      <c r="DT1182" s="11"/>
      <c r="DU1182" s="11"/>
      <c r="DV1182" s="11"/>
      <c r="DW1182" s="11"/>
      <c r="DX1182" s="11"/>
      <c r="DY1182" s="11"/>
      <c r="DZ1182" s="11"/>
      <c r="EA1182" s="11"/>
      <c r="EB1182" s="11"/>
      <c r="EC1182" s="11"/>
      <c r="ED1182" s="11"/>
      <c r="EE1182" s="11"/>
      <c r="EF1182" s="11"/>
      <c r="EG1182" s="11"/>
      <c r="EH1182" s="11"/>
      <c r="EI1182" s="11"/>
    </row>
  </sheetData>
  <autoFilter ref="A6:J949" xr:uid="{00000000-0009-0000-0000-000001000000}"/>
  <mergeCells count="23">
    <mergeCell ref="A938:K938"/>
    <mergeCell ref="J1:K1"/>
    <mergeCell ref="B922:G922"/>
    <mergeCell ref="B923:G923"/>
    <mergeCell ref="A2:K2"/>
    <mergeCell ref="A930:K930"/>
    <mergeCell ref="A924:G924"/>
    <mergeCell ref="A925:G925"/>
    <mergeCell ref="A927:K927"/>
    <mergeCell ref="A928:K928"/>
    <mergeCell ref="A929:K929"/>
    <mergeCell ref="A3:K3"/>
    <mergeCell ref="A4:K4"/>
    <mergeCell ref="A5:K5"/>
    <mergeCell ref="A8:J8"/>
    <mergeCell ref="A457:G457"/>
    <mergeCell ref="A458:G458"/>
    <mergeCell ref="A459:J459"/>
    <mergeCell ref="A933:K933"/>
    <mergeCell ref="A935:K935"/>
    <mergeCell ref="A937:K937"/>
    <mergeCell ref="A934:K934"/>
    <mergeCell ref="A936:K936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47" fitToHeight="0" orientation="landscape" r:id="rId1"/>
  <rowBreaks count="1" manualBreakCount="1">
    <brk id="944" max="1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ВДЦ№1 (отопление)</vt:lpstr>
      <vt:lpstr>'ВДЦ№1 (отопление)'!Область_печати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Горожанова Ольга Николаевна</dc:creator>
  <cp:lastModifiedBy>Абдуллин Олег (EngP3/SLC1)</cp:lastModifiedBy>
  <cp:revision>2</cp:revision>
  <dcterms:created xsi:type="dcterms:W3CDTF">2015-06-05T18:19:34Z</dcterms:created>
  <dcterms:modified xsi:type="dcterms:W3CDTF">2025-11-24T11:56:21Z</dcterms:modified>
</cp:coreProperties>
</file>