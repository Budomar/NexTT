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7E95B153-6802-40C7-995D-8E186A0C4D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екц.1-2" sheetId="3" r:id="rId1"/>
    <sheet name="секц.3" sheetId="1" r:id="rId2"/>
    <sheet name="секц.4-5" sheetId="4" r:id="rId3"/>
    <sheet name="секц.6-7" sheetId="5" r:id="rId4"/>
  </sheets>
  <definedNames>
    <definedName name="_xlnm._FilterDatabase" localSheetId="0" hidden="1">'секц.1-2'!$A$3:$F$250</definedName>
    <definedName name="_xlnm._FilterDatabase" localSheetId="1" hidden="1">секц.3!$A$3:$D$215</definedName>
    <definedName name="_xlnm._FilterDatabase" localSheetId="2" hidden="1">'секц.4-5'!$A$16:$F$273</definedName>
    <definedName name="_xlnm._FilterDatabase" localSheetId="3" hidden="1">'секц.6-7'!$A$13:$F$256</definedName>
    <definedName name="_xlnm.Print_Area" localSheetId="0">'секц.1-2'!$A$1:$I$251</definedName>
    <definedName name="_xlnm.Print_Area" localSheetId="1">секц.3!$A$1:$D$231</definedName>
    <definedName name="_xlnm.Print_Area" localSheetId="2">'секц.4-5'!$A$1:$F$273</definedName>
    <definedName name="_xlnm.Print_Area" localSheetId="3">'секц.6-7'!$A$1:$F$256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5" i="5" l="1"/>
  <c r="F254" i="5"/>
  <c r="F252" i="5"/>
  <c r="F251" i="5"/>
  <c r="F250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273" i="4"/>
  <c r="F272" i="4"/>
  <c r="F271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249" i="3" l="1"/>
  <c r="I249" i="3" s="1"/>
  <c r="F248" i="3"/>
  <c r="I248" i="3" s="1"/>
  <c r="F246" i="3"/>
  <c r="I246" i="3" s="1"/>
  <c r="F245" i="3"/>
  <c r="I245" i="3" s="1"/>
  <c r="F244" i="3"/>
  <c r="I244" i="3" s="1"/>
  <c r="F242" i="3"/>
  <c r="I242" i="3" s="1"/>
  <c r="F241" i="3"/>
  <c r="I241" i="3" s="1"/>
  <c r="F240" i="3"/>
  <c r="I240" i="3" s="1"/>
  <c r="F239" i="3"/>
  <c r="I239" i="3" s="1"/>
  <c r="F238" i="3"/>
  <c r="I238" i="3" s="1"/>
  <c r="F237" i="3"/>
  <c r="I237" i="3" s="1"/>
  <c r="F236" i="3"/>
  <c r="I236" i="3" s="1"/>
  <c r="F235" i="3"/>
  <c r="I235" i="3" s="1"/>
  <c r="F234" i="3"/>
  <c r="I234" i="3" s="1"/>
  <c r="F233" i="3"/>
  <c r="I233" i="3" s="1"/>
  <c r="F232" i="3"/>
  <c r="I232" i="3" s="1"/>
  <c r="F231" i="3"/>
  <c r="I231" i="3" s="1"/>
  <c r="F230" i="3"/>
  <c r="I230" i="3" s="1"/>
  <c r="F229" i="3"/>
  <c r="I229" i="3" s="1"/>
  <c r="F228" i="3"/>
  <c r="I228" i="3" s="1"/>
  <c r="F227" i="3"/>
  <c r="I227" i="3" s="1"/>
  <c r="F226" i="3"/>
  <c r="I226" i="3" s="1"/>
  <c r="F225" i="3"/>
  <c r="I225" i="3" s="1"/>
  <c r="F224" i="3"/>
  <c r="I224" i="3" s="1"/>
  <c r="F223" i="3"/>
  <c r="I223" i="3" s="1"/>
  <c r="F221" i="3"/>
  <c r="I221" i="3" s="1"/>
  <c r="F220" i="3"/>
  <c r="I220" i="3" s="1"/>
  <c r="F219" i="3"/>
  <c r="I219" i="3" s="1"/>
  <c r="F218" i="3"/>
  <c r="I218" i="3" s="1"/>
  <c r="F217" i="3"/>
  <c r="I217" i="3" s="1"/>
  <c r="F216" i="3"/>
  <c r="I216" i="3" s="1"/>
  <c r="F215" i="3"/>
  <c r="I215" i="3" s="1"/>
  <c r="F214" i="3"/>
  <c r="I214" i="3" s="1"/>
  <c r="F213" i="3"/>
  <c r="I213" i="3" s="1"/>
  <c r="F212" i="3"/>
  <c r="I212" i="3" s="1"/>
  <c r="F211" i="3"/>
  <c r="I211" i="3" s="1"/>
  <c r="F210" i="3"/>
  <c r="I210" i="3" s="1"/>
  <c r="F209" i="3"/>
  <c r="I209" i="3" s="1"/>
  <c r="F208" i="3"/>
  <c r="I208" i="3" s="1"/>
  <c r="F207" i="3"/>
  <c r="I207" i="3" s="1"/>
  <c r="F206" i="3"/>
  <c r="I206" i="3" s="1"/>
  <c r="F205" i="3"/>
  <c r="I205" i="3" s="1"/>
  <c r="F204" i="3"/>
  <c r="I204" i="3" s="1"/>
  <c r="F203" i="3"/>
  <c r="I203" i="3" s="1"/>
  <c r="F202" i="3"/>
  <c r="I202" i="3" s="1"/>
  <c r="F201" i="3"/>
  <c r="I201" i="3" s="1"/>
  <c r="F200" i="3"/>
  <c r="I200" i="3" s="1"/>
  <c r="F199" i="3"/>
  <c r="I199" i="3" s="1"/>
  <c r="F198" i="3"/>
  <c r="I198" i="3" s="1"/>
  <c r="F197" i="3"/>
  <c r="I197" i="3" s="1"/>
  <c r="F196" i="3"/>
  <c r="I196" i="3" s="1"/>
  <c r="F195" i="3"/>
  <c r="I195" i="3" s="1"/>
  <c r="F194" i="3"/>
  <c r="I194" i="3" s="1"/>
  <c r="F193" i="3"/>
  <c r="I193" i="3" s="1"/>
  <c r="F192" i="3"/>
  <c r="I192" i="3" s="1"/>
  <c r="F191" i="3"/>
  <c r="I191" i="3" s="1"/>
  <c r="F190" i="3"/>
  <c r="I190" i="3" s="1"/>
  <c r="F189" i="3"/>
  <c r="I189" i="3" s="1"/>
  <c r="F188" i="3"/>
  <c r="I188" i="3" s="1"/>
  <c r="F187" i="3"/>
  <c r="I187" i="3" s="1"/>
  <c r="F186" i="3"/>
  <c r="I186" i="3" s="1"/>
  <c r="F185" i="3"/>
  <c r="I185" i="3" s="1"/>
  <c r="F184" i="3"/>
  <c r="I184" i="3" s="1"/>
  <c r="F182" i="3"/>
  <c r="I182" i="3" s="1"/>
  <c r="F181" i="3"/>
  <c r="I181" i="3" s="1"/>
  <c r="F180" i="3"/>
  <c r="I180" i="3" s="1"/>
  <c r="F179" i="3"/>
  <c r="I179" i="3" s="1"/>
  <c r="F178" i="3"/>
  <c r="I178" i="3" s="1"/>
  <c r="F177" i="3"/>
  <c r="I177" i="3" s="1"/>
  <c r="F176" i="3"/>
  <c r="I176" i="3" s="1"/>
  <c r="F175" i="3"/>
  <c r="I175" i="3" s="1"/>
  <c r="F174" i="3"/>
  <c r="I174" i="3" s="1"/>
  <c r="F173" i="3"/>
  <c r="I173" i="3" s="1"/>
  <c r="F172" i="3"/>
  <c r="I172" i="3" s="1"/>
  <c r="F171" i="3"/>
  <c r="I171" i="3" s="1"/>
  <c r="F170" i="3"/>
  <c r="I170" i="3" s="1"/>
  <c r="F169" i="3"/>
  <c r="I169" i="3" s="1"/>
  <c r="F168" i="3"/>
  <c r="I168" i="3" s="1"/>
  <c r="F167" i="3"/>
  <c r="I167" i="3" s="1"/>
  <c r="F166" i="3"/>
  <c r="I166" i="3" s="1"/>
  <c r="F165" i="3"/>
  <c r="I165" i="3" s="1"/>
  <c r="F164" i="3"/>
  <c r="I164" i="3" s="1"/>
  <c r="F163" i="3"/>
  <c r="I163" i="3" s="1"/>
  <c r="F162" i="3"/>
  <c r="I162" i="3" s="1"/>
  <c r="F161" i="3"/>
  <c r="I161" i="3" s="1"/>
  <c r="F160" i="3"/>
  <c r="I160" i="3" s="1"/>
  <c r="F159" i="3"/>
  <c r="I159" i="3" s="1"/>
  <c r="F158" i="3"/>
  <c r="I158" i="3" s="1"/>
  <c r="F157" i="3"/>
  <c r="I157" i="3" s="1"/>
  <c r="F156" i="3"/>
  <c r="I156" i="3" s="1"/>
  <c r="F155" i="3"/>
  <c r="I155" i="3" s="1"/>
  <c r="F154" i="3"/>
  <c r="I154" i="3" s="1"/>
  <c r="F153" i="3"/>
  <c r="I153" i="3" s="1"/>
  <c r="F152" i="3"/>
  <c r="I152" i="3" s="1"/>
  <c r="F151" i="3"/>
  <c r="I151" i="3" s="1"/>
  <c r="F150" i="3"/>
  <c r="I150" i="3" s="1"/>
  <c r="F149" i="3"/>
  <c r="I149" i="3" s="1"/>
  <c r="F148" i="3"/>
  <c r="I148" i="3" s="1"/>
  <c r="F147" i="3"/>
  <c r="I147" i="3" s="1"/>
  <c r="F146" i="3"/>
  <c r="I146" i="3" s="1"/>
  <c r="F145" i="3"/>
  <c r="I145" i="3" s="1"/>
  <c r="F143" i="3"/>
  <c r="I143" i="3" s="1"/>
  <c r="F142" i="3"/>
  <c r="I142" i="3" s="1"/>
  <c r="F141" i="3"/>
  <c r="I141" i="3" s="1"/>
  <c r="F140" i="3"/>
  <c r="I140" i="3" s="1"/>
  <c r="F139" i="3"/>
  <c r="I139" i="3" s="1"/>
  <c r="F138" i="3"/>
  <c r="I138" i="3" s="1"/>
  <c r="F137" i="3"/>
  <c r="I137" i="3" s="1"/>
  <c r="F136" i="3"/>
  <c r="I136" i="3" s="1"/>
  <c r="F135" i="3"/>
  <c r="I135" i="3" s="1"/>
  <c r="F134" i="3"/>
  <c r="I134" i="3" s="1"/>
  <c r="F133" i="3"/>
  <c r="I133" i="3" s="1"/>
  <c r="F132" i="3"/>
  <c r="I132" i="3" s="1"/>
  <c r="F131" i="3"/>
  <c r="I131" i="3" s="1"/>
  <c r="F130" i="3"/>
  <c r="I130" i="3" s="1"/>
  <c r="F129" i="3"/>
  <c r="I129" i="3" s="1"/>
  <c r="F128" i="3"/>
  <c r="I128" i="3" s="1"/>
  <c r="F127" i="3"/>
  <c r="I127" i="3" s="1"/>
  <c r="F126" i="3"/>
  <c r="I126" i="3" s="1"/>
  <c r="F125" i="3"/>
  <c r="I125" i="3" s="1"/>
  <c r="F124" i="3"/>
  <c r="I124" i="3" s="1"/>
  <c r="F123" i="3"/>
  <c r="I123" i="3" s="1"/>
  <c r="F122" i="3"/>
  <c r="I122" i="3" s="1"/>
  <c r="F121" i="3"/>
  <c r="I121" i="3" s="1"/>
  <c r="F120" i="3"/>
  <c r="I120" i="3" s="1"/>
  <c r="F119" i="3"/>
  <c r="I119" i="3" s="1"/>
  <c r="F118" i="3"/>
  <c r="I118" i="3" s="1"/>
  <c r="F117" i="3"/>
  <c r="I117" i="3" s="1"/>
  <c r="F116" i="3"/>
  <c r="I116" i="3" s="1"/>
  <c r="F115" i="3"/>
  <c r="I115" i="3" s="1"/>
  <c r="F114" i="3"/>
  <c r="I114" i="3" s="1"/>
  <c r="F113" i="3"/>
  <c r="I113" i="3" s="1"/>
  <c r="F112" i="3"/>
  <c r="I112" i="3" s="1"/>
  <c r="F111" i="3"/>
  <c r="I111" i="3" s="1"/>
  <c r="F110" i="3"/>
  <c r="I110" i="3" s="1"/>
  <c r="F109" i="3"/>
  <c r="I109" i="3" s="1"/>
  <c r="F108" i="3"/>
  <c r="I108" i="3" s="1"/>
  <c r="F107" i="3"/>
  <c r="I107" i="3" s="1"/>
  <c r="F106" i="3"/>
  <c r="I106" i="3" s="1"/>
  <c r="F105" i="3"/>
  <c r="I105" i="3" s="1"/>
  <c r="F103" i="3"/>
  <c r="I103" i="3" s="1"/>
  <c r="F102" i="3"/>
  <c r="I102" i="3" s="1"/>
  <c r="F101" i="3"/>
  <c r="I101" i="3" s="1"/>
  <c r="F100" i="3"/>
  <c r="I100" i="3" s="1"/>
  <c r="F99" i="3"/>
  <c r="I99" i="3" s="1"/>
  <c r="F98" i="3"/>
  <c r="I98" i="3" s="1"/>
  <c r="F97" i="3"/>
  <c r="I97" i="3" s="1"/>
  <c r="F96" i="3"/>
  <c r="I96" i="3" s="1"/>
  <c r="F95" i="3"/>
  <c r="I95" i="3" s="1"/>
  <c r="F94" i="3"/>
  <c r="I94" i="3" s="1"/>
  <c r="F93" i="3"/>
  <c r="I93" i="3" s="1"/>
  <c r="F92" i="3"/>
  <c r="I92" i="3" s="1"/>
  <c r="F91" i="3"/>
  <c r="I91" i="3" s="1"/>
  <c r="F90" i="3"/>
  <c r="I90" i="3" s="1"/>
  <c r="F89" i="3"/>
  <c r="I89" i="3" s="1"/>
  <c r="F88" i="3"/>
  <c r="I88" i="3" s="1"/>
  <c r="F87" i="3"/>
  <c r="I87" i="3" s="1"/>
  <c r="F86" i="3"/>
  <c r="I86" i="3" s="1"/>
  <c r="F85" i="3"/>
  <c r="I85" i="3" s="1"/>
  <c r="F84" i="3"/>
  <c r="I84" i="3" s="1"/>
  <c r="F83" i="3"/>
  <c r="I83" i="3" s="1"/>
  <c r="F82" i="3"/>
  <c r="I82" i="3" s="1"/>
  <c r="F81" i="3"/>
  <c r="I81" i="3" s="1"/>
  <c r="F80" i="3"/>
  <c r="I80" i="3" s="1"/>
  <c r="F79" i="3"/>
  <c r="I79" i="3" s="1"/>
  <c r="F78" i="3"/>
  <c r="I78" i="3" s="1"/>
  <c r="F77" i="3"/>
  <c r="I77" i="3" s="1"/>
  <c r="F76" i="3"/>
  <c r="I76" i="3" s="1"/>
  <c r="F75" i="3"/>
  <c r="I75" i="3" s="1"/>
  <c r="F74" i="3"/>
  <c r="I74" i="3" s="1"/>
  <c r="F73" i="3"/>
  <c r="I73" i="3" s="1"/>
  <c r="F72" i="3"/>
  <c r="I72" i="3" s="1"/>
  <c r="F71" i="3"/>
  <c r="I71" i="3" s="1"/>
  <c r="F70" i="3"/>
  <c r="I70" i="3" s="1"/>
  <c r="F69" i="3"/>
  <c r="I69" i="3" s="1"/>
  <c r="F68" i="3"/>
  <c r="I68" i="3" s="1"/>
  <c r="F67" i="3"/>
  <c r="I67" i="3" s="1"/>
  <c r="F66" i="3"/>
  <c r="I66" i="3" s="1"/>
  <c r="F65" i="3"/>
  <c r="I65" i="3" s="1"/>
  <c r="F64" i="3"/>
  <c r="I64" i="3" s="1"/>
  <c r="F63" i="3"/>
  <c r="I63" i="3" s="1"/>
  <c r="F62" i="3"/>
  <c r="I62" i="3" s="1"/>
  <c r="F61" i="3"/>
  <c r="I61" i="3" s="1"/>
  <c r="F60" i="3"/>
  <c r="I60" i="3" s="1"/>
  <c r="F59" i="3"/>
  <c r="I59" i="3" s="1"/>
  <c r="F58" i="3"/>
  <c r="I58" i="3" s="1"/>
  <c r="F57" i="3"/>
  <c r="I57" i="3" s="1"/>
  <c r="F56" i="3"/>
  <c r="I56" i="3" s="1"/>
  <c r="F55" i="3"/>
  <c r="I55" i="3" s="1"/>
  <c r="F54" i="3"/>
  <c r="I54" i="3" s="1"/>
  <c r="F52" i="3"/>
  <c r="I52" i="3" s="1"/>
  <c r="F51" i="3"/>
  <c r="I51" i="3" s="1"/>
  <c r="F50" i="3"/>
  <c r="I50" i="3" s="1"/>
  <c r="F49" i="3"/>
  <c r="I49" i="3" s="1"/>
  <c r="F48" i="3"/>
  <c r="I48" i="3" s="1"/>
  <c r="F47" i="3"/>
  <c r="I47" i="3" s="1"/>
  <c r="F46" i="3"/>
  <c r="I46" i="3" s="1"/>
  <c r="F45" i="3"/>
  <c r="I45" i="3" s="1"/>
  <c r="F44" i="3"/>
  <c r="I44" i="3" s="1"/>
  <c r="F43" i="3"/>
  <c r="I43" i="3" s="1"/>
  <c r="F42" i="3"/>
  <c r="I42" i="3" s="1"/>
  <c r="F41" i="3"/>
  <c r="I41" i="3" s="1"/>
  <c r="F40" i="3"/>
  <c r="I40" i="3" s="1"/>
  <c r="F39" i="3"/>
  <c r="I39" i="3" s="1"/>
  <c r="F38" i="3"/>
  <c r="I38" i="3" s="1"/>
  <c r="F37" i="3"/>
  <c r="I37" i="3" s="1"/>
  <c r="F36" i="3"/>
  <c r="I36" i="3" s="1"/>
  <c r="F35" i="3"/>
  <c r="I35" i="3" s="1"/>
  <c r="F34" i="3"/>
  <c r="I34" i="3" s="1"/>
  <c r="F33" i="3"/>
  <c r="I33" i="3" s="1"/>
  <c r="F32" i="3"/>
  <c r="I32" i="3" s="1"/>
  <c r="F31" i="3"/>
  <c r="I31" i="3" s="1"/>
  <c r="F30" i="3"/>
  <c r="I30" i="3" s="1"/>
  <c r="F29" i="3"/>
  <c r="I29" i="3" s="1"/>
  <c r="F28" i="3"/>
  <c r="I28" i="3" s="1"/>
  <c r="F27" i="3"/>
  <c r="I27" i="3" s="1"/>
  <c r="F26" i="3"/>
  <c r="I26" i="3" s="1"/>
  <c r="F25" i="3"/>
  <c r="I25" i="3" s="1"/>
  <c r="F24" i="3"/>
  <c r="I24" i="3" s="1"/>
  <c r="F23" i="3"/>
  <c r="I23" i="3" s="1"/>
  <c r="F22" i="3"/>
  <c r="I22" i="3" s="1"/>
  <c r="F21" i="3"/>
  <c r="I21" i="3" s="1"/>
  <c r="F20" i="3"/>
  <c r="I20" i="3" s="1"/>
  <c r="F19" i="3"/>
  <c r="I19" i="3" s="1"/>
  <c r="F18" i="3"/>
  <c r="I18" i="3" s="1"/>
  <c r="F17" i="3"/>
  <c r="I17" i="3" s="1"/>
  <c r="F16" i="3"/>
  <c r="I16" i="3" s="1"/>
  <c r="F15" i="3"/>
  <c r="I15" i="3" s="1"/>
  <c r="F14" i="3"/>
  <c r="I14" i="3" s="1"/>
  <c r="F13" i="3"/>
  <c r="I13" i="3" s="1"/>
  <c r="F12" i="3"/>
  <c r="I12" i="3" s="1"/>
  <c r="F11" i="3"/>
  <c r="I11" i="3" s="1"/>
  <c r="F10" i="3"/>
  <c r="I10" i="3" s="1"/>
  <c r="F9" i="3"/>
  <c r="I9" i="3" s="1"/>
  <c r="F8" i="3"/>
  <c r="I8" i="3" s="1"/>
  <c r="F7" i="3"/>
  <c r="I7" i="3" s="1"/>
  <c r="F6" i="3"/>
  <c r="I6" i="3" s="1"/>
  <c r="F5" i="3"/>
  <c r="I5" i="3" s="1"/>
  <c r="F4" i="3"/>
  <c r="I4" i="3" s="1"/>
  <c r="I250" i="3" l="1"/>
</calcChain>
</file>

<file path=xl/sharedStrings.xml><?xml version="1.0" encoding="utf-8"?>
<sst xmlns="http://schemas.openxmlformats.org/spreadsheetml/2006/main" count="1969" uniqueCount="386">
  <si>
    <t>м</t>
  </si>
  <si>
    <t>№ п/п</t>
  </si>
  <si>
    <t xml:space="preserve">Наименование </t>
  </si>
  <si>
    <t>Материалы</t>
  </si>
  <si>
    <t>Работы</t>
  </si>
  <si>
    <t>ед. изм.</t>
  </si>
  <si>
    <t>Коммерческое предложение.</t>
  </si>
  <si>
    <t xml:space="preserve">(Наименование организации) </t>
  </si>
  <si>
    <t>Общая стоимость, руб. с НДС.</t>
  </si>
  <si>
    <t>Стоимость  за ед., руб.   с НДС.</t>
  </si>
  <si>
    <t>Справочно:</t>
  </si>
  <si>
    <t>В стоимость входят все затраты, механизмы и расходные материалы необходимые для выполнения полного объема работ, в том числе:</t>
  </si>
  <si>
    <t>1</t>
  </si>
  <si>
    <t>все материалы для выполнения полного комплекса работ (включая расходные).</t>
  </si>
  <si>
    <t>2</t>
  </si>
  <si>
    <t>все механизмы включая, но не ограничиваясь: доставка материалов, подъем/разноска материалов, прочие механизмы, оборудование и.т.д.</t>
  </si>
  <si>
    <t>3</t>
  </si>
  <si>
    <t>4</t>
  </si>
  <si>
    <t>устройство/демонтаж подмостей, стремянок, тепляков (при необходимости) и прочих приспособлений</t>
  </si>
  <si>
    <t>5</t>
  </si>
  <si>
    <t xml:space="preserve">затраты на перебазировку/аренду бытовых помещений </t>
  </si>
  <si>
    <t>6</t>
  </si>
  <si>
    <t>7</t>
  </si>
  <si>
    <t>затраты на соблюдение правил по охраны труда и техники безопасности.</t>
  </si>
  <si>
    <t>8</t>
  </si>
  <si>
    <t>9</t>
  </si>
  <si>
    <t>компенсация затрат на электроэнергию, водоснабжение</t>
  </si>
  <si>
    <t>заработная плата рабочих, накладные расходы, сметная прибыль с учетов зимнего удорожания, оплату всех налогов включая НДС, непредвиденные расходы, составление ППР и тех. Карт, и.т.д.</t>
  </si>
  <si>
    <t>подготовка и сдача исполнительной документации</t>
  </si>
  <si>
    <t xml:space="preserve">компенсация затрат на аренду башенного крана (при необходимости) </t>
  </si>
  <si>
    <t>пусконаладка всего комплекса работ</t>
  </si>
  <si>
    <t xml:space="preserve">Объект: «Комплекс многоэтажных жилых домов со встроенно-пристроенными нежилыми помещениями и подземно-наземной автостоянкой, расположенный в границах улиц: Ломоносова - Калинина - 40-лет Октября г. Екатеринбург, Свердловская область». Жилой дом №4(стр.). 1 и 2 этап строительства </t>
  </si>
  <si>
    <t>компл</t>
  </si>
  <si>
    <t>Гидравлическое испытание</t>
  </si>
  <si>
    <t>Пусконаладочные работы</t>
  </si>
  <si>
    <t>ВСЕГО, в т.ч. НДС</t>
  </si>
  <si>
    <t>очистка рабочих мест от мусора и снега, уборка и вывоз мусора.</t>
  </si>
  <si>
    <t>подготовка и сдача исполнительных схем с нанесением фактического расположения трубопроводов (с нанесением длины трубопровода и Ду)</t>
  </si>
  <si>
    <t>Кол-во</t>
  </si>
  <si>
    <t>шт.</t>
  </si>
  <si>
    <t>СО1</t>
  </si>
  <si>
    <t>H-образный модуль</t>
  </si>
  <si>
    <t>Воздухоотводчик автоматический DN15 Airvent-R 065B8223R Ридан</t>
  </si>
  <si>
    <t>Компенсатор сильфонный DN40 Энергия-Термо Протон-Энергия</t>
  </si>
  <si>
    <t>Компенсатор сильфонный DN65 Энергия-Термо Протон-Энергия</t>
  </si>
  <si>
    <t>Кран Маевского</t>
  </si>
  <si>
    <t>Кран шаровой DN25 BVR-R 065B8309RG Ридан</t>
  </si>
  <si>
    <t>Кран шаровой DN65 RJIP Standard FF 065N9626R Ридан</t>
  </si>
  <si>
    <t>Кран шаровой никелированный DN15 BVR-R 065B8207 Ридан</t>
  </si>
  <si>
    <t>Неподвижная опора Энергия-Термо DN40 НО.ЭТ.16.040.48.1.С Протон-Энергия</t>
  </si>
  <si>
    <t>Неподвижная опора Энергия-Термо DN65 НО.ЭТ.16.065.76.1.С Протон-Энергия</t>
  </si>
  <si>
    <t>Термостатический элемент со встроенным датчиком RAW 5030 Danfoss</t>
  </si>
  <si>
    <t>Узел распределительный коллекторный TDU.5R DN50-3R-25-MNT20-APT20-MNT15 Ридан</t>
  </si>
  <si>
    <t>Узел распределительный коллекторный TDU.5R DN50-5L-25-MNT20-APT20-MNT15 Ридан</t>
  </si>
  <si>
    <t>Узел распределительный коллекторный TDU.5R DN50-6R-25-MNT20-APT20-MNT15 Ридан</t>
  </si>
  <si>
    <t>Теплосчетчик</t>
  </si>
  <si>
    <t>Труб из сшитого полиэтилена PE-Xa (с антидифузионным покрытием EVOH) Ø16х2,2 Prado Pe-Xa</t>
  </si>
  <si>
    <t>Труб из сшитого полиэтилена PE-Xa (с антидифузионным покрытием EVOH) Ø20х2,8 Prado Pe-Xa</t>
  </si>
  <si>
    <t>Труб из сшитого полиэтилена PE-Xa (с антидифузионным покрытием EVOH) Ø25х3,5 Prado Pe-Xa</t>
  </si>
  <si>
    <t>Труба стальная водогазопроводная обыкновенная Ø15х2,8 ГОСТ 3262-75*</t>
  </si>
  <si>
    <t>Труба стальная водогазопроводная обыкновенная Ø20х2,8 ГОСТ 3262-75*</t>
  </si>
  <si>
    <t>Труба стальная водогазопроводная обыкновенная Ø25х3,2 ГОСТ 3262-75*</t>
  </si>
  <si>
    <t>Труба стальная водогазопроводная обыкновенная Ø32х3,2 ГОСТ 3262-75*</t>
  </si>
  <si>
    <t>Труба стальная водогазопроводная обыкновенная Ø40х3,5 ГОСТ 3262-75*</t>
  </si>
  <si>
    <t>Труба стальная электросварная прямошовная с внутренним и наружным антикоррозионным покрытием Ø57х3,5 ГОСТ 10704-91</t>
  </si>
  <si>
    <t>Труба стальная электросварная прямошовная с внутренним и наружным антикоррозионным покрытием Ø76х3,5 ГОСТ 10704-92</t>
  </si>
  <si>
    <t>Труба стальная электросварная прямошовная с внутренним и наружным антикоррозионным покрытием Ø108х3,5 ГОСТ 10704-93</t>
  </si>
  <si>
    <t>Изоляция из вспененного каучука толщ. 13 мм для ø15 Isotec Flex</t>
  </si>
  <si>
    <t>Изоляция из вспененного каучука толщ. 13 мм для ø20 Isotec Flex</t>
  </si>
  <si>
    <t>кг</t>
  </si>
  <si>
    <t>Изоляция из вспененного каучука толщ. 13 мм для ø25 Isotec Flex</t>
  </si>
  <si>
    <t>Изоляция из вспененного каучука толщ. 13 мм для ø32 Isotec Flex</t>
  </si>
  <si>
    <t>Изоляция из вспененного каучука толщ. 13 мм для ø40 Isotec Flex</t>
  </si>
  <si>
    <t>Изоляция из вспененного каучука толщ. 13 мм для ø50 Isotec Flex</t>
  </si>
  <si>
    <t>Изоляция из вспененного каучука толщ. 13 мм для ø65 Isotec Flex</t>
  </si>
  <si>
    <t>Изоляция из вспененного каучука толщ. 13 мм для ø100 Isotec Flex</t>
  </si>
  <si>
    <t>Изоляция цилиндрами из вспененного полиэтилена в защитной оболочке толщ.9 мм для ø16 ENERGOFLEX SUPER PROTECT</t>
  </si>
  <si>
    <t>Изоляция цилиндрами из вспененного полиэтилена в защитной оболочке толщ.9 мм для ø20 ENERGOFLEX SUPER PROTECT</t>
  </si>
  <si>
    <t>Изоляция цилиндрами из вспененного полиэтилена в защитной оболочке толщ.9 мм для ø25 ENERGOFLEX SUPER PROTECT</t>
  </si>
  <si>
    <t>Грунтовка ГФ-021 в 1 слой ГОСТ 25129-82</t>
  </si>
  <si>
    <t>Крепления для стальных трубопроводов Серия 5.900-7 вып.4</t>
  </si>
  <si>
    <t>Эмаль ПФ-115 в 2 слоя ГОСТ 6465-76</t>
  </si>
  <si>
    <t>СО2</t>
  </si>
  <si>
    <t>Клапан запорный радиаторный прямой, с возможностью дренажа DN15 RLV-П 003L0144R Ридан</t>
  </si>
  <si>
    <t>Клапан термолегулятора прямой DN15 TR-N 013G7014R Ридан</t>
  </si>
  <si>
    <t>Кран шаровой никелированный DN20 BVR-R 065B8207 Ридан</t>
  </si>
  <si>
    <t>Кран шаровой никелированный DN25 BVR-R 065B8207 Ридан</t>
  </si>
  <si>
    <t>Термостатический элемент со встроенным датчиком RAW 5030</t>
  </si>
  <si>
    <t>СО4</t>
  </si>
  <si>
    <t>Кран шаровой для подключения датчиков температуры PN16 DN15 187F 187F0593 Ридан</t>
  </si>
  <si>
    <t>Кран шаровой для подключения датчиков температуры PN16 DN20 187F 187F0593 Ридан</t>
  </si>
  <si>
    <t>Теплосчетчик ультразвуковой</t>
  </si>
  <si>
    <t>Фильтр сетчатый DN15 FVR-R 065B8235R Ридан</t>
  </si>
  <si>
    <t>Фильтр сетчатый DN20 FVR-R 065B8235R Ридан</t>
  </si>
  <si>
    <t>СО5</t>
  </si>
  <si>
    <t>Компенсатор сильфонный Энергия-Термо DN50 Протон-Энергия</t>
  </si>
  <si>
    <t>Компенсатор сильфонный Энергия-Термо DN80 Протон-Энергия</t>
  </si>
  <si>
    <t>Кран шаровой DN80 RJIP Standard FF 065N9627R Ридан</t>
  </si>
  <si>
    <t>Неподвижная опора Энергия-Термо DN50 НО.ЭТ.16.050.60.1.С Протон-Энергия</t>
  </si>
  <si>
    <t>Неподвижная опора Энергия-Термо DN80 НО.ЭТ.16.080.89.1.С Протон-Энергия</t>
  </si>
  <si>
    <t>Узел распределительный коллекторный TDU.5R DN50-6R-25-MNT20-APT20-MNT15 146G7324R Ридан</t>
  </si>
  <si>
    <t>Труба стальная электросварная прямошовная с внутренним и наружным антикоррозионным покрытием Ø89х4,0 ГОСТ 10704-93</t>
  </si>
  <si>
    <t>Труба стальная электросварная прямошовная с внутренним и наружным антикоррозионным покрытием Ø108х3,5 ГОСТ 10704-94</t>
  </si>
  <si>
    <t>Изоляция из вспененного каучука толщ. 13 мм для ø80 Isotec Flex</t>
  </si>
  <si>
    <t>Изоляция из вспененного каучука толщ. 19 мм для ø100 Isotec Flex</t>
  </si>
  <si>
    <t>Прочее</t>
  </si>
  <si>
    <t>Радиатор панельный, нижнее подключение справа, в комплекте с заглушкой, настенными кронштейнами  Universal 11-500-400 Prado</t>
  </si>
  <si>
    <t>Радиатор панельный, нижнее подключение справа, в комплекте с заглушкой, настенными кронштейнами  Universal 11-500-1800 Prado</t>
  </si>
  <si>
    <t>Радиатор панельный, нижнее подключение справа, в комплекте с заглушкой, настенными кронштейнами  Universal 11-500-1700 Prado</t>
  </si>
  <si>
    <t>Радиатор панельный, нижнее подключение справа, в комплекте с заглушкой, настенными кронштейнами  Universal 11-500-1500 Prado</t>
  </si>
  <si>
    <t>Радиатор панельный, нижнее подключение справа, в комплекте с заглушкой, настенными кронштейнами  Universal 11-500-1400 Prado</t>
  </si>
  <si>
    <t>Радиатор панельный, нижнее подключение справа, в комплекте с заглушкой, настенными кронштейнами  Universal 11-500-1300 Prado</t>
  </si>
  <si>
    <t>Радиатор панельный, нижнее подключение справа, в комплекте с заглушкой, настенными кронштейнами Universal 11-500-1200 Prado</t>
  </si>
  <si>
    <t>Радиатор панельный, нижнее подключение справа, в комплекте с заглушкой, настенными кронштейнами  Universal 11-500-1100 Prado</t>
  </si>
  <si>
    <t>Радиатор панельный, нижнее подключение справа, в комплекте с заглушкой, настенными кронштейнами  Universal 11-500-1000 Prado</t>
  </si>
  <si>
    <t>Радиатор панельный, нижнее подключение справа, в комплекте с заглушкой, настенными кронштейнами  Universal 11-500-900 Prado</t>
  </si>
  <si>
    <t>Радиатор панельный, нижнее подключение справа, в комплекте с заглушкой, настенными кронштейнами  Universal 11-500-800 Prado</t>
  </si>
  <si>
    <t>Радиатор панельный, нижнее подключение справа, в комплекте с заглушкой, настенными кронштейнами  Universal 11-500-700 Prado</t>
  </si>
  <si>
    <t>Радиатор панельный, нижнее подключение справа, в комплекте с заглушкой, настенными кронштейнами  Universal 11-500-600 Prado</t>
  </si>
  <si>
    <t>Радиатор панельный, нижнее подключение справа, в комплекте с заглушкой, настенными кронштейнами  Universal 11-500-500 Prado</t>
  </si>
  <si>
    <t>Радиатор панельный, нижнее подключение справа, в комплекте с заглушкой, настенными кронштейнами  Universal 22-500-1200 Prado</t>
  </si>
  <si>
    <t>Радиатор панельный, нижнее подключение справа, в комплекте с заглушкой, настенными кронштейнами  Universal 22-500-900 Prado</t>
  </si>
  <si>
    <t>Радиатор панельный, нижнее подключение справа, в комплекте с заглушкой, настенными кронштейнами  Universal 22-500-800 Prado</t>
  </si>
  <si>
    <t>Радиатор панельный, нижнее подключение справа, в комплекте с заглушкой, настенными кронштейнами  Universal 22-500-700 Prado</t>
  </si>
  <si>
    <t>Радиатор панельный, нижнее подключение справа, в комплекте с заглушкой, настенными кронштейнами  Universal 22-500-600 Prado</t>
  </si>
  <si>
    <t>Радиатор панельный, нижнее подключение справа, в комплекте с заглушкой, настенными кронштейнами  Universal 11-500-2200 Prado</t>
  </si>
  <si>
    <t>Радиатор панельный, нижнее подключение справа, в комплекте с заглушкой, настенными кронштейнами  Universal 11-500-1900 Prado</t>
  </si>
  <si>
    <t>Радиатор панельный стальной, в комплекте с заглушкой, настенными кронштейнами  Classic 11-500-400 Prado</t>
  </si>
  <si>
    <t>Радиатор панельный стальной, в комплекте с заглушкой, настенными кронштейнами  Classic 33-500-1500 Prado</t>
  </si>
  <si>
    <t>Радиатор панельный стальной, в комплекте с заглушкой, настенными кронштейнами  Classic 33-500-1200 Prado</t>
  </si>
  <si>
    <t>Радиатор панельный стальной, в комплекте с заглушкой, настенными кронштейнами  Classic 33-500-900 Prado</t>
  </si>
  <si>
    <t>Радиатор панельный стальной, в комплекте с заглушкой, настенными кронштейнами  Classic 11-500-1600 Prado</t>
  </si>
  <si>
    <t>Радиатор панельный стальной, в комплекте с заглушкой, настенными кронштейнами  Classic 11-500-600 Prado</t>
  </si>
  <si>
    <t>Радиатор панельный стальной, в комплекте с заглушкой, настенными кронштейнами  Classic 11-500-500 Prado</t>
  </si>
  <si>
    <t>Радиатор панельный, нижнее подключение справа, в комплекте с заглушкой, настенными кронштейнами  Universal 33-500-2600 Prado</t>
  </si>
  <si>
    <t>Радиатор панельный, нижнее подключение справа, в комплекте с заглушкой, настенными кронштейнами  Universal 33-500-1800 Prado</t>
  </si>
  <si>
    <t>Радиатор панельный, нижнее подключение справа, в комплекте с заглушкой, настенными кронштейнами  Universal 33-500-1600 Prado</t>
  </si>
  <si>
    <t>Радиатор панельный, нижнее подключение справа, в комплекте с заглушкой, настенными кронштейнами  Universal 33-500-1500 Prado</t>
  </si>
  <si>
    <t>Радиатор панельный, нижнее подключение справа, в комплекте с заглушкой, настенными кронштейнами Universal 22-500-700 Prado</t>
  </si>
  <si>
    <t>Радиатор панельный, нижнее подключение справа, в комплекте с заглушкой, настенными кронштейнами Universal 22-500-1100 Prado</t>
  </si>
  <si>
    <t>Радиатор панельный, нижнее подключение справа, в комплекте с заглушкой, настенными кронштейнами Universal 22-500-1000 Prado</t>
  </si>
  <si>
    <t>Радиатор панельный, нижнее подключение справа, в комплекте с заглушкой, настенными кронштейнами Universal 22-500-1200 Prado</t>
  </si>
  <si>
    <t>Радиатор панельный, нижнее подключение справа, в комплекте с заглушкой, настенными кронштейнами Universal 22-500-900 Prado</t>
  </si>
  <si>
    <t>Радиатор панельный, нижнее подключение справа, в комплекте с заглушкой, настенными кронштейнами Universal 22-500-800 Prado</t>
  </si>
  <si>
    <t>Радиатор панельный, нижнее подключение справа, в комплекте с заглушкой, настенными кронштейнами Universal 22-500-600 Prado</t>
  </si>
  <si>
    <t>Радиатор панельный, нижнее подключение справа, в комплекте с заглушкой, настенными кронштейнами Universal 11-500-2200 Prado</t>
  </si>
  <si>
    <t>Радиатор панельный, нижнее подключение справа, в комплекте с заглушкой, настенными кронштейнами Universal 11-500-1700 Prado</t>
  </si>
  <si>
    <t>Радиатор панельный, нижнее подключение справа, в комплекте с заглушкой, настенными кронштейнами Universal 11-500-1600 Prado</t>
  </si>
  <si>
    <t>Радиатор панельный, нижнее подключение справа, в комплекте с заглушкой, настенными кронштейнами Universal 11-500-1500 Prado</t>
  </si>
  <si>
    <t>Радиатор панельный, нижнее подключение справа, в комплекте с заглушкой, настенными кронштейнами Universal 11-500-1400 Prado</t>
  </si>
  <si>
    <t>Радиатор панельный, нижнее подключение справа, в комплекте с заглушкой, настенными кронштейнами Universal 11-500-1300 Prado</t>
  </si>
  <si>
    <t>Радиатор панельный, нижнее подключение справа, в комплекте с заглушкой, настенными кронштейнами Universal 11-500-1100 Prado</t>
  </si>
  <si>
    <t>Радиатор панельный, нижнее подключение справа, в комплекте с заглушкой, настенными кронштейнами Universal 11-500-1000 Prado</t>
  </si>
  <si>
    <t>Радиатор панельный, нижнее подключение справа, в комплекте с заглушкой, настенными кронштейнами Universal 11-500-900 Prado</t>
  </si>
  <si>
    <t>Радиатор панельный, нижнее подключение справа, в комплекте с заглушкой, настенными кронштейнами Universal 11-500-700 Prado</t>
  </si>
  <si>
    <t>Радиатор панельный, нижнее подключение справа, в комплекте с заглушкой, настенными кронштейнами Universal 11-500-500 Prado</t>
  </si>
  <si>
    <t>Радиатор панельный, нижнее подключение справа, в комплекте с заглушкой, настенными кронштейнами Universal 11-500-400 Prado</t>
  </si>
  <si>
    <t>Кран шаровой DN15 BVR-R 065B8207 Ридан</t>
  </si>
  <si>
    <t>Соединительные элементы (отводы, тройники, переходы и т.д.)</t>
  </si>
  <si>
    <t>компл.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</si>
  <si>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 Universal 11-300-900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</si>
  <si>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Universal 22-300-600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</si>
  <si>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Universal 22-300-900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</si>
  <si>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Universal 22-300-1000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</si>
  <si>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Universal 22-300-1100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</si>
  <si>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Universal 22-300-1800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</si>
  <si>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Universal 22-300-1900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</si>
  <si>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Universal 22-300-2200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</si>
  <si>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Universal 33-500-1500 Prado</t>
  </si>
  <si>
    <t>Кран шаровой DN20 BVR-R 065B8207 Ридан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</si>
  <si>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Universal 22-300-1700 Prado</t>
  </si>
  <si>
    <t>Компенсатор сильфонный Энергия-Термо DN65 Протон-Энергия</t>
  </si>
  <si>
    <t>учтен в монтаже трубопроводов</t>
  </si>
  <si>
    <t>затраты на прорезку и заделку штроб, отверстий (до Ду125)</t>
  </si>
  <si>
    <t>секция 1</t>
  </si>
  <si>
    <t>секция 2</t>
  </si>
  <si>
    <t>Всего</t>
  </si>
  <si>
    <t>Н-образный клапан LV-KB прямой LV-KB G 3/4-R 1/2 003L0392R Ридан</t>
  </si>
  <si>
    <t>Теплосчетчик ультразвуковой РУТ-01 Ридан</t>
  </si>
  <si>
    <t>Термостатический элемент со встроенным датчиком RAW 5030 Ридан</t>
  </si>
  <si>
    <t>Узел распределительный коллекторный TDU.5R DN50-4L-25-MVT20-APT20-MNT15 146G7266R Ридан</t>
  </si>
  <si>
    <t>Узел распределительный коллекторный TDU.5R DN50-7L-25-MNT20-APT20-MNT15 146G7297R Ридан</t>
  </si>
  <si>
    <t>Клапан балансировочный автоматический DN15 APT-R 003Z5701R Ридан</t>
  </si>
  <si>
    <t>Клапан балансировочный ручной DN15 MVT-R 003Z4081RLF Ридан</t>
  </si>
  <si>
    <t>Кран шаровой DN15 BVR-15 065B8207 Ридан</t>
  </si>
  <si>
    <t>Кран шаровой DN32 BVR-32 065B8210 Ридан</t>
  </si>
  <si>
    <t>Компенсатор сильфонный DN32 Энергия-Термо Протон-Энергия</t>
  </si>
  <si>
    <t>Опора неподвижная DN32 "Энергия-Термо" НО.ЭТ.16.032.42.1.С Протон-Энергия</t>
  </si>
  <si>
    <t>Опора неподвижная DN40 "Энергия-Термо" НО.ЭТ.16.040.48.1.С Протон-Энергия</t>
  </si>
  <si>
    <t>Опора неподвижная DN50 "Энергия-Термо" НО.ЭТ.16.050.60.1.С Протон-Энергия</t>
  </si>
  <si>
    <t>Изоляция из вспененного каучука толщ. 19 мм для ø50 Isotec Flex</t>
  </si>
  <si>
    <t>Изоляция из вспененного каучука толщ. 19 мм для ø65 Isotec Flex</t>
  </si>
  <si>
    <t>Изоляция цилиндрами из вспененного полиэтилена в защитной оболочке толщ. 9 мм для ø16 ENERGOFLEX SUPER PROTECT</t>
  </si>
  <si>
    <t>Изоляция цилиндрами из вспененного полиэтилена в защитной оболочке толщ. 9 мм для ø20 ENERGOFLEX SUPER PROTECT</t>
  </si>
  <si>
    <t>Радиатор панельный стальной, в комплекте с заглушкой, настенными кронштейнами Classic 11-500-500 Prado</t>
  </si>
  <si>
    <t>Радиатор панельный стальной, в комплекте с заглушкой, настенными кронштейнами Classic 11-500-800 Prado</t>
  </si>
  <si>
    <t>Радиатор панельный стальной, в комплекте с заглушкой, настенными кронштейнами Classic 11-500-900 Prado</t>
  </si>
  <si>
    <t>Радиатор панельный стальной, в комплекте с заглушкой, настенными кронштейнами Classic 22-500-500 Prado</t>
  </si>
  <si>
    <t>Радиатор панельный стальной, в комплекте с заглушкой, настенными кронштейнами Classic 22-500-900 Prado</t>
  </si>
  <si>
    <t>Радиатор панельный стальной, в комплекте с заглушкой, настенными кронштейнами Classic 22-500-1000 Prado</t>
  </si>
  <si>
    <t>Радиатор панельный стальной, в комплекте с заглушкой, настенными кронштейнами Classic 22-500-1100 Prado</t>
  </si>
  <si>
    <t>Радиатор панельный стальной, в комплекте с заглушкой, настенными кронштейнами Classic 33-500-1000 Prado</t>
  </si>
  <si>
    <t>Радиатор панельный, нижнее подключение справа, в комплекте с заглушкой, настенными кронштейнами Universal 33-500-1000 Prado</t>
  </si>
  <si>
    <t>Радиатор панельный, нижнее подключение справа, в комплекте с заглушкой, настенными кронштейнами Universal 33-500-1100 Prado</t>
  </si>
  <si>
    <t>Радиатор панельный, нижнее подключение справа, в комплекте с заглушкой, настенными кронштейнами Universal 33-500-1300 Prado</t>
  </si>
  <si>
    <t>Радиатор панельный, нижнее подключение справа, в комплекте с заглушкой, настенными кронштейнами Universal 33-500-1700 Prado</t>
  </si>
  <si>
    <t>Радиатор панельный, нижнее подключение справа, в комплекте с заглушкой, настенными кронштейнами Universal 33-500-2600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</si>
  <si>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 Universal 11-300-2000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</si>
  <si>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 Universal 11-500-2400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</si>
  <si>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Universal 11-300-2000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</si>
  <si>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Universal 11-300-2200 Prado</t>
  </si>
  <si>
    <t>Н-образный клапан LV-KB прямой LV-KB прямой G 3/4-R 1/2 003L0392R Ридан</t>
  </si>
  <si>
    <t>Клапан запорный радиаторный RLV DN15 прямой, с возможностью дренажа RLV-П DN15 003L0144R Ридан</t>
  </si>
  <si>
    <t>Клапан термолегулятора прямой TR-N TR-N DN15 013G7014R Ридан</t>
  </si>
  <si>
    <t>Кран шаровой BVR-15 065B8207 Ридан</t>
  </si>
  <si>
    <t>Кран шаровой BVR-20 065B8208 Ридан</t>
  </si>
  <si>
    <t>Кран шаровой BVR-R DN25 065B8209 Ридан</t>
  </si>
  <si>
    <t>Труб из сшитого полиэтилена PE-Xa (с антидифузионным покрытием EVOH) Ø32х4,4 Prado Pe-Xa</t>
  </si>
  <si>
    <t>Изоляция из вспененного каучука толщ. 13 мм для ø16 Isotec Flex</t>
  </si>
  <si>
    <t>Изоляция цилиндрами из вспененного полиэтилена в защитной оболочке толщ. 9 мм для ø25 ENERGOFLEX SUPER PROTECT</t>
  </si>
  <si>
    <t>Изоляция цилиндрами из вспененного полиэтилена в защитной оболочке толщ. 9 мм для ø32 ENERGOFLEX SUPER PROTECT</t>
  </si>
  <si>
    <t>СО3</t>
  </si>
  <si>
    <t>Радиатор панельный стальной, в комплекте с заглушкой, настенными кронштейнами  Classic 11-300-400 Prado</t>
  </si>
  <si>
    <t>Радиатор панельный стальной, в комплекте с заглушкой, настенными кронштейнами  Classic 11-300-500 Prado</t>
  </si>
  <si>
    <t>Радиатор панельный стальной, в комплекте с заглушкой, настенными кронштейнами  Classic 11-300-600 Prado</t>
  </si>
  <si>
    <t>Радиатор панельный стальной, в комплекте с заглушкой, настенными кронштейнами  Classic 11-300-700 Prado</t>
  </si>
  <si>
    <t>Радиатор панельный стальной, в комплекте с заглушкой, настенными кронштейнами  Classic 11-300-800 Prado</t>
  </si>
  <si>
    <t>Радиатор панельный стальной, в комплекте с заглушкой, настенными кронштейнами  Classic 11-300-900 Prado</t>
  </si>
  <si>
    <t>Радиатор панельный стальной, в комплекте с заглушкой, настенными кронштейнами  Classic 11-300-1000 Prado</t>
  </si>
  <si>
    <t>Радиатор панельный стальной, в комплекте с заглушкой, настенными кронштейнами  Classic 11-300-1100 Prado</t>
  </si>
  <si>
    <t>Радиатор панельный стальной, в комплекте с заглушкой, настенными кронштейнами  Classic 11-300-1200 Prado</t>
  </si>
  <si>
    <t>Радиатор панельный стальной, в комплекте с заглушкой, настенными кронштейнами  Classic 11-300-1400 Prado</t>
  </si>
  <si>
    <t>Радиатор панельный стальной, в комплекте заглушкой, настенными кронштейнами Classic 11-500-700 Prado</t>
  </si>
  <si>
    <t>Радиатор панельный стальной, в комплекте заглушкой, настенными кронштейнами Classic 11-500-800 Prado</t>
  </si>
  <si>
    <t>Клапан балансировочный автоматический APT-R DN15 003Z5701R Ридан</t>
  </si>
  <si>
    <t>Клапан балансировочный автоматический DN20 APT-R 003Z5702R Ридан</t>
  </si>
  <si>
    <t>Клапан балансировочный ручной MVT-R LF DN15 003Z4081RLF Ридан</t>
  </si>
  <si>
    <t>Клапан балансировочный ручной DN20 MVT-R 003Z4082RLF Ридан</t>
  </si>
  <si>
    <t>Компенсатор сильфонный DN15 Энергия-Термо Протон-Энергия</t>
  </si>
  <si>
    <t>Опора неподвижная DN15 "Энергия-Термо" НО.ЭТ.16.015.21.1.С Протон-Энергия</t>
  </si>
  <si>
    <t>Опора неподвижная DN20 "Энергия-Термо" НО.ЭТ.16.020.27.1.С Протон-Энергия</t>
  </si>
  <si>
    <t>Радиатор панельный, нижнее подключение справа, в комплекте с заглушкой, настенными кронштейнами  Universal 11-500-1200 Prado</t>
  </si>
  <si>
    <t>Радиатор панельный, нижнее подключение справа, со встроенным термостатическим клапаном. Подключение справа, в комплекте с заглушкой, настенными кронштейнами  Universal 11-300-1300 Prado</t>
  </si>
  <si>
    <t>Радиатор панельный, нижнее подключение справа, со встроенным термостатическим клапаном. Подключение справа, в комплекте с заглушкой, настенными кронштейнами  Universal 11-300-2000 Prado</t>
  </si>
  <si>
    <t>Радиатор панельный, нижнее подключение справа, со встроенным термостатическим клапаном. Подключение справа, в комплекте с заглушкой, настенными кронштейнами  Universal 11-500-1900 Prado</t>
  </si>
  <si>
    <t>Радиатор панельный, нижнее подключение справа, со встроенным термостатическим клапаном. Подключение справа, в комплекте с заглушкой, настенными кронштейнами  Universal 11-500-2200 Prado</t>
  </si>
  <si>
    <t>Радиатор панельный, нижнее подключение справа, со встроенным термостатическим клапаном. Подключение справа, в комплекте с заглушкой, настенными кронштейнами  Universal 11-500-2400 Prado</t>
  </si>
  <si>
    <t>Радиатор панельный, нижнее подключение справа, со встроенным термостатическим клапаном. Подключение справа, в комплекте с заглушкой, настенными кронштейнами  Universal 22-300-1500 Prado</t>
  </si>
  <si>
    <t>Радиатор панельный, нижнее подключение справа, в комплекте с заглушкой, настенными кронштейнами  Universal 22-500-1000 Prado</t>
  </si>
  <si>
    <t>Кран шаровой для подключения датчиков температуры 187F PN16 DN15 187F0593 Ридан</t>
  </si>
  <si>
    <t>Кран шаровой для подключения датчиков температуры 187F PN16 DN20 187F0594 Ридан</t>
  </si>
  <si>
    <t>Фильтр сетчатый FVR-R DN15 065B8235R Ридан</t>
  </si>
  <si>
    <t>Фильтр сетчатый FVR-R DN20 065B8236R Ридан</t>
  </si>
  <si>
    <t>Воздухоотводчик автоматический Airvent-R DN15 065B8223R Ридан</t>
  </si>
  <si>
    <t>Компенсатор сильфонный DN50 Энергия-Термо Протон-Энергия</t>
  </si>
  <si>
    <t>Компенсатор сильфонный DN80 Энергия-Термо Протон-Энергия</t>
  </si>
  <si>
    <t>Опора неподвижная DN65 "Энергия-Термо" НО.ЭТ.16.065.76.1.С Протон-Энергия</t>
  </si>
  <si>
    <t>Опора неподвижная DN80 "Энергия-Термо" НО.ЭТ.16.100.108.1.С Протон-Энергия</t>
  </si>
  <si>
    <t xml:space="preserve">Труб из сшитого полиэтилена PE-Xa (с антидифузионным покрытием EVOH) Ø16х2,2 Prado Pe-Xa </t>
  </si>
  <si>
    <t xml:space="preserve">Труб из сшитого полиэтилена PE-Xa (с антидифузионным покрытием EVOH) Ø20х2,8 Prado Pe-Xa </t>
  </si>
  <si>
    <t>Труба стальная электросварная прямошовная с внутренним и наружным антикоррозионным покрытием Ø76х3,5 ГОСТ 10704-91</t>
  </si>
  <si>
    <t>Труба стальная электросварная прямошовная с внутренним и наружным антикоррозионным покрытием Ø89х4,0 ГОСТ 10704-91</t>
  </si>
  <si>
    <t>Изоляция из вспененного каучука толщ. 19 мм для ø80 Isotec Flex</t>
  </si>
  <si>
    <t>СО6</t>
  </si>
  <si>
    <t>Радиатор панельный стальной, в комплекте заглушкой, настенными кронштейнами Classic 11-300-600 Prado</t>
  </si>
  <si>
    <t>Радиатор панельный стальной, в комплекте заглушкой, настенными кронштейнами Classic 11-300-700 Prado</t>
  </si>
  <si>
    <t>Радиатор панельный стальной, в комплекте заглушкой, настенными кронштейнами Classic 11-300-800 Prado</t>
  </si>
  <si>
    <t>Радиатор панельный стальной, в комплекте заглушкой, настенными кронштейнами Classic 11-300-1000 Prado</t>
  </si>
  <si>
    <t>Радиатор панельный стальной, в комплекте заглушкой, настенными кронштейнами Classic 11-300-1200 Prado</t>
  </si>
  <si>
    <t>Радиатор панельный стальной, в комплекте заглушкой, настенными кронштейнами Classic 11-300-1400 Prado</t>
  </si>
  <si>
    <t>Электроотопление</t>
  </si>
  <si>
    <t>Конвектор электрический ЭВУБ-0,5 Делсот</t>
  </si>
  <si>
    <t>Конвектор электрический ЭВУБ-1,0 Делсот</t>
  </si>
  <si>
    <t>Конвектор электрический ЭВУБ-2,0 Делсот</t>
  </si>
  <si>
    <t>на Монтаж системы отопления (Секция №4-5)</t>
  </si>
  <si>
    <t>Проект: 2706/24-Р-4/5-ОВ1</t>
  </si>
  <si>
    <t>секция 4</t>
  </si>
  <si>
    <t>секция 5</t>
  </si>
  <si>
    <t>Радиатор панельный, нижнее подключение справа, в комплекте с заглушкой, настенными кронштейнами Universal 11-500-600 Prado</t>
  </si>
  <si>
    <t>Радиатор панельный, нижнее подключение справа, в комплекте с заглушкой, настенными кронштейнами Universal 11-500-1800 Prado</t>
  </si>
  <si>
    <t>Радиатор панельный, нижнее подключение справа, в комплекте с заглушкой, настенными кронштейнами Universal 22-500-500 Prado</t>
  </si>
  <si>
    <t>Узел распределительный коллекторный TDU.5R DN50-5L-20-MVT15-APT15-MNT15 146G7003R Ридан</t>
  </si>
  <si>
    <t>Узел распределительный коллекторный на 3 отвода, левый TDU.5R DN50-3L-20-MVT15-APT15-MNT15 146G7001R Ридан</t>
  </si>
  <si>
    <t>Кран шаровой полнопроходной фланцевый с рукояткой КШЦФ DN65 LD</t>
  </si>
  <si>
    <t>Изоляция цилиндрами из вспененного полиэтилена в защитной оболочке Красная толщ. 9 мм для ø16 ENERGOFLEX SUPER PROTECT</t>
  </si>
  <si>
    <t>Изоляция цилиндрами из вспененного полиэтилена в защитной оболочке Красная толщ. 9 мм для ø20 ENERGOFLEX SUPER PROTECT</t>
  </si>
  <si>
    <t>Изоляция цилиндрами из вспененного полиэтилена в защитной оболочке Синяя толщ. 9 мм для ø16 ENERGOFLEX SUPER PROTECT</t>
  </si>
  <si>
    <t>Изоляция цилиндрами из вспененного полиэтилена в защитной оболочке Синяя толщ. 9 мм для ø20 ENERGOFLEX SUPER PROTECT</t>
  </si>
  <si>
    <t>Радиатор панельный стальной c боковым подключением, в комплекте с краном Маевского, заглушкой, настенными кронштейнами Classic 11-500-800 Prado</t>
  </si>
  <si>
    <t>Радиатор панельный стальной c боковым подключением, в комплекте с краном Маевского, заглушкой, настенными кронштейнами Classic 11-500-1000 Prado</t>
  </si>
  <si>
    <t>Радиатор панельный стальной c боковым подключением, в комплекте с краном Маевского, заглушкой, настенными кронштейнами Classic 22-500-400 Prado</t>
  </si>
  <si>
    <t>Радиатор панельный стальной c боковым подключением, в комплекте с краном Маевского, заглушкой, настенными кронштейнами Classic 22-500-500 Prado</t>
  </si>
  <si>
    <t>Радиатор панельный стальной c боковым подключением, в комплекте с краном Маевского, заглушкой, настенными кронштейнами Classic 22-500-800 Prado</t>
  </si>
  <si>
    <t>Радиатор панельный стальной c боковым подключением, в комплекте с краном Маевского, заглушкой, настенными кронштейнами Classic 22-500-900 Prado</t>
  </si>
  <si>
    <t>Радиатор панельный стальной c боковым подключением, в комплекте с краном Маевского, заглушкой, настенными кронштейнами Classic 22-500-1000 Prado</t>
  </si>
  <si>
    <t>Радиатор панельный стальной c боковым подключением, в комплекте с краном Маевского, заглушкой, настенными кронштейнами Classic 22-500-1500 Prado</t>
  </si>
  <si>
    <t>Радиатор панельный стальной c боковым подключением, в комплекте с краном Маевского, заглушкой, настенными кронштейнами Classic 33-500-1300 Prado</t>
  </si>
  <si>
    <t>Радиатор панельный стальной c боковым подключением, в комплекте с краном Маевского, заглушкой, настенными кронштейнами Classic 33-500-1500 Prado</t>
  </si>
  <si>
    <t>Радиатор панельный, нижнее подключение справа, со встроенным термостатическим клапаном. Подключение справа Universal 22-300-1200 Prado</t>
  </si>
  <si>
    <t>Радиатор панельный, нижнее подключение справа, в комплекте с заглушкой, настенными кронштейнами Universal 33-500-1200 Prado</t>
  </si>
  <si>
    <t>Радиатор панельный, нижнее подключение справа, в комплекте с заглушкой, настенными кронштейнами Universal 33-500-1500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</si>
  <si>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Universal 33-500-2400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</si>
  <si>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Universal 11-300-1700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</si>
  <si>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Universal 11-300-1800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</si>
  <si>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Universal 33-500-1900 Prado</t>
  </si>
  <si>
    <t>Клапан балансировочный автоматический APT-R DN20 003Z5702R Ридан</t>
  </si>
  <si>
    <t>Клапан балансировочный ручной MVT-R DN15 003Z4081R Ридан</t>
  </si>
  <si>
    <t>Изоляция цилиндрами из вспененного полиэтилена в защитной оболочке Синяя толщ. 9 мм для ø25 ENERGOFLEX SUPER PROTECT</t>
  </si>
  <si>
    <t>Радиатор панельный стальной, в комплекте с заглушкой, настенными кронштейнами  Classic 22-300-400 Prado</t>
  </si>
  <si>
    <t>Радиатор панельный стальной, в комплекте с заглушкой, настенными кронштейнами  Classic 22-300-500 Prado</t>
  </si>
  <si>
    <t>Радиатор панельный стальной, в комплекте с заглушкой, настенными кронштейнами  Classic 22-300-600 Prado</t>
  </si>
  <si>
    <t>Радиатор панельный стальной, в комплекте с заглушкой, настенными кронштейнами  Classic 22-300-700 Prado</t>
  </si>
  <si>
    <t>Радиатор панельный стальной, в комплекте с заглушкой, настенными кронштейнами  Classic 22-300-800 Prado</t>
  </si>
  <si>
    <t>Радиатор панельный стальной, в комплекте с заглушкой, настенными кронштейнами  Classic 22-300-1100 Prado</t>
  </si>
  <si>
    <t>Радиатор панельный стальной, в комплекте с заглушкой, настенными кронштейнами  Classic 22-300-1200 Prado</t>
  </si>
  <si>
    <t>Радиатор панельный стальной c боковым подключением, в комплекте с краном Маевского, заглушкой, настенными кронштейнами Classic 11-500-700 Prado</t>
  </si>
  <si>
    <t>Радиатор панельный стальной c боковым подключением, в комплекте с краном Маевского, заглушкой, настенными кронштейнами Classic 11-500-1200 Prado</t>
  </si>
  <si>
    <t>Изоляция из вспененного каучука толщ. 19 мм для ø20 Isotec Flex</t>
  </si>
  <si>
    <t>Изоляция из вспененного каучука толщ. 19 мм для ø25 Isotec Flex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</si>
  <si>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 Universal 11-300-1300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</si>
  <si>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 Universal 22-300-1100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</si>
  <si>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 Universal 22-300-1200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</si>
  <si>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 Universal 22-300-1300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</si>
  <si>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 Universal 22-300-1400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</si>
  <si>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 Universal 22-300-1500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</si>
  <si>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 Universal 33-300-2000 Prado</t>
  </si>
  <si>
    <t>Радиатор панельный, нижнее подключение справа, в комплекте с заглушкой, настенными кронштейнами  Universal 33-500-1000 Prado</t>
  </si>
  <si>
    <t>Радиатор панельный, нижнее подключение справа, со встроенным термостатическим клапаном, в комплекте с заглушкой, настенными кронштейнами  Universal 33-500-1500 Prado</t>
  </si>
  <si>
    <t>Теплосчетчик ультразвуковой Ридан</t>
  </si>
  <si>
    <t>Изоляция из вспененного каучука толщ. 19 мм для ø15 Isotec Flex</t>
  </si>
  <si>
    <t>Изоляция из вспененного каучука толщ. 19 мм для ø32 Isotec Flex</t>
  </si>
  <si>
    <t>Изоляция цилиндрами из вспененного полиэтилена в защитной оболочке Синяя
толщ. 9 мм для ø16 ENERGOFLEX SUPER PROTECT</t>
  </si>
  <si>
    <t>Изоляция цилиндрами из вспененного полиэтилена в защитной оболочке Синяя
толщ. 9 мм для ø20 ENERGOFLEX SUPER PROTECT</t>
  </si>
  <si>
    <t>Изоляция цилиндрами из вспененного полиэтилена в защитной оболочке Синяя
толщ. 9 мм для ø25 ENERGOFLEX SUPER PROTECT</t>
  </si>
  <si>
    <t>Изоляция цилиндрами из вспененного полиэтилена в защитной оболочке Синяя
толщ. 9 мм для ø32 ENERGOFLEX SUPER PROTECT</t>
  </si>
  <si>
    <t>Радиатор панельный, нижнее подключение справа, в комплекте с заглушкой, настенными кронштейнами Universal 22-500-1400 Prado</t>
  </si>
  <si>
    <t>Кран шаровой BVR-32 065B8210 Ридан</t>
  </si>
  <si>
    <t>Конвектор электрический ЭВУБ-1,5 Делсот</t>
  </si>
  <si>
    <t>на Монтаж системы отопления (Секция №6-7)</t>
  </si>
  <si>
    <t>Проект: 2706/24-Р-6-ОВ1, 2706/24-Р-7-ОВ1</t>
  </si>
  <si>
    <t>секция 6</t>
  </si>
  <si>
    <t>секция 7</t>
  </si>
  <si>
    <t>Радиатор панельный, нижнее подключение справа, в комплекте с заглушкой, настенными кронштейнами Universal 11-500-800 Prado</t>
  </si>
  <si>
    <t>Радиатор панельный, нижнее подключение справа, в комплекте с заглушкой, настенными кронштейнами Universal 11-500-1900 Prado</t>
  </si>
  <si>
    <t>Узел распределительный коллекторный TDU.5R DN50-4L-25-MVT20-APT20-MNT15 146G7280R Ридан</t>
  </si>
  <si>
    <t>Узел распределительный коллекторный TDU.5R DN50-6L-25-MVT20-APT20-MNT15 146G7282R Ридан</t>
  </si>
  <si>
    <t>Узел распределительный коллекторный TDU.5R DN50-7R-25-MVT20-APT20-MNT15 146G7325R Ридан</t>
  </si>
  <si>
    <t>Узел распределительный коллекторный на 2 отвода (второй заглушить), левый TDU.5R DN50-2L-20-MVT15-APT15-MNT15 Ридан</t>
  </si>
  <si>
    <t>Кран шаровой фланцевый КШЦФ П/П LD</t>
  </si>
  <si>
    <t>Труб из сшитого полиэтилена PE-Xa (с антидифузионным покрытием EVOH) Ø25х3,2 Prado Pe-Xa</t>
  </si>
  <si>
    <t>Труб из сшитого полиэтилена PE-Xa Ø16х2,2 Uponor Radi Pipe natural PN10 Uponor</t>
  </si>
  <si>
    <t>Труб из сшитого полиэтилена PE-Xa Ø20х2,8 Uponor Radi Pipe natural PN10 Uponor</t>
  </si>
  <si>
    <t>Труба стальная водогазопроводная обыкновенная Ø65х ГОСТ 3262-75*</t>
  </si>
  <si>
    <t>Труба стальная электросварная прямошовная с внутренним и наружным антикоррозионным покрытием Ø89х4,0 ГОСТ 10704-92</t>
  </si>
  <si>
    <t>Изоляция из вспененного каучука толщ. 19 мм для ø40 Isotec Flex</t>
  </si>
  <si>
    <t>Изоляция из вспененного каучука толщ. 20 мм для ø65 Isotec Flex</t>
  </si>
  <si>
    <t>Радиатор панельный стальной, в комплекте с заглушкой, настенными кронштейнами Classic 11-500-600 Prado</t>
  </si>
  <si>
    <t>Радиатор панельный стальной, в комплекте с заглушкой, настенными кронштейнами Classic 11-500-1200 Prado</t>
  </si>
  <si>
    <t>Радиатор панельный стальной, в комплекте с заглушкой, настенными кронштейнами Classic 22-500-600 Prado</t>
  </si>
  <si>
    <t>Радиатор панельный стальной, в комплекте с заглушкой, настенными кронштейнами Classic 22-500-700 Prado</t>
  </si>
  <si>
    <t>Радиатор панельный стальной, в комплекте с заглушкой, настенными кронштейнами Classic 22-500-1300 Prado</t>
  </si>
  <si>
    <t>Радиатор панельный стальной, в комплекте с заглушкой, настенными кронштейнами Classic 22-500-1400 Prado</t>
  </si>
  <si>
    <t>Радиатор панельный стальной, в комплекте с заглушкой, настенными кронштейнами Classic 22-500-1500 Prado</t>
  </si>
  <si>
    <t>Радиатор панельный стальной, в комплекте с заглушкой, настенными кронштейнами Classic 22-500-1700 Prado</t>
  </si>
  <si>
    <t>Радиатор панельный стальной, в комплекте с заглушкой, настенными кронштейнами Classic 22-500-1800 Prado</t>
  </si>
  <si>
    <t>Радиатор панельный стальной, в комплекте с заглушкой, настенными кронштейнами Classic 33-500-1200 Prado</t>
  </si>
  <si>
    <t>Радиатор панельный стальной, в комплекте с заглушкой, настенными кронштейнами Classic 33-500-1300 Prado</t>
  </si>
  <si>
    <t>Радиатор панельный, нижнее подключение справа, в комплекте с заглушкой, настенными кронштейнами  Universal 33-500-1700 Prado</t>
  </si>
  <si>
    <t>Кран шаровой BVR-R DN40 065B8211 Ридан</t>
  </si>
  <si>
    <t>Кран шаровой BVR-R  DN25 065B8209 Ридан</t>
  </si>
  <si>
    <t xml:space="preserve">Труб из сшитого полиэтилена PE-Xa Ø16х2,2 Uponor Radi Pipe natural PN10 </t>
  </si>
  <si>
    <t>Труб из сшитого полиэтилена PE-Xa Ø20х2,8 Uponor Radi Pipe natural PN10</t>
  </si>
  <si>
    <t>Труб из сшитого полиэтилена PE-Xa Ø25х3,5 Uponor Radi Pipe natural PN10</t>
  </si>
  <si>
    <t>Изоляция цилиндрами из вспененного полиэтилена в защитной оболочке  Синяя толщ. 9 мм для ø16 ENERGOFLEX SUPER PROTECT</t>
  </si>
  <si>
    <t>Радиатор панельный, нижнее подключение справа, в комплекте с заглушкой, настенными кронштейнами  Universal 11-500-2400 Prado</t>
  </si>
  <si>
    <t>Радиатор панельный, нижнее подключение справа, в комплекте с заглушкой, настенными кронштейнами  Universal 22-500-1100 Prado</t>
  </si>
  <si>
    <t xml:space="preserve">Теплосчетчик ультразвуковой </t>
  </si>
  <si>
    <t>Труб из сшитого полиэтилена PE-Xa Ø16х2,2 Uponor Radi Pipe natural PN10</t>
  </si>
  <si>
    <t>Изоляция из вспененного каучука толщ. 20 мм для ø15 Isotec Flex</t>
  </si>
  <si>
    <t>Изоляция цилиндрами из вспененного полиэтилена в защитной оболочке толщ. 20 мм для ø15 ENERGOFLEX SUPER PROTECT</t>
  </si>
  <si>
    <t>Изоляция цилиндрами из вспененного полиэтилена в защитной оболочке толщ. 20 мм для ø20 ENERGOFLEX SUPER PROTECT</t>
  </si>
  <si>
    <t>Изоляция цилиндрами из вспененного полиэтилена в защитной оболочке толщ. 25 мм для ø20 ENERGOFLEX SUPER PROTECT</t>
  </si>
  <si>
    <t>Изоляция из вспененного каучука толщ. 20 мм для ø25 Isotec Flex</t>
  </si>
  <si>
    <t>Изоляция из вспененного каучука толщ. 20 мм для ø32 Isotec Flex</t>
  </si>
  <si>
    <t>Изоляция из вспененного каучука толщ. 20 мм для ø40 Isotec Flex</t>
  </si>
  <si>
    <t>Изоляция из вспененного каучука толщ. 20 мм для ø50 Isotec Flex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</si>
</sst>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6" fillId="0" borderId="0" xfId="0" applyFont="1"/>
    <xf numFmtId="4" fontId="0" fillId="0" borderId="1" xfId="0" applyNumberFormat="1" applyBorder="1" applyAlignment="1" applyProtection="1">
      <alignment vertical="center"/>
      <protection locked="0"/>
    </xf>
    <xf numFmtId="49" fontId="6" fillId="0" borderId="0" xfId="0" applyNumberFormat="1" applyFont="1" applyAlignment="1">
      <alignment horizontal="right" vertical="center"/>
    </xf>
    <xf numFmtId="0" fontId="9" fillId="0" borderId="0" xfId="0" applyFont="1"/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0" fillId="3" borderId="0" xfId="0" applyFill="1"/>
    <xf numFmtId="0" fontId="13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4" fontId="13" fillId="0" borderId="1" xfId="0" applyNumberFormat="1" applyFont="1" applyBorder="1" applyAlignment="1">
      <alignment vertical="center"/>
    </xf>
    <xf numFmtId="0" fontId="3" fillId="0" borderId="1" xfId="0" applyFont="1" applyBorder="1"/>
    <xf numFmtId="4" fontId="0" fillId="2" borderId="1" xfId="0" applyNumberFormat="1" applyFill="1" applyBorder="1" applyAlignment="1">
      <alignment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2" xfId="0" applyFont="1" applyBorder="1" applyAlignment="1" applyProtection="1">
      <alignment horizontal="center"/>
      <protection locked="0"/>
    </xf>
    <xf numFmtId="0" fontId="3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/>
    <xf numFmtId="4" fontId="4" fillId="0" borderId="1" xfId="0" applyNumberFormat="1" applyFont="1" applyBorder="1"/>
    <xf numFmtId="0" fontId="15" fillId="0" borderId="0" xfId="0" applyFont="1"/>
    <xf numFmtId="0" fontId="0" fillId="0" borderId="3" xfId="0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4" fontId="5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4" fontId="15" fillId="0" borderId="1" xfId="0" applyNumberFormat="1" applyFont="1" applyBorder="1" applyAlignment="1" applyProtection="1">
      <alignment vertical="center"/>
      <protection locked="0"/>
    </xf>
    <xf numFmtId="4" fontId="15" fillId="0" borderId="1" xfId="0" applyNumberFormat="1" applyFont="1" applyBorder="1" applyAlignment="1">
      <alignment vertical="center"/>
    </xf>
    <xf numFmtId="4" fontId="9" fillId="0" borderId="0" xfId="0" applyNumberFormat="1" applyFont="1"/>
    <xf numFmtId="4" fontId="5" fillId="0" borderId="0" xfId="0" applyNumberFormat="1" applyFont="1"/>
    <xf numFmtId="4" fontId="12" fillId="2" borderId="1" xfId="0" applyNumberFormat="1" applyFont="1" applyFill="1" applyBorder="1"/>
    <xf numFmtId="4" fontId="13" fillId="3" borderId="1" xfId="0" applyNumberFormat="1" applyFont="1" applyFill="1" applyBorder="1" applyAlignment="1">
      <alignment horizontal="right" vertical="center"/>
    </xf>
    <xf numFmtId="4" fontId="5" fillId="0" borderId="1" xfId="0" applyNumberFormat="1" applyFont="1" applyBorder="1" applyAlignment="1">
      <alignment horizontal="right"/>
    </xf>
    <xf numFmtId="4" fontId="5" fillId="2" borderId="1" xfId="0" applyNumberFormat="1" applyFont="1" applyFill="1" applyBorder="1" applyAlignment="1">
      <alignment vertical="center"/>
    </xf>
    <xf numFmtId="4" fontId="15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4" fontId="15" fillId="3" borderId="1" xfId="0" applyNumberFormat="1" applyFont="1" applyFill="1" applyBorder="1" applyAlignment="1">
      <alignment horizontal="right" vertical="center"/>
    </xf>
    <xf numFmtId="0" fontId="15" fillId="3" borderId="0" xfId="0" applyFont="1" applyFill="1"/>
    <xf numFmtId="4" fontId="1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4" fontId="5" fillId="3" borderId="1" xfId="0" applyNumberFormat="1" applyFont="1" applyFill="1" applyBorder="1" applyAlignment="1">
      <alignment horizontal="right" vertical="center"/>
    </xf>
    <xf numFmtId="4" fontId="0" fillId="0" borderId="1" xfId="0" applyNumberFormat="1" applyBorder="1" applyAlignment="1" applyProtection="1">
      <alignment horizontal="center" vertical="center" wrapText="1"/>
      <protection locked="0"/>
    </xf>
    <xf numFmtId="4" fontId="5" fillId="0" borderId="1" xfId="0" applyNumberFormat="1" applyFont="1" applyBorder="1" applyAlignment="1" applyProtection="1">
      <alignment vertical="center"/>
      <protection locked="0"/>
    </xf>
    <xf numFmtId="0" fontId="5" fillId="0" borderId="1" xfId="0" applyFont="1" applyBorder="1" applyAlignment="1">
      <alignment vertical="center" wrapText="1"/>
    </xf>
    <xf numFmtId="0" fontId="5" fillId="0" borderId="0" xfId="0" applyFont="1"/>
    <xf numFmtId="0" fontId="5" fillId="3" borderId="1" xfId="0" applyFont="1" applyFill="1" applyBorder="1" applyAlignment="1">
      <alignment horizontal="left" vertical="center" wrapText="1"/>
    </xf>
    <xf numFmtId="0" fontId="5" fillId="3" borderId="0" xfId="0" applyFont="1" applyFill="1"/>
    <xf numFmtId="4" fontId="13" fillId="0" borderId="1" xfId="0" applyNumberFormat="1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1" fillId="0" borderId="1" xfId="0" applyFont="1" applyBorder="1"/>
    <xf numFmtId="49" fontId="4" fillId="2" borderId="4" xfId="0" applyNumberFormat="1" applyFont="1" applyFill="1" applyBorder="1"/>
    <xf numFmtId="49" fontId="4" fillId="2" borderId="5" xfId="0" applyNumberFormat="1" applyFont="1" applyFill="1" applyBorder="1"/>
    <xf numFmtId="49" fontId="4" fillId="2" borderId="6" xfId="0" applyNumberFormat="1" applyFont="1" applyFill="1" applyBorder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49" fontId="4" fillId="0" borderId="1" xfId="0" applyNumberFormat="1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4" fontId="12" fillId="0" borderId="4" xfId="0" applyNumberFormat="1" applyFont="1" applyBorder="1" applyAlignment="1">
      <alignment horizontal="center" vertical="center"/>
    </xf>
    <xf numFmtId="4" fontId="12" fillId="0" borderId="5" xfId="0" applyNumberFormat="1" applyFont="1" applyBorder="1" applyAlignment="1">
      <alignment horizontal="center" vertical="center"/>
    </xf>
    <xf numFmtId="4" fontId="12" fillId="0" borderId="6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9" fillId="0" borderId="0" xfId="0" applyFont="1" applyAlignment="1">
      <alignment horizontal="left" wrapText="1"/>
    </xf>
    <xf numFmtId="4" fontId="12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X250"/>
  <sheetViews>
    <sheetView tabSelected="1" view="pageBreakPreview" topLeftCell="A58" zoomScale="85" zoomScaleNormal="85" zoomScaleSheetLayoutView="85" workbookViewId="0">
      <selection activeCell="A13" sqref="A1:XFD13"/>
    </sheetView>
  </sheetViews>
  <sheetFormatPr defaultRowHeight="14.4" x14ac:dyDescent="0.3"/>
  <cols>
    <col min="1" max="1" width="4.109375" customWidth="1"/>
    <col min="2" max="2" width="94.6640625" style="11" customWidth="1"/>
    <col min="3" max="3" width="8" style="12" customWidth="1"/>
    <col min="4" max="6" width="9" style="43" customWidth="1"/>
    <col min="7" max="9" width="18.5546875" hidden="1" customWidth="1"/>
  </cols>
  <sheetData>
    <row r="1" spans="1:9" x14ac:dyDescent="0.3">
      <c r="A1" s="75" t="s">
        <v>1</v>
      </c>
      <c r="B1" s="75" t="s">
        <v>2</v>
      </c>
      <c r="C1" s="76" t="s">
        <v>5</v>
      </c>
      <c r="D1" s="77" t="s">
        <v>38</v>
      </c>
      <c r="E1" s="78"/>
      <c r="F1" s="79"/>
      <c r="G1" s="80" t="s">
        <v>9</v>
      </c>
      <c r="H1" s="80"/>
      <c r="I1" s="80" t="s">
        <v>8</v>
      </c>
    </row>
    <row r="2" spans="1:9" s="13" customFormat="1" x14ac:dyDescent="0.3">
      <c r="A2" s="75"/>
      <c r="B2" s="75"/>
      <c r="C2" s="76"/>
      <c r="D2" s="53" t="s">
        <v>174</v>
      </c>
      <c r="E2" s="53" t="s">
        <v>175</v>
      </c>
      <c r="F2" s="53" t="s">
        <v>176</v>
      </c>
      <c r="G2" s="31" t="s">
        <v>3</v>
      </c>
      <c r="H2" s="31" t="s">
        <v>4</v>
      </c>
      <c r="I2" s="80"/>
    </row>
    <row r="3" spans="1:9" s="14" customFormat="1" x14ac:dyDescent="0.3">
      <c r="A3" s="69" t="s">
        <v>40</v>
      </c>
      <c r="B3" s="70"/>
      <c r="C3" s="71"/>
      <c r="D3" s="44"/>
      <c r="E3" s="44"/>
      <c r="F3" s="44"/>
      <c r="G3" s="32"/>
      <c r="H3" s="32"/>
      <c r="I3" s="32"/>
    </row>
    <row r="4" spans="1:9" ht="28.8" x14ac:dyDescent="0.3">
      <c r="A4" s="15">
        <v>1</v>
      </c>
      <c r="B4" s="16" t="s">
        <v>144</v>
      </c>
      <c r="C4" s="17" t="s">
        <v>39</v>
      </c>
      <c r="D4" s="37">
        <v>24</v>
      </c>
      <c r="E4" s="37">
        <v>47</v>
      </c>
      <c r="F4" s="37">
        <f>D4+E4</f>
        <v>71</v>
      </c>
      <c r="G4" s="2"/>
      <c r="H4" s="2"/>
      <c r="I4" s="18">
        <f>F4*(G4+H4)</f>
        <v>0</v>
      </c>
    </row>
    <row r="5" spans="1:9" ht="28.8" x14ac:dyDescent="0.3">
      <c r="A5" s="15">
        <v>2</v>
      </c>
      <c r="B5" s="16" t="s">
        <v>138</v>
      </c>
      <c r="C5" s="17" t="s">
        <v>39</v>
      </c>
      <c r="D5" s="37">
        <v>8</v>
      </c>
      <c r="E5" s="37">
        <v>25</v>
      </c>
      <c r="F5" s="37">
        <f t="shared" ref="F5:F52" si="0">D5+E5</f>
        <v>33</v>
      </c>
      <c r="G5" s="2"/>
      <c r="H5" s="2"/>
      <c r="I5" s="18">
        <f t="shared" ref="I5:I52" si="1">F5*(G5+H5)</f>
        <v>0</v>
      </c>
    </row>
    <row r="6" spans="1:9" ht="28.8" x14ac:dyDescent="0.3">
      <c r="A6" s="15">
        <v>3</v>
      </c>
      <c r="B6" s="16" t="s">
        <v>143</v>
      </c>
      <c r="C6" s="17" t="s">
        <v>39</v>
      </c>
      <c r="D6" s="37">
        <v>2</v>
      </c>
      <c r="E6" s="37"/>
      <c r="F6" s="37">
        <f t="shared" si="0"/>
        <v>2</v>
      </c>
      <c r="G6" s="2"/>
      <c r="H6" s="2"/>
      <c r="I6" s="18">
        <f t="shared" si="1"/>
        <v>0</v>
      </c>
    </row>
    <row r="7" spans="1:9" ht="28.8" x14ac:dyDescent="0.3">
      <c r="A7" s="15">
        <v>4</v>
      </c>
      <c r="B7" s="16" t="s">
        <v>142</v>
      </c>
      <c r="C7" s="17" t="s">
        <v>39</v>
      </c>
      <c r="D7" s="37">
        <v>57</v>
      </c>
      <c r="E7" s="37">
        <v>128</v>
      </c>
      <c r="F7" s="37">
        <f t="shared" si="0"/>
        <v>185</v>
      </c>
      <c r="G7" s="2"/>
      <c r="H7" s="2"/>
      <c r="I7" s="18">
        <f t="shared" si="1"/>
        <v>0</v>
      </c>
    </row>
    <row r="8" spans="1:9" ht="28.8" x14ac:dyDescent="0.3">
      <c r="A8" s="15">
        <v>5</v>
      </c>
      <c r="B8" s="16" t="s">
        <v>140</v>
      </c>
      <c r="C8" s="17" t="s">
        <v>39</v>
      </c>
      <c r="D8" s="37">
        <v>1</v>
      </c>
      <c r="E8" s="37">
        <v>12</v>
      </c>
      <c r="F8" s="37">
        <f t="shared" si="0"/>
        <v>13</v>
      </c>
      <c r="G8" s="2"/>
      <c r="H8" s="2"/>
      <c r="I8" s="18">
        <f t="shared" si="1"/>
        <v>0</v>
      </c>
    </row>
    <row r="9" spans="1:9" ht="28.8" x14ac:dyDescent="0.3">
      <c r="A9" s="15">
        <v>6</v>
      </c>
      <c r="B9" s="16" t="s">
        <v>139</v>
      </c>
      <c r="C9" s="17" t="s">
        <v>39</v>
      </c>
      <c r="D9" s="37">
        <v>8</v>
      </c>
      <c r="E9" s="37"/>
      <c r="F9" s="37">
        <f t="shared" si="0"/>
        <v>8</v>
      </c>
      <c r="G9" s="2"/>
      <c r="H9" s="2"/>
      <c r="I9" s="18">
        <f t="shared" si="1"/>
        <v>0</v>
      </c>
    </row>
    <row r="10" spans="1:9" ht="28.8" x14ac:dyDescent="0.3">
      <c r="A10" s="15">
        <v>7</v>
      </c>
      <c r="B10" s="16" t="s">
        <v>112</v>
      </c>
      <c r="C10" s="17" t="s">
        <v>39</v>
      </c>
      <c r="D10" s="37"/>
      <c r="E10" s="37">
        <v>15</v>
      </c>
      <c r="F10" s="37">
        <f t="shared" si="0"/>
        <v>15</v>
      </c>
      <c r="G10" s="2"/>
      <c r="H10" s="2"/>
      <c r="I10" s="18">
        <f t="shared" si="1"/>
        <v>0</v>
      </c>
    </row>
    <row r="11" spans="1:9" ht="28.8" x14ac:dyDescent="0.3">
      <c r="A11" s="15">
        <v>8</v>
      </c>
      <c r="B11" s="16" t="s">
        <v>149</v>
      </c>
      <c r="C11" s="17" t="s">
        <v>39</v>
      </c>
      <c r="D11" s="37"/>
      <c r="E11" s="37">
        <v>1</v>
      </c>
      <c r="F11" s="37">
        <f t="shared" si="0"/>
        <v>1</v>
      </c>
      <c r="G11" s="57"/>
      <c r="H11" s="2"/>
      <c r="I11" s="18">
        <f t="shared" si="1"/>
        <v>0</v>
      </c>
    </row>
    <row r="12" spans="1:9" x14ac:dyDescent="0.3">
      <c r="A12" s="15">
        <v>9</v>
      </c>
      <c r="B12" s="58" t="s">
        <v>177</v>
      </c>
      <c r="C12" s="17" t="s">
        <v>39</v>
      </c>
      <c r="D12" s="37">
        <v>100</v>
      </c>
      <c r="E12" s="37">
        <v>228</v>
      </c>
      <c r="F12" s="37">
        <f>D12+E12</f>
        <v>328</v>
      </c>
      <c r="G12" s="57"/>
      <c r="H12" s="2"/>
      <c r="I12" s="18">
        <f>F12*(G12+H12)</f>
        <v>0</v>
      </c>
    </row>
    <row r="13" spans="1:9" x14ac:dyDescent="0.3">
      <c r="A13" s="15">
        <v>10</v>
      </c>
      <c r="B13" s="58" t="s">
        <v>45</v>
      </c>
      <c r="C13" s="17" t="s">
        <v>39</v>
      </c>
      <c r="D13" s="37">
        <v>100</v>
      </c>
      <c r="E13" s="37">
        <v>228</v>
      </c>
      <c r="F13" s="37">
        <f>D13+E13</f>
        <v>328</v>
      </c>
      <c r="G13" s="57"/>
      <c r="H13" s="2"/>
      <c r="I13" s="18">
        <f>F13*(G13+H13)</f>
        <v>0</v>
      </c>
    </row>
    <row r="14" spans="1:9" s="34" customFormat="1" x14ac:dyDescent="0.3">
      <c r="A14" s="15">
        <v>11</v>
      </c>
      <c r="B14" s="39" t="s">
        <v>55</v>
      </c>
      <c r="C14" s="17" t="s">
        <v>39</v>
      </c>
      <c r="D14" s="22">
        <v>32</v>
      </c>
      <c r="E14" s="22">
        <v>84</v>
      </c>
      <c r="F14" s="37">
        <f t="shared" ref="F14" si="2">D14+E14</f>
        <v>116</v>
      </c>
      <c r="G14" s="57"/>
      <c r="H14" s="2"/>
      <c r="I14" s="18">
        <f t="shared" ref="I14" si="3">F14*(G14+H14)</f>
        <v>0</v>
      </c>
    </row>
    <row r="15" spans="1:9" s="34" customFormat="1" x14ac:dyDescent="0.3">
      <c r="A15" s="15">
        <v>12</v>
      </c>
      <c r="B15" s="39" t="s">
        <v>178</v>
      </c>
      <c r="C15" s="17" t="s">
        <v>39</v>
      </c>
      <c r="D15" s="22">
        <v>1</v>
      </c>
      <c r="E15" s="22"/>
      <c r="F15" s="37">
        <f>D15+E15</f>
        <v>1</v>
      </c>
      <c r="G15" s="57"/>
      <c r="H15" s="2"/>
      <c r="I15" s="18">
        <f>F15*(G15+H15)</f>
        <v>0</v>
      </c>
    </row>
    <row r="16" spans="1:9" s="34" customFormat="1" x14ac:dyDescent="0.3">
      <c r="A16" s="15">
        <v>13</v>
      </c>
      <c r="B16" s="39" t="s">
        <v>179</v>
      </c>
      <c r="C16" s="38" t="s">
        <v>39</v>
      </c>
      <c r="D16" s="41">
        <v>100</v>
      </c>
      <c r="E16" s="41">
        <v>228</v>
      </c>
      <c r="F16" s="48">
        <f t="shared" ref="F16" si="4">D16+E16</f>
        <v>328</v>
      </c>
      <c r="G16" s="57"/>
      <c r="H16" s="2"/>
      <c r="I16" s="18">
        <f t="shared" ref="I16" si="5">F16*(G16+H16)</f>
        <v>0</v>
      </c>
    </row>
    <row r="17" spans="1:9" x14ac:dyDescent="0.3">
      <c r="A17" s="15">
        <v>14</v>
      </c>
      <c r="B17" s="16" t="s">
        <v>42</v>
      </c>
      <c r="C17" s="17" t="s">
        <v>39</v>
      </c>
      <c r="D17" s="37">
        <v>4</v>
      </c>
      <c r="E17" s="37">
        <v>2</v>
      </c>
      <c r="F17" s="37">
        <f t="shared" si="0"/>
        <v>6</v>
      </c>
      <c r="G17" s="57"/>
      <c r="H17" s="2"/>
      <c r="I17" s="18">
        <f t="shared" si="1"/>
        <v>0</v>
      </c>
    </row>
    <row r="18" spans="1:9" x14ac:dyDescent="0.3">
      <c r="A18" s="15">
        <v>15</v>
      </c>
      <c r="B18" s="16" t="s">
        <v>180</v>
      </c>
      <c r="C18" s="17" t="s">
        <v>39</v>
      </c>
      <c r="D18" s="37">
        <v>8</v>
      </c>
      <c r="E18" s="37"/>
      <c r="F18" s="37">
        <f>D18+E18</f>
        <v>8</v>
      </c>
      <c r="G18" s="57"/>
      <c r="H18" s="2"/>
      <c r="I18" s="18">
        <f>F18*(G18+H18)</f>
        <v>0</v>
      </c>
    </row>
    <row r="19" spans="1:9" x14ac:dyDescent="0.3">
      <c r="A19" s="15">
        <v>16</v>
      </c>
      <c r="B19" s="16" t="s">
        <v>181</v>
      </c>
      <c r="C19" s="17" t="s">
        <v>39</v>
      </c>
      <c r="D19" s="37"/>
      <c r="E19" s="37">
        <v>12</v>
      </c>
      <c r="F19" s="37">
        <f>D19+E19</f>
        <v>12</v>
      </c>
      <c r="G19" s="57"/>
      <c r="H19" s="2"/>
      <c r="I19" s="18">
        <f>F19*(G19+H19)</f>
        <v>0</v>
      </c>
    </row>
    <row r="20" spans="1:9" x14ac:dyDescent="0.3">
      <c r="A20" s="15">
        <v>17</v>
      </c>
      <c r="B20" s="16" t="s">
        <v>182</v>
      </c>
      <c r="C20" s="17" t="s">
        <v>39</v>
      </c>
      <c r="D20" s="37">
        <v>1</v>
      </c>
      <c r="E20" s="37"/>
      <c r="F20" s="37">
        <f t="shared" ref="F20:F21" si="6">D20+E20</f>
        <v>1</v>
      </c>
      <c r="G20" s="57"/>
      <c r="H20" s="2"/>
      <c r="I20" s="18">
        <f t="shared" ref="I20:I21" si="7">F20*(G20+H20)</f>
        <v>0</v>
      </c>
    </row>
    <row r="21" spans="1:9" x14ac:dyDescent="0.3">
      <c r="A21" s="15">
        <v>18</v>
      </c>
      <c r="B21" s="16" t="s">
        <v>183</v>
      </c>
      <c r="C21" s="17" t="s">
        <v>39</v>
      </c>
      <c r="D21" s="37">
        <v>1</v>
      </c>
      <c r="E21" s="37"/>
      <c r="F21" s="37">
        <f t="shared" si="6"/>
        <v>1</v>
      </c>
      <c r="G21" s="2"/>
      <c r="H21" s="2"/>
      <c r="I21" s="18">
        <f t="shared" si="7"/>
        <v>0</v>
      </c>
    </row>
    <row r="22" spans="1:9" x14ac:dyDescent="0.3">
      <c r="A22" s="15">
        <v>19</v>
      </c>
      <c r="B22" s="16" t="s">
        <v>184</v>
      </c>
      <c r="C22" s="17" t="s">
        <v>39</v>
      </c>
      <c r="D22" s="37">
        <v>6</v>
      </c>
      <c r="E22" s="37">
        <v>2</v>
      </c>
      <c r="F22" s="37">
        <f t="shared" si="0"/>
        <v>8</v>
      </c>
      <c r="G22" s="2"/>
      <c r="H22" s="2"/>
      <c r="I22" s="18">
        <f t="shared" si="1"/>
        <v>0</v>
      </c>
    </row>
    <row r="23" spans="1:9" x14ac:dyDescent="0.3">
      <c r="A23" s="15">
        <v>20</v>
      </c>
      <c r="B23" s="16" t="s">
        <v>185</v>
      </c>
      <c r="C23" s="17" t="s">
        <v>39</v>
      </c>
      <c r="D23" s="37">
        <v>2</v>
      </c>
      <c r="E23" s="37"/>
      <c r="F23" s="37">
        <f t="shared" si="0"/>
        <v>2</v>
      </c>
      <c r="G23" s="2"/>
      <c r="H23" s="2"/>
      <c r="I23" s="18">
        <f t="shared" si="1"/>
        <v>0</v>
      </c>
    </row>
    <row r="24" spans="1:9" x14ac:dyDescent="0.3">
      <c r="A24" s="15">
        <v>21</v>
      </c>
      <c r="B24" s="16" t="s">
        <v>89</v>
      </c>
      <c r="C24" s="17" t="s">
        <v>39</v>
      </c>
      <c r="D24" s="37">
        <v>1</v>
      </c>
      <c r="E24" s="37"/>
      <c r="F24" s="37">
        <f t="shared" si="0"/>
        <v>1</v>
      </c>
      <c r="G24" s="2"/>
      <c r="H24" s="2"/>
      <c r="I24" s="18">
        <f t="shared" si="1"/>
        <v>0</v>
      </c>
    </row>
    <row r="25" spans="1:9" x14ac:dyDescent="0.3">
      <c r="A25" s="15">
        <v>22</v>
      </c>
      <c r="B25" s="16" t="s">
        <v>186</v>
      </c>
      <c r="C25" s="17" t="s">
        <v>39</v>
      </c>
      <c r="D25" s="37">
        <v>2</v>
      </c>
      <c r="E25" s="37">
        <v>2</v>
      </c>
      <c r="F25" s="37">
        <f t="shared" si="0"/>
        <v>4</v>
      </c>
      <c r="G25" s="2"/>
      <c r="H25" s="2"/>
      <c r="I25" s="18">
        <f t="shared" si="1"/>
        <v>0</v>
      </c>
    </row>
    <row r="26" spans="1:9" x14ac:dyDescent="0.3">
      <c r="A26" s="15">
        <v>23</v>
      </c>
      <c r="B26" s="16" t="s">
        <v>43</v>
      </c>
      <c r="C26" s="17" t="s">
        <v>39</v>
      </c>
      <c r="D26" s="37"/>
      <c r="E26" s="37">
        <v>2</v>
      </c>
      <c r="F26" s="37">
        <f t="shared" si="0"/>
        <v>2</v>
      </c>
      <c r="G26" s="2"/>
      <c r="H26" s="2"/>
      <c r="I26" s="18">
        <f t="shared" si="1"/>
        <v>0</v>
      </c>
    </row>
    <row r="27" spans="1:9" s="59" customFormat="1" x14ac:dyDescent="0.3">
      <c r="A27" s="15">
        <v>24</v>
      </c>
      <c r="B27" s="58" t="s">
        <v>187</v>
      </c>
      <c r="C27" s="17" t="s">
        <v>39</v>
      </c>
      <c r="D27" s="22">
        <v>2</v>
      </c>
      <c r="E27" s="22">
        <v>2</v>
      </c>
      <c r="F27" s="37">
        <f t="shared" si="0"/>
        <v>4</v>
      </c>
      <c r="G27" s="57"/>
      <c r="H27" s="57"/>
      <c r="I27" s="22">
        <f t="shared" si="1"/>
        <v>0</v>
      </c>
    </row>
    <row r="28" spans="1:9" s="59" customFormat="1" x14ac:dyDescent="0.3">
      <c r="A28" s="15">
        <v>25</v>
      </c>
      <c r="B28" s="58" t="s">
        <v>188</v>
      </c>
      <c r="C28" s="17" t="s">
        <v>39</v>
      </c>
      <c r="D28" s="22"/>
      <c r="E28" s="22">
        <v>4</v>
      </c>
      <c r="F28" s="37">
        <f t="shared" si="0"/>
        <v>4</v>
      </c>
      <c r="G28" s="57"/>
      <c r="H28" s="57"/>
      <c r="I28" s="22">
        <f t="shared" si="1"/>
        <v>0</v>
      </c>
    </row>
    <row r="29" spans="1:9" s="59" customFormat="1" x14ac:dyDescent="0.3">
      <c r="A29" s="15">
        <v>26</v>
      </c>
      <c r="B29" s="58" t="s">
        <v>189</v>
      </c>
      <c r="C29" s="17" t="s">
        <v>39</v>
      </c>
      <c r="D29" s="22">
        <v>2</v>
      </c>
      <c r="E29" s="22"/>
      <c r="F29" s="37">
        <f t="shared" si="0"/>
        <v>2</v>
      </c>
      <c r="G29" s="57"/>
      <c r="H29" s="57"/>
      <c r="I29" s="22">
        <f t="shared" si="1"/>
        <v>0</v>
      </c>
    </row>
    <row r="30" spans="1:9" x14ac:dyDescent="0.3">
      <c r="A30" s="15">
        <v>27</v>
      </c>
      <c r="B30" s="16" t="s">
        <v>56</v>
      </c>
      <c r="C30" s="17" t="s">
        <v>0</v>
      </c>
      <c r="D30" s="22">
        <v>2023.21</v>
      </c>
      <c r="E30" s="22">
        <v>4719.1000000000004</v>
      </c>
      <c r="F30" s="37">
        <f t="shared" si="0"/>
        <v>6742.31</v>
      </c>
      <c r="G30" s="2"/>
      <c r="H30" s="2"/>
      <c r="I30" s="18">
        <f t="shared" si="1"/>
        <v>0</v>
      </c>
    </row>
    <row r="31" spans="1:9" x14ac:dyDescent="0.3">
      <c r="A31" s="15">
        <v>28</v>
      </c>
      <c r="B31" s="16" t="s">
        <v>57</v>
      </c>
      <c r="C31" s="17" t="s">
        <v>0</v>
      </c>
      <c r="D31" s="22">
        <v>727.25</v>
      </c>
      <c r="E31" s="22">
        <v>2515.7800000000002</v>
      </c>
      <c r="F31" s="37">
        <f t="shared" si="0"/>
        <v>3243.03</v>
      </c>
      <c r="G31" s="2"/>
      <c r="H31" s="2"/>
      <c r="I31" s="18">
        <f t="shared" si="1"/>
        <v>0</v>
      </c>
    </row>
    <row r="32" spans="1:9" x14ac:dyDescent="0.3">
      <c r="A32" s="15">
        <v>29</v>
      </c>
      <c r="B32" s="16" t="s">
        <v>59</v>
      </c>
      <c r="C32" s="17" t="s">
        <v>0</v>
      </c>
      <c r="D32" s="37">
        <v>1.02</v>
      </c>
      <c r="E32" s="37">
        <v>0.47</v>
      </c>
      <c r="F32" s="37">
        <f t="shared" si="0"/>
        <v>1.49</v>
      </c>
      <c r="G32" s="2"/>
      <c r="H32" s="2"/>
      <c r="I32" s="18">
        <f t="shared" si="1"/>
        <v>0</v>
      </c>
    </row>
    <row r="33" spans="1:9" x14ac:dyDescent="0.3">
      <c r="A33" s="15">
        <v>30</v>
      </c>
      <c r="B33" s="16" t="s">
        <v>60</v>
      </c>
      <c r="C33" s="17" t="s">
        <v>0</v>
      </c>
      <c r="D33" s="37">
        <v>4.03</v>
      </c>
      <c r="E33" s="37"/>
      <c r="F33" s="37">
        <f t="shared" si="0"/>
        <v>4.03</v>
      </c>
      <c r="G33" s="2"/>
      <c r="H33" s="2"/>
      <c r="I33" s="18">
        <f t="shared" si="1"/>
        <v>0</v>
      </c>
    </row>
    <row r="34" spans="1:9" s="34" customFormat="1" x14ac:dyDescent="0.3">
      <c r="A34" s="15">
        <v>31</v>
      </c>
      <c r="B34" s="16" t="s">
        <v>61</v>
      </c>
      <c r="C34" s="17" t="s">
        <v>0</v>
      </c>
      <c r="D34" s="37">
        <v>5.28</v>
      </c>
      <c r="E34" s="37">
        <v>12.64</v>
      </c>
      <c r="F34" s="37">
        <f t="shared" si="0"/>
        <v>17.920000000000002</v>
      </c>
      <c r="G34" s="2"/>
      <c r="H34" s="2"/>
      <c r="I34" s="18">
        <f t="shared" si="1"/>
        <v>0</v>
      </c>
    </row>
    <row r="35" spans="1:9" x14ac:dyDescent="0.3">
      <c r="A35" s="15">
        <v>32</v>
      </c>
      <c r="B35" s="16" t="s">
        <v>62</v>
      </c>
      <c r="C35" s="17" t="s">
        <v>0</v>
      </c>
      <c r="D35" s="37">
        <v>12.95</v>
      </c>
      <c r="E35" s="37">
        <v>8.74</v>
      </c>
      <c r="F35" s="37">
        <f t="shared" si="0"/>
        <v>21.689999999999998</v>
      </c>
      <c r="G35" s="2"/>
      <c r="H35" s="2"/>
      <c r="I35" s="18">
        <f t="shared" si="1"/>
        <v>0</v>
      </c>
    </row>
    <row r="36" spans="1:9" x14ac:dyDescent="0.3">
      <c r="A36" s="15">
        <v>33</v>
      </c>
      <c r="B36" s="16" t="s">
        <v>63</v>
      </c>
      <c r="C36" s="17" t="s">
        <v>0</v>
      </c>
      <c r="D36" s="37">
        <v>4.41</v>
      </c>
      <c r="E36" s="37">
        <v>49.36</v>
      </c>
      <c r="F36" s="37">
        <f t="shared" si="0"/>
        <v>53.769999999999996</v>
      </c>
      <c r="G36" s="2"/>
      <c r="H36" s="2"/>
      <c r="I36" s="18">
        <f t="shared" si="1"/>
        <v>0</v>
      </c>
    </row>
    <row r="37" spans="1:9" ht="28.8" x14ac:dyDescent="0.3">
      <c r="A37" s="15">
        <v>34</v>
      </c>
      <c r="B37" s="16" t="s">
        <v>64</v>
      </c>
      <c r="C37" s="17" t="s">
        <v>0</v>
      </c>
      <c r="D37" s="37">
        <v>20.27</v>
      </c>
      <c r="E37" s="37">
        <v>12.34</v>
      </c>
      <c r="F37" s="37">
        <f t="shared" si="0"/>
        <v>32.61</v>
      </c>
      <c r="G37" s="2"/>
      <c r="H37" s="2"/>
      <c r="I37" s="18">
        <f>F37*(G37+H37)</f>
        <v>0</v>
      </c>
    </row>
    <row r="38" spans="1:9" ht="28.8" x14ac:dyDescent="0.3">
      <c r="A38" s="15">
        <v>35</v>
      </c>
      <c r="B38" s="16" t="s">
        <v>65</v>
      </c>
      <c r="C38" s="17" t="s">
        <v>0</v>
      </c>
      <c r="D38" s="37">
        <v>49.35</v>
      </c>
      <c r="E38" s="37">
        <v>44.45</v>
      </c>
      <c r="F38" s="37">
        <f t="shared" si="0"/>
        <v>93.800000000000011</v>
      </c>
      <c r="G38" s="2"/>
      <c r="H38" s="2"/>
      <c r="I38" s="18">
        <f t="shared" si="1"/>
        <v>0</v>
      </c>
    </row>
    <row r="39" spans="1:9" x14ac:dyDescent="0.3">
      <c r="A39" s="15">
        <v>36</v>
      </c>
      <c r="B39" s="35" t="s">
        <v>67</v>
      </c>
      <c r="C39" s="17" t="s">
        <v>0</v>
      </c>
      <c r="D39" s="37">
        <v>1.02</v>
      </c>
      <c r="E39" s="37">
        <v>0.47</v>
      </c>
      <c r="F39" s="37">
        <f t="shared" si="0"/>
        <v>1.49</v>
      </c>
      <c r="G39" s="2"/>
      <c r="H39" s="2"/>
      <c r="I39" s="18">
        <f t="shared" si="1"/>
        <v>0</v>
      </c>
    </row>
    <row r="40" spans="1:9" x14ac:dyDescent="0.3">
      <c r="A40" s="15">
        <v>37</v>
      </c>
      <c r="B40" s="36" t="s">
        <v>68</v>
      </c>
      <c r="C40" s="17" t="s">
        <v>0</v>
      </c>
      <c r="D40" s="37">
        <v>4.03</v>
      </c>
      <c r="E40" s="37"/>
      <c r="F40" s="37">
        <f t="shared" si="0"/>
        <v>4.03</v>
      </c>
      <c r="G40" s="2"/>
      <c r="H40" s="2"/>
      <c r="I40" s="18">
        <f t="shared" si="1"/>
        <v>0</v>
      </c>
    </row>
    <row r="41" spans="1:9" x14ac:dyDescent="0.3">
      <c r="A41" s="15">
        <v>38</v>
      </c>
      <c r="B41" s="36" t="s">
        <v>70</v>
      </c>
      <c r="C41" s="17" t="s">
        <v>0</v>
      </c>
      <c r="D41" s="37">
        <v>5.28</v>
      </c>
      <c r="E41" s="37">
        <v>12.64</v>
      </c>
      <c r="F41" s="37">
        <f t="shared" si="0"/>
        <v>17.920000000000002</v>
      </c>
      <c r="G41" s="2"/>
      <c r="H41" s="2"/>
      <c r="I41" s="18">
        <f t="shared" si="1"/>
        <v>0</v>
      </c>
    </row>
    <row r="42" spans="1:9" x14ac:dyDescent="0.3">
      <c r="A42" s="15">
        <v>39</v>
      </c>
      <c r="B42" s="36" t="s">
        <v>71</v>
      </c>
      <c r="C42" s="17" t="s">
        <v>0</v>
      </c>
      <c r="D42" s="37">
        <v>12.95</v>
      </c>
      <c r="E42" s="37">
        <v>8.74</v>
      </c>
      <c r="F42" s="37">
        <f t="shared" si="0"/>
        <v>21.689999999999998</v>
      </c>
      <c r="G42" s="2"/>
      <c r="H42" s="2"/>
      <c r="I42" s="18">
        <f t="shared" si="1"/>
        <v>0</v>
      </c>
    </row>
    <row r="43" spans="1:9" x14ac:dyDescent="0.3">
      <c r="A43" s="15">
        <v>40</v>
      </c>
      <c r="B43" s="36" t="s">
        <v>72</v>
      </c>
      <c r="C43" s="17" t="s">
        <v>0</v>
      </c>
      <c r="D43" s="37">
        <v>4.41</v>
      </c>
      <c r="E43" s="37">
        <v>49.36</v>
      </c>
      <c r="F43" s="37">
        <f t="shared" si="0"/>
        <v>53.769999999999996</v>
      </c>
      <c r="G43" s="2"/>
      <c r="H43" s="2"/>
      <c r="I43" s="18">
        <f t="shared" si="1"/>
        <v>0</v>
      </c>
    </row>
    <row r="44" spans="1:9" x14ac:dyDescent="0.3">
      <c r="A44" s="15">
        <v>41</v>
      </c>
      <c r="B44" s="36" t="s">
        <v>190</v>
      </c>
      <c r="C44" s="17" t="s">
        <v>0</v>
      </c>
      <c r="D44" s="37">
        <v>20.27</v>
      </c>
      <c r="E44" s="37">
        <v>12.34</v>
      </c>
      <c r="F44" s="37">
        <f t="shared" si="0"/>
        <v>32.61</v>
      </c>
      <c r="G44" s="2"/>
      <c r="H44" s="2"/>
      <c r="I44" s="18">
        <f t="shared" si="1"/>
        <v>0</v>
      </c>
    </row>
    <row r="45" spans="1:9" x14ac:dyDescent="0.3">
      <c r="A45" s="15">
        <v>42</v>
      </c>
      <c r="B45" s="36" t="s">
        <v>191</v>
      </c>
      <c r="C45" s="17" t="s">
        <v>0</v>
      </c>
      <c r="D45" s="37">
        <v>49.35</v>
      </c>
      <c r="E45" s="37">
        <v>44.45</v>
      </c>
      <c r="F45" s="37">
        <f t="shared" si="0"/>
        <v>93.800000000000011</v>
      </c>
      <c r="G45" s="2"/>
      <c r="H45" s="2"/>
      <c r="I45" s="18">
        <f t="shared" si="1"/>
        <v>0</v>
      </c>
    </row>
    <row r="46" spans="1:9" ht="28.8" x14ac:dyDescent="0.3">
      <c r="A46" s="15">
        <v>43</v>
      </c>
      <c r="B46" s="16" t="s">
        <v>192</v>
      </c>
      <c r="C46" s="17" t="s">
        <v>0</v>
      </c>
      <c r="D46" s="37">
        <v>2023.21</v>
      </c>
      <c r="E46" s="37">
        <v>4719.1000000000004</v>
      </c>
      <c r="F46" s="37">
        <f t="shared" si="0"/>
        <v>6742.31</v>
      </c>
      <c r="G46" s="2"/>
      <c r="H46" s="2"/>
      <c r="I46" s="18">
        <f t="shared" si="1"/>
        <v>0</v>
      </c>
    </row>
    <row r="47" spans="1:9" ht="28.8" x14ac:dyDescent="0.3">
      <c r="A47" s="15">
        <v>44</v>
      </c>
      <c r="B47" s="16" t="s">
        <v>193</v>
      </c>
      <c r="C47" s="17" t="s">
        <v>0</v>
      </c>
      <c r="D47" s="37">
        <v>727.25</v>
      </c>
      <c r="E47" s="37">
        <v>2515.7800000000002</v>
      </c>
      <c r="F47" s="37">
        <f t="shared" si="0"/>
        <v>3243.03</v>
      </c>
      <c r="G47" s="2"/>
      <c r="H47" s="2"/>
      <c r="I47" s="18">
        <f t="shared" si="1"/>
        <v>0</v>
      </c>
    </row>
    <row r="48" spans="1:9" ht="28.8" x14ac:dyDescent="0.3">
      <c r="A48" s="15">
        <v>45</v>
      </c>
      <c r="B48" s="16" t="s">
        <v>158</v>
      </c>
      <c r="C48" s="17" t="s">
        <v>159</v>
      </c>
      <c r="D48" s="37">
        <v>1</v>
      </c>
      <c r="E48" s="37"/>
      <c r="F48" s="37">
        <f t="shared" si="0"/>
        <v>1</v>
      </c>
      <c r="G48" s="2"/>
      <c r="H48" s="56" t="s">
        <v>172</v>
      </c>
      <c r="I48" s="18">
        <f>F48*G48</f>
        <v>0</v>
      </c>
    </row>
    <row r="49" spans="1:9" ht="28.8" x14ac:dyDescent="0.3">
      <c r="A49" s="15">
        <v>46</v>
      </c>
      <c r="B49" s="16" t="s">
        <v>158</v>
      </c>
      <c r="C49" s="17" t="s">
        <v>159</v>
      </c>
      <c r="D49" s="37"/>
      <c r="E49" s="37">
        <v>1</v>
      </c>
      <c r="F49" s="37">
        <f t="shared" si="0"/>
        <v>1</v>
      </c>
      <c r="G49" s="2"/>
      <c r="H49" s="56" t="s">
        <v>172</v>
      </c>
      <c r="I49" s="18">
        <f>F49*G49</f>
        <v>0</v>
      </c>
    </row>
    <row r="50" spans="1:9" x14ac:dyDescent="0.3">
      <c r="A50" s="15">
        <v>47</v>
      </c>
      <c r="B50" s="16" t="s">
        <v>80</v>
      </c>
      <c r="C50" s="17" t="s">
        <v>69</v>
      </c>
      <c r="D50" s="37">
        <v>76.900000000000006</v>
      </c>
      <c r="E50" s="37">
        <v>98.02</v>
      </c>
      <c r="F50" s="37">
        <f t="shared" si="0"/>
        <v>174.92000000000002</v>
      </c>
      <c r="G50" s="2"/>
      <c r="H50" s="2"/>
      <c r="I50" s="18">
        <f t="shared" si="1"/>
        <v>0</v>
      </c>
    </row>
    <row r="51" spans="1:9" x14ac:dyDescent="0.3">
      <c r="A51" s="15">
        <v>48</v>
      </c>
      <c r="B51" s="16" t="s">
        <v>79</v>
      </c>
      <c r="C51" s="17" t="s">
        <v>69</v>
      </c>
      <c r="D51" s="37">
        <v>2.0699999999999998</v>
      </c>
      <c r="E51" s="37">
        <v>2.5099999999999998</v>
      </c>
      <c r="F51" s="37">
        <f>D51+E51</f>
        <v>4.58</v>
      </c>
      <c r="G51" s="2"/>
      <c r="H51" s="2"/>
      <c r="I51" s="18">
        <f>F51*(G51+H51)</f>
        <v>0</v>
      </c>
    </row>
    <row r="52" spans="1:9" x14ac:dyDescent="0.3">
      <c r="A52" s="15">
        <v>49</v>
      </c>
      <c r="B52" s="16" t="s">
        <v>81</v>
      </c>
      <c r="C52" s="17" t="s">
        <v>69</v>
      </c>
      <c r="D52" s="37">
        <v>5.63</v>
      </c>
      <c r="E52" s="37">
        <v>6.84</v>
      </c>
      <c r="F52" s="37">
        <f t="shared" si="0"/>
        <v>12.469999999999999</v>
      </c>
      <c r="G52" s="2"/>
      <c r="H52" s="2"/>
      <c r="I52" s="18">
        <f t="shared" si="1"/>
        <v>0</v>
      </c>
    </row>
    <row r="53" spans="1:9" s="14" customFormat="1" x14ac:dyDescent="0.3">
      <c r="A53" s="81" t="s">
        <v>82</v>
      </c>
      <c r="B53" s="81"/>
      <c r="C53" s="81"/>
      <c r="D53" s="44"/>
      <c r="E53" s="44"/>
      <c r="F53" s="44"/>
      <c r="G53" s="32"/>
      <c r="H53" s="32"/>
      <c r="I53" s="32"/>
    </row>
    <row r="54" spans="1:9" ht="28.8" x14ac:dyDescent="0.3">
      <c r="A54" s="15">
        <v>54</v>
      </c>
      <c r="B54" s="16" t="s">
        <v>194</v>
      </c>
      <c r="C54" s="17" t="s">
        <v>39</v>
      </c>
      <c r="D54" s="37">
        <v>1</v>
      </c>
      <c r="E54" s="37">
        <v>1</v>
      </c>
      <c r="F54" s="37">
        <f t="shared" ref="F54:F103" si="8">D54+E54</f>
        <v>2</v>
      </c>
      <c r="G54" s="2"/>
      <c r="H54" s="2"/>
      <c r="I54" s="18">
        <f t="shared" ref="I54:I103" si="9">F54*(G54+H54)</f>
        <v>0</v>
      </c>
    </row>
    <row r="55" spans="1:9" ht="28.8" x14ac:dyDescent="0.3">
      <c r="A55" s="15">
        <v>55</v>
      </c>
      <c r="B55" s="16" t="s">
        <v>195</v>
      </c>
      <c r="C55" s="17" t="s">
        <v>39</v>
      </c>
      <c r="D55" s="37">
        <v>1</v>
      </c>
      <c r="E55" s="37">
        <v>2</v>
      </c>
      <c r="F55" s="37">
        <f t="shared" si="8"/>
        <v>3</v>
      </c>
      <c r="G55" s="2"/>
      <c r="H55" s="2"/>
      <c r="I55" s="18">
        <f t="shared" si="9"/>
        <v>0</v>
      </c>
    </row>
    <row r="56" spans="1:9" ht="28.8" x14ac:dyDescent="0.3">
      <c r="A56" s="15">
        <v>55</v>
      </c>
      <c r="B56" s="16" t="s">
        <v>196</v>
      </c>
      <c r="C56" s="17" t="s">
        <v>39</v>
      </c>
      <c r="D56" s="37">
        <v>1</v>
      </c>
      <c r="E56" s="37">
        <v>1</v>
      </c>
      <c r="F56" s="37">
        <f t="shared" si="8"/>
        <v>2</v>
      </c>
      <c r="G56" s="2"/>
      <c r="H56" s="2"/>
      <c r="I56" s="18">
        <f t="shared" si="9"/>
        <v>0</v>
      </c>
    </row>
    <row r="57" spans="1:9" ht="28.8" x14ac:dyDescent="0.3">
      <c r="A57" s="15"/>
      <c r="B57" s="16" t="s">
        <v>197</v>
      </c>
      <c r="C57" s="17" t="s">
        <v>39</v>
      </c>
      <c r="D57" s="37"/>
      <c r="E57" s="37">
        <v>1</v>
      </c>
      <c r="F57" s="37">
        <f t="shared" si="8"/>
        <v>1</v>
      </c>
      <c r="G57" s="2"/>
      <c r="H57" s="2"/>
      <c r="I57" s="18">
        <f t="shared" si="9"/>
        <v>0</v>
      </c>
    </row>
    <row r="58" spans="1:9" ht="28.8" x14ac:dyDescent="0.3">
      <c r="A58" s="15">
        <v>56</v>
      </c>
      <c r="B58" s="16" t="s">
        <v>198</v>
      </c>
      <c r="C58" s="17" t="s">
        <v>39</v>
      </c>
      <c r="D58" s="37">
        <v>1</v>
      </c>
      <c r="E58" s="37"/>
      <c r="F58" s="37">
        <f t="shared" si="8"/>
        <v>1</v>
      </c>
      <c r="G58" s="2"/>
      <c r="H58" s="2"/>
      <c r="I58" s="18">
        <f t="shared" si="9"/>
        <v>0</v>
      </c>
    </row>
    <row r="59" spans="1:9" ht="28.8" x14ac:dyDescent="0.3">
      <c r="A59" s="15">
        <v>56</v>
      </c>
      <c r="B59" s="16" t="s">
        <v>199</v>
      </c>
      <c r="C59" s="17" t="s">
        <v>39</v>
      </c>
      <c r="D59" s="37">
        <v>2</v>
      </c>
      <c r="E59" s="37"/>
      <c r="F59" s="37">
        <f t="shared" si="8"/>
        <v>2</v>
      </c>
      <c r="G59" s="2"/>
      <c r="H59" s="2"/>
      <c r="I59" s="18">
        <f t="shared" si="9"/>
        <v>0</v>
      </c>
    </row>
    <row r="60" spans="1:9" ht="28.8" x14ac:dyDescent="0.3">
      <c r="A60" s="15">
        <v>56</v>
      </c>
      <c r="B60" s="16" t="s">
        <v>200</v>
      </c>
      <c r="C60" s="17" t="s">
        <v>39</v>
      </c>
      <c r="D60" s="37">
        <v>1</v>
      </c>
      <c r="E60" s="37"/>
      <c r="F60" s="37">
        <f t="shared" si="8"/>
        <v>1</v>
      </c>
      <c r="G60" s="2"/>
      <c r="H60" s="2"/>
      <c r="I60" s="18">
        <f t="shared" si="9"/>
        <v>0</v>
      </c>
    </row>
    <row r="61" spans="1:9" ht="28.8" x14ac:dyDescent="0.3">
      <c r="A61" s="15"/>
      <c r="B61" s="16" t="s">
        <v>201</v>
      </c>
      <c r="C61" s="17" t="s">
        <v>39</v>
      </c>
      <c r="D61" s="37"/>
      <c r="E61" s="37">
        <v>1</v>
      </c>
      <c r="F61" s="37">
        <f t="shared" si="8"/>
        <v>1</v>
      </c>
      <c r="G61" s="2"/>
      <c r="H61" s="2"/>
      <c r="I61" s="18">
        <f t="shared" si="9"/>
        <v>0</v>
      </c>
    </row>
    <row r="62" spans="1:9" ht="28.8" x14ac:dyDescent="0.3">
      <c r="A62" s="15">
        <v>57</v>
      </c>
      <c r="B62" s="16" t="s">
        <v>202</v>
      </c>
      <c r="C62" s="17" t="s">
        <v>39</v>
      </c>
      <c r="D62" s="37">
        <v>1</v>
      </c>
      <c r="E62" s="37"/>
      <c r="F62" s="37">
        <f t="shared" si="8"/>
        <v>1</v>
      </c>
      <c r="G62" s="2"/>
      <c r="H62" s="2"/>
      <c r="I62" s="18">
        <f t="shared" si="9"/>
        <v>0</v>
      </c>
    </row>
    <row r="63" spans="1:9" ht="28.8" x14ac:dyDescent="0.3">
      <c r="A63" s="15">
        <v>58</v>
      </c>
      <c r="B63" s="16" t="s">
        <v>203</v>
      </c>
      <c r="C63" s="17" t="s">
        <v>39</v>
      </c>
      <c r="D63" s="37">
        <v>1</v>
      </c>
      <c r="E63" s="37"/>
      <c r="F63" s="37">
        <f t="shared" si="8"/>
        <v>1</v>
      </c>
      <c r="G63" s="2"/>
      <c r="H63" s="2"/>
      <c r="I63" s="18">
        <f t="shared" si="9"/>
        <v>0</v>
      </c>
    </row>
    <row r="64" spans="1:9" ht="28.8" x14ac:dyDescent="0.3">
      <c r="A64" s="15">
        <v>59</v>
      </c>
      <c r="B64" s="16" t="s">
        <v>204</v>
      </c>
      <c r="C64" s="17" t="s">
        <v>39</v>
      </c>
      <c r="D64" s="37">
        <v>1</v>
      </c>
      <c r="E64" s="37"/>
      <c r="F64" s="37">
        <f t="shared" si="8"/>
        <v>1</v>
      </c>
      <c r="G64" s="2"/>
      <c r="H64" s="2"/>
      <c r="I64" s="18">
        <f t="shared" si="9"/>
        <v>0</v>
      </c>
    </row>
    <row r="65" spans="1:9" ht="28.8" x14ac:dyDescent="0.3">
      <c r="A65" s="15">
        <v>65</v>
      </c>
      <c r="B65" s="16" t="s">
        <v>205</v>
      </c>
      <c r="C65" s="17" t="s">
        <v>39</v>
      </c>
      <c r="D65" s="37"/>
      <c r="E65" s="37">
        <v>1</v>
      </c>
      <c r="F65" s="37">
        <f>D65+E65</f>
        <v>1</v>
      </c>
      <c r="G65" s="2"/>
      <c r="H65" s="2"/>
      <c r="I65" s="18">
        <f>F65*(G65+H65)</f>
        <v>0</v>
      </c>
    </row>
    <row r="66" spans="1:9" ht="28.8" x14ac:dyDescent="0.3">
      <c r="A66" s="15">
        <v>66</v>
      </c>
      <c r="B66" s="16" t="s">
        <v>206</v>
      </c>
      <c r="C66" s="17" t="s">
        <v>39</v>
      </c>
      <c r="D66" s="37"/>
      <c r="E66" s="37">
        <v>1</v>
      </c>
      <c r="F66" s="37">
        <f>D66+E66</f>
        <v>1</v>
      </c>
      <c r="G66" s="2"/>
      <c r="H66" s="2"/>
      <c r="I66" s="18">
        <f>F66*(G66+H66)</f>
        <v>0</v>
      </c>
    </row>
    <row r="67" spans="1:9" ht="28.8" x14ac:dyDescent="0.3">
      <c r="A67" s="15">
        <v>60</v>
      </c>
      <c r="B67" s="16" t="s">
        <v>207</v>
      </c>
      <c r="C67" s="17" t="s">
        <v>39</v>
      </c>
      <c r="D67" s="37">
        <v>1</v>
      </c>
      <c r="E67" s="37"/>
      <c r="F67" s="37">
        <f t="shared" si="8"/>
        <v>1</v>
      </c>
      <c r="G67" s="2"/>
      <c r="H67" s="2"/>
      <c r="I67" s="18">
        <f t="shared" si="9"/>
        <v>0</v>
      </c>
    </row>
    <row r="68" spans="1:9" ht="28.8" x14ac:dyDescent="0.3">
      <c r="A68" s="15">
        <v>61</v>
      </c>
      <c r="B68" s="16" t="s">
        <v>208</v>
      </c>
      <c r="C68" s="17" t="s">
        <v>39</v>
      </c>
      <c r="D68" s="37">
        <v>1</v>
      </c>
      <c r="E68" s="37"/>
      <c r="F68" s="37">
        <f t="shared" si="8"/>
        <v>1</v>
      </c>
      <c r="G68" s="2"/>
      <c r="H68" s="2"/>
      <c r="I68" s="18">
        <f t="shared" si="9"/>
        <v>0</v>
      </c>
    </row>
    <row r="69" spans="1:9" ht="28.8" x14ac:dyDescent="0.3">
      <c r="A69" s="15">
        <v>69</v>
      </c>
      <c r="B69" s="16" t="s">
        <v>209</v>
      </c>
      <c r="C69" s="17" t="s">
        <v>39</v>
      </c>
      <c r="D69" s="37"/>
      <c r="E69" s="37">
        <v>3</v>
      </c>
      <c r="F69" s="37">
        <f t="shared" si="8"/>
        <v>3</v>
      </c>
      <c r="G69" s="2"/>
      <c r="H69" s="2"/>
      <c r="I69" s="18">
        <f t="shared" si="9"/>
        <v>0</v>
      </c>
    </row>
    <row r="70" spans="1:9" ht="28.8" x14ac:dyDescent="0.3">
      <c r="A70" s="15">
        <v>70</v>
      </c>
      <c r="B70" s="16" t="s">
        <v>210</v>
      </c>
      <c r="C70" s="17" t="s">
        <v>39</v>
      </c>
      <c r="D70" s="37"/>
      <c r="E70" s="37">
        <v>1</v>
      </c>
      <c r="F70" s="37">
        <f t="shared" si="8"/>
        <v>1</v>
      </c>
      <c r="G70" s="2"/>
      <c r="H70" s="2"/>
      <c r="I70" s="18">
        <f t="shared" si="9"/>
        <v>0</v>
      </c>
    </row>
    <row r="71" spans="1:9" s="61" customFormat="1" ht="15.75" customHeight="1" x14ac:dyDescent="0.3">
      <c r="A71" s="15">
        <v>81</v>
      </c>
      <c r="B71" s="60" t="s">
        <v>211</v>
      </c>
      <c r="C71" s="17" t="s">
        <v>39</v>
      </c>
      <c r="D71" s="37">
        <v>5</v>
      </c>
      <c r="E71" s="37">
        <v>6</v>
      </c>
      <c r="F71" s="37">
        <f>D71+E71</f>
        <v>11</v>
      </c>
      <c r="G71" s="2"/>
      <c r="H71" s="2"/>
      <c r="I71" s="18">
        <f>F71*(G71+H71)</f>
        <v>0</v>
      </c>
    </row>
    <row r="72" spans="1:9" s="20" customFormat="1" ht="15.75" customHeight="1" x14ac:dyDescent="0.3">
      <c r="A72" s="15">
        <v>82</v>
      </c>
      <c r="B72" s="60" t="s">
        <v>45</v>
      </c>
      <c r="C72" s="17" t="s">
        <v>39</v>
      </c>
      <c r="D72" s="62">
        <v>5</v>
      </c>
      <c r="E72" s="37">
        <v>6</v>
      </c>
      <c r="F72" s="37">
        <f>D72+E72</f>
        <v>11</v>
      </c>
      <c r="G72" s="2"/>
      <c r="H72" s="2"/>
      <c r="I72" s="18">
        <f>F72*(G72+H72)</f>
        <v>0</v>
      </c>
    </row>
    <row r="73" spans="1:9" s="52" customFormat="1" ht="15.75" customHeight="1" x14ac:dyDescent="0.3">
      <c r="A73" s="15">
        <v>83</v>
      </c>
      <c r="B73" s="50" t="s">
        <v>87</v>
      </c>
      <c r="C73" s="17" t="s">
        <v>39</v>
      </c>
      <c r="D73" s="48">
        <v>4</v>
      </c>
      <c r="E73" s="48">
        <v>6</v>
      </c>
      <c r="F73" s="48">
        <f>D73+E73</f>
        <v>10</v>
      </c>
      <c r="G73" s="40"/>
      <c r="H73" s="40"/>
      <c r="I73" s="18">
        <f t="shared" ref="I73:I83" si="10">F73*(G73+H73)</f>
        <v>0</v>
      </c>
    </row>
    <row r="74" spans="1:9" s="20" customFormat="1" ht="15.75" customHeight="1" x14ac:dyDescent="0.3">
      <c r="A74" s="15">
        <v>80</v>
      </c>
      <c r="B74" s="60" t="s">
        <v>42</v>
      </c>
      <c r="C74" s="17" t="s">
        <v>39</v>
      </c>
      <c r="D74" s="62">
        <v>5</v>
      </c>
      <c r="E74" s="37">
        <v>12</v>
      </c>
      <c r="F74" s="37">
        <f>D74+E74</f>
        <v>17</v>
      </c>
      <c r="G74" s="2"/>
      <c r="H74" s="2"/>
      <c r="I74" s="18">
        <f t="shared" si="10"/>
        <v>0</v>
      </c>
    </row>
    <row r="75" spans="1:9" s="20" customFormat="1" ht="28.8" x14ac:dyDescent="0.3">
      <c r="A75" s="15">
        <v>76</v>
      </c>
      <c r="B75" s="54" t="s">
        <v>212</v>
      </c>
      <c r="C75" s="17" t="s">
        <v>39</v>
      </c>
      <c r="D75" s="45">
        <v>7</v>
      </c>
      <c r="E75" s="37">
        <v>10</v>
      </c>
      <c r="F75" s="37">
        <f t="shared" si="8"/>
        <v>17</v>
      </c>
      <c r="G75" s="2"/>
      <c r="H75" s="2"/>
      <c r="I75" s="18">
        <f t="shared" si="10"/>
        <v>0</v>
      </c>
    </row>
    <row r="76" spans="1:9" s="20" customFormat="1" x14ac:dyDescent="0.3">
      <c r="A76" s="15">
        <v>77</v>
      </c>
      <c r="B76" s="54" t="s">
        <v>213</v>
      </c>
      <c r="C76" s="17" t="s">
        <v>39</v>
      </c>
      <c r="D76" s="45">
        <v>7</v>
      </c>
      <c r="E76" s="37">
        <v>10</v>
      </c>
      <c r="F76" s="37">
        <f t="shared" si="8"/>
        <v>17</v>
      </c>
      <c r="G76" s="2"/>
      <c r="H76" s="2"/>
      <c r="I76" s="18">
        <f t="shared" si="10"/>
        <v>0</v>
      </c>
    </row>
    <row r="77" spans="1:9" s="20" customFormat="1" x14ac:dyDescent="0.3">
      <c r="A77" s="15">
        <v>78</v>
      </c>
      <c r="B77" s="54" t="s">
        <v>214</v>
      </c>
      <c r="C77" s="17" t="s">
        <v>39</v>
      </c>
      <c r="D77" s="45">
        <v>12</v>
      </c>
      <c r="E77" s="37">
        <v>30</v>
      </c>
      <c r="F77" s="37">
        <f t="shared" si="8"/>
        <v>42</v>
      </c>
      <c r="G77" s="2"/>
      <c r="H77" s="2"/>
      <c r="I77" s="18">
        <f t="shared" si="10"/>
        <v>0</v>
      </c>
    </row>
    <row r="78" spans="1:9" s="20" customFormat="1" x14ac:dyDescent="0.3">
      <c r="A78" s="15">
        <v>79</v>
      </c>
      <c r="B78" s="60" t="s">
        <v>215</v>
      </c>
      <c r="C78" s="17" t="s">
        <v>39</v>
      </c>
      <c r="D78" s="45">
        <v>2</v>
      </c>
      <c r="E78" s="37"/>
      <c r="F78" s="37">
        <f t="shared" si="8"/>
        <v>2</v>
      </c>
      <c r="G78" s="2"/>
      <c r="H78" s="2"/>
      <c r="I78" s="18">
        <f t="shared" si="10"/>
        <v>0</v>
      </c>
    </row>
    <row r="79" spans="1:9" s="20" customFormat="1" x14ac:dyDescent="0.3">
      <c r="A79" s="15">
        <v>79</v>
      </c>
      <c r="B79" s="60" t="s">
        <v>216</v>
      </c>
      <c r="C79" s="17" t="s">
        <v>39</v>
      </c>
      <c r="D79" s="45"/>
      <c r="E79" s="37">
        <v>4</v>
      </c>
      <c r="F79" s="37">
        <f t="shared" si="8"/>
        <v>4</v>
      </c>
      <c r="G79" s="2"/>
      <c r="H79" s="2"/>
      <c r="I79" s="18">
        <f t="shared" si="10"/>
        <v>0</v>
      </c>
    </row>
    <row r="80" spans="1:9" s="20" customFormat="1" ht="15.75" customHeight="1" x14ac:dyDescent="0.3">
      <c r="A80" s="15">
        <v>84</v>
      </c>
      <c r="B80" s="54" t="s">
        <v>56</v>
      </c>
      <c r="C80" s="17" t="s">
        <v>0</v>
      </c>
      <c r="D80" s="45">
        <v>59.15</v>
      </c>
      <c r="E80" s="37">
        <v>34.380000000000003</v>
      </c>
      <c r="F80" s="37">
        <f t="shared" si="8"/>
        <v>93.53</v>
      </c>
      <c r="G80" s="2"/>
      <c r="H80" s="2"/>
      <c r="I80" s="18">
        <f t="shared" si="10"/>
        <v>0</v>
      </c>
    </row>
    <row r="81" spans="1:9" s="20" customFormat="1" ht="15.75" customHeight="1" x14ac:dyDescent="0.3">
      <c r="A81" s="15">
        <v>85</v>
      </c>
      <c r="B81" s="54" t="s">
        <v>57</v>
      </c>
      <c r="C81" s="17" t="s">
        <v>0</v>
      </c>
      <c r="D81" s="45">
        <v>4.5199999999999996</v>
      </c>
      <c r="E81" s="37">
        <v>23.42</v>
      </c>
      <c r="F81" s="37">
        <f t="shared" si="8"/>
        <v>27.94</v>
      </c>
      <c r="G81" s="2"/>
      <c r="H81" s="2"/>
      <c r="I81" s="18">
        <f t="shared" si="10"/>
        <v>0</v>
      </c>
    </row>
    <row r="82" spans="1:9" s="20" customFormat="1" ht="15.75" customHeight="1" x14ac:dyDescent="0.3">
      <c r="A82" s="15">
        <v>86</v>
      </c>
      <c r="B82" s="54" t="s">
        <v>58</v>
      </c>
      <c r="C82" s="17" t="s">
        <v>0</v>
      </c>
      <c r="D82" s="45">
        <v>8.64</v>
      </c>
      <c r="E82" s="37">
        <v>5.0999999999999996</v>
      </c>
      <c r="F82" s="37">
        <f t="shared" si="8"/>
        <v>13.74</v>
      </c>
      <c r="G82" s="2"/>
      <c r="H82" s="2"/>
      <c r="I82" s="18">
        <f t="shared" si="10"/>
        <v>0</v>
      </c>
    </row>
    <row r="83" spans="1:9" s="20" customFormat="1" ht="15.75" customHeight="1" x14ac:dyDescent="0.3">
      <c r="A83" s="15"/>
      <c r="B83" s="54" t="s">
        <v>217</v>
      </c>
      <c r="C83" s="17" t="s">
        <v>0</v>
      </c>
      <c r="D83" s="45"/>
      <c r="E83" s="37">
        <v>4.17</v>
      </c>
      <c r="F83" s="37">
        <f t="shared" si="8"/>
        <v>4.17</v>
      </c>
      <c r="G83" s="2"/>
      <c r="H83" s="2"/>
      <c r="I83" s="18">
        <f t="shared" si="10"/>
        <v>0</v>
      </c>
    </row>
    <row r="84" spans="1:9" s="20" customFormat="1" ht="15.75" customHeight="1" x14ac:dyDescent="0.3">
      <c r="A84" s="15">
        <v>87</v>
      </c>
      <c r="B84" s="54" t="s">
        <v>59</v>
      </c>
      <c r="C84" s="17" t="s">
        <v>0</v>
      </c>
      <c r="D84" s="45">
        <v>103.51</v>
      </c>
      <c r="E84" s="37">
        <v>165.68</v>
      </c>
      <c r="F84" s="37">
        <f t="shared" si="8"/>
        <v>269.19</v>
      </c>
      <c r="G84" s="2"/>
      <c r="H84" s="2"/>
      <c r="I84" s="18">
        <f t="shared" si="9"/>
        <v>0</v>
      </c>
    </row>
    <row r="85" spans="1:9" s="20" customFormat="1" ht="15.75" customHeight="1" x14ac:dyDescent="0.3">
      <c r="A85" s="15">
        <v>88</v>
      </c>
      <c r="B85" s="54" t="s">
        <v>60</v>
      </c>
      <c r="C85" s="19" t="s">
        <v>0</v>
      </c>
      <c r="D85" s="45">
        <v>20.39</v>
      </c>
      <c r="E85" s="37"/>
      <c r="F85" s="37">
        <f t="shared" si="8"/>
        <v>20.39</v>
      </c>
      <c r="G85" s="2"/>
      <c r="H85" s="2"/>
      <c r="I85" s="18">
        <f t="shared" si="9"/>
        <v>0</v>
      </c>
    </row>
    <row r="86" spans="1:9" s="20" customFormat="1" ht="15.75" customHeight="1" x14ac:dyDescent="0.3">
      <c r="A86" s="15">
        <v>89</v>
      </c>
      <c r="B86" s="54" t="s">
        <v>61</v>
      </c>
      <c r="C86" s="19" t="s">
        <v>0</v>
      </c>
      <c r="D86" s="45">
        <v>5.77</v>
      </c>
      <c r="E86" s="37">
        <v>4.03</v>
      </c>
      <c r="F86" s="37">
        <f t="shared" si="8"/>
        <v>9.8000000000000007</v>
      </c>
      <c r="G86" s="2"/>
      <c r="H86" s="2"/>
      <c r="I86" s="18">
        <f t="shared" si="9"/>
        <v>0</v>
      </c>
    </row>
    <row r="87" spans="1:9" s="20" customFormat="1" ht="15.75" customHeight="1" x14ac:dyDescent="0.3">
      <c r="A87" s="15">
        <v>90</v>
      </c>
      <c r="B87" s="54" t="s">
        <v>62</v>
      </c>
      <c r="C87" s="19" t="s">
        <v>0</v>
      </c>
      <c r="D87" s="45">
        <v>11.69</v>
      </c>
      <c r="E87" s="37">
        <v>25.61</v>
      </c>
      <c r="F87" s="37">
        <f t="shared" si="8"/>
        <v>37.299999999999997</v>
      </c>
      <c r="G87" s="2"/>
      <c r="H87" s="2"/>
      <c r="I87" s="18">
        <f t="shared" si="9"/>
        <v>0</v>
      </c>
    </row>
    <row r="88" spans="1:9" s="20" customFormat="1" ht="15.75" customHeight="1" x14ac:dyDescent="0.3">
      <c r="A88" s="15">
        <v>91</v>
      </c>
      <c r="B88" s="54" t="s">
        <v>63</v>
      </c>
      <c r="C88" s="19" t="s">
        <v>0</v>
      </c>
      <c r="D88" s="45"/>
      <c r="E88" s="37">
        <v>34.729999999999997</v>
      </c>
      <c r="F88" s="37">
        <f t="shared" si="8"/>
        <v>34.729999999999997</v>
      </c>
      <c r="G88" s="2"/>
      <c r="H88" s="2"/>
      <c r="I88" s="18">
        <f t="shared" si="9"/>
        <v>0</v>
      </c>
    </row>
    <row r="89" spans="1:9" s="20" customFormat="1" ht="15.75" customHeight="1" x14ac:dyDescent="0.3">
      <c r="A89" s="15">
        <v>92</v>
      </c>
      <c r="B89" s="54" t="s">
        <v>67</v>
      </c>
      <c r="C89" s="19" t="s">
        <v>0</v>
      </c>
      <c r="D89" s="45">
        <v>103.51</v>
      </c>
      <c r="E89" s="37">
        <v>165.68</v>
      </c>
      <c r="F89" s="37">
        <f t="shared" si="8"/>
        <v>269.19</v>
      </c>
      <c r="G89" s="2"/>
      <c r="H89" s="2"/>
      <c r="I89" s="18">
        <f t="shared" si="9"/>
        <v>0</v>
      </c>
    </row>
    <row r="90" spans="1:9" s="20" customFormat="1" ht="15.75" customHeight="1" x14ac:dyDescent="0.3">
      <c r="A90" s="15">
        <v>93</v>
      </c>
      <c r="B90" s="54" t="s">
        <v>218</v>
      </c>
      <c r="C90" s="19" t="s">
        <v>0</v>
      </c>
      <c r="D90" s="45"/>
      <c r="E90" s="37"/>
      <c r="F90" s="37">
        <f t="shared" si="8"/>
        <v>0</v>
      </c>
      <c r="G90" s="2"/>
      <c r="H90" s="2"/>
      <c r="I90" s="18">
        <f t="shared" si="9"/>
        <v>0</v>
      </c>
    </row>
    <row r="91" spans="1:9" s="20" customFormat="1" ht="15.75" customHeight="1" x14ac:dyDescent="0.3">
      <c r="A91" s="15">
        <v>94</v>
      </c>
      <c r="B91" s="54" t="s">
        <v>68</v>
      </c>
      <c r="C91" s="19" t="s">
        <v>0</v>
      </c>
      <c r="D91" s="45">
        <v>20.39</v>
      </c>
      <c r="E91" s="37"/>
      <c r="F91" s="37">
        <f t="shared" si="8"/>
        <v>20.39</v>
      </c>
      <c r="G91" s="2"/>
      <c r="H91" s="2"/>
      <c r="I91" s="18">
        <f t="shared" si="9"/>
        <v>0</v>
      </c>
    </row>
    <row r="92" spans="1:9" s="20" customFormat="1" ht="15.75" customHeight="1" x14ac:dyDescent="0.3">
      <c r="A92" s="15">
        <v>95</v>
      </c>
      <c r="B92" s="54" t="s">
        <v>70</v>
      </c>
      <c r="C92" s="19" t="s">
        <v>0</v>
      </c>
      <c r="D92" s="45">
        <v>5.77</v>
      </c>
      <c r="E92" s="37">
        <v>4.03</v>
      </c>
      <c r="F92" s="37">
        <f t="shared" si="8"/>
        <v>9.8000000000000007</v>
      </c>
      <c r="G92" s="2"/>
      <c r="H92" s="2"/>
      <c r="I92" s="18">
        <f t="shared" si="9"/>
        <v>0</v>
      </c>
    </row>
    <row r="93" spans="1:9" s="20" customFormat="1" ht="15.75" customHeight="1" x14ac:dyDescent="0.3">
      <c r="A93" s="15">
        <v>96</v>
      </c>
      <c r="B93" s="54" t="s">
        <v>71</v>
      </c>
      <c r="C93" s="19" t="s">
        <v>0</v>
      </c>
      <c r="D93" s="45">
        <v>11.69</v>
      </c>
      <c r="E93" s="37">
        <v>25.61</v>
      </c>
      <c r="F93" s="37">
        <f t="shared" si="8"/>
        <v>37.299999999999997</v>
      </c>
      <c r="G93" s="2"/>
      <c r="H93" s="2"/>
      <c r="I93" s="18">
        <f t="shared" si="9"/>
        <v>0</v>
      </c>
    </row>
    <row r="94" spans="1:9" s="20" customFormat="1" ht="15.75" customHeight="1" x14ac:dyDescent="0.3">
      <c r="A94" s="15">
        <v>97</v>
      </c>
      <c r="B94" s="54" t="s">
        <v>72</v>
      </c>
      <c r="C94" s="19" t="s">
        <v>0</v>
      </c>
      <c r="D94" s="45"/>
      <c r="E94" s="37">
        <v>34.729999999999997</v>
      </c>
      <c r="F94" s="37">
        <f t="shared" si="8"/>
        <v>34.729999999999997</v>
      </c>
      <c r="G94" s="2"/>
      <c r="H94" s="2"/>
      <c r="I94" s="18">
        <f t="shared" si="9"/>
        <v>0</v>
      </c>
    </row>
    <row r="95" spans="1:9" s="20" customFormat="1" ht="28.8" x14ac:dyDescent="0.3">
      <c r="A95" s="15">
        <v>98</v>
      </c>
      <c r="B95" s="54" t="s">
        <v>192</v>
      </c>
      <c r="C95" s="19" t="s">
        <v>0</v>
      </c>
      <c r="D95" s="45">
        <v>59.15</v>
      </c>
      <c r="E95" s="37">
        <v>34.380000000000003</v>
      </c>
      <c r="F95" s="37">
        <f t="shared" si="8"/>
        <v>93.53</v>
      </c>
      <c r="G95" s="2"/>
      <c r="H95" s="2"/>
      <c r="I95" s="18">
        <f t="shared" si="9"/>
        <v>0</v>
      </c>
    </row>
    <row r="96" spans="1:9" s="20" customFormat="1" ht="28.8" x14ac:dyDescent="0.3">
      <c r="A96" s="15">
        <v>99</v>
      </c>
      <c r="B96" s="54" t="s">
        <v>193</v>
      </c>
      <c r="C96" s="19" t="s">
        <v>0</v>
      </c>
      <c r="D96" s="55">
        <v>4.5199999999999996</v>
      </c>
      <c r="E96" s="37">
        <v>23.42</v>
      </c>
      <c r="F96" s="37">
        <f t="shared" si="8"/>
        <v>27.94</v>
      </c>
      <c r="G96" s="2"/>
      <c r="H96" s="2"/>
      <c r="I96" s="18">
        <f t="shared" si="9"/>
        <v>0</v>
      </c>
    </row>
    <row r="97" spans="1:9" ht="28.8" x14ac:dyDescent="0.3">
      <c r="A97" s="15">
        <v>100</v>
      </c>
      <c r="B97" s="54" t="s">
        <v>219</v>
      </c>
      <c r="C97" s="17" t="s">
        <v>0</v>
      </c>
      <c r="D97" s="37">
        <v>8.64</v>
      </c>
      <c r="E97" s="37">
        <v>5.0999999999999996</v>
      </c>
      <c r="F97" s="37">
        <f t="shared" si="8"/>
        <v>13.74</v>
      </c>
      <c r="G97" s="2"/>
      <c r="H97" s="2"/>
      <c r="I97" s="18">
        <f t="shared" si="9"/>
        <v>0</v>
      </c>
    </row>
    <row r="98" spans="1:9" ht="28.8" x14ac:dyDescent="0.3">
      <c r="A98" s="15"/>
      <c r="B98" s="54" t="s">
        <v>220</v>
      </c>
      <c r="C98" s="17" t="s">
        <v>0</v>
      </c>
      <c r="D98" s="37"/>
      <c r="E98" s="37">
        <v>4.17</v>
      </c>
      <c r="F98" s="37">
        <f t="shared" si="8"/>
        <v>4.17</v>
      </c>
      <c r="G98" s="2"/>
      <c r="H98" s="2"/>
      <c r="I98" s="18">
        <f t="shared" si="9"/>
        <v>0</v>
      </c>
    </row>
    <row r="99" spans="1:9" ht="28.8" x14ac:dyDescent="0.3">
      <c r="A99" s="15">
        <v>45</v>
      </c>
      <c r="B99" s="16" t="s">
        <v>158</v>
      </c>
      <c r="C99" s="17" t="s">
        <v>159</v>
      </c>
      <c r="D99" s="37">
        <v>1</v>
      </c>
      <c r="E99" s="37"/>
      <c r="F99" s="37">
        <f t="shared" si="8"/>
        <v>1</v>
      </c>
      <c r="G99" s="2"/>
      <c r="H99" s="56" t="s">
        <v>172</v>
      </c>
      <c r="I99" s="18">
        <f>F99*G99</f>
        <v>0</v>
      </c>
    </row>
    <row r="100" spans="1:9" ht="28.8" x14ac:dyDescent="0.3">
      <c r="A100" s="15">
        <v>46</v>
      </c>
      <c r="B100" s="16" t="s">
        <v>158</v>
      </c>
      <c r="C100" s="17" t="s">
        <v>159</v>
      </c>
      <c r="D100" s="37"/>
      <c r="E100" s="37">
        <v>1</v>
      </c>
      <c r="F100" s="37">
        <f t="shared" si="8"/>
        <v>1</v>
      </c>
      <c r="G100" s="2"/>
      <c r="H100" s="56" t="s">
        <v>172</v>
      </c>
      <c r="I100" s="18">
        <f>F100*G100</f>
        <v>0</v>
      </c>
    </row>
    <row r="101" spans="1:9" x14ac:dyDescent="0.3">
      <c r="A101" s="15">
        <v>102</v>
      </c>
      <c r="B101" s="16" t="s">
        <v>80</v>
      </c>
      <c r="C101" s="17" t="s">
        <v>69</v>
      </c>
      <c r="D101" s="37">
        <v>98.27</v>
      </c>
      <c r="E101" s="37">
        <v>166.08</v>
      </c>
      <c r="F101" s="37">
        <f>D101+E101</f>
        <v>264.35000000000002</v>
      </c>
      <c r="G101" s="2"/>
      <c r="H101" s="2"/>
      <c r="I101" s="18">
        <f>F101*(G101+H101)</f>
        <v>0</v>
      </c>
    </row>
    <row r="102" spans="1:9" x14ac:dyDescent="0.3">
      <c r="A102" s="15">
        <v>101</v>
      </c>
      <c r="B102" s="16" t="s">
        <v>79</v>
      </c>
      <c r="C102" s="17" t="s">
        <v>69</v>
      </c>
      <c r="D102" s="37">
        <v>1.22</v>
      </c>
      <c r="E102" s="37">
        <v>2.2599999999999998</v>
      </c>
      <c r="F102" s="37">
        <f t="shared" si="8"/>
        <v>3.4799999999999995</v>
      </c>
      <c r="G102" s="2"/>
      <c r="H102" s="2"/>
      <c r="I102" s="18">
        <f t="shared" si="9"/>
        <v>0</v>
      </c>
    </row>
    <row r="103" spans="1:9" x14ac:dyDescent="0.3">
      <c r="A103" s="15">
        <v>103</v>
      </c>
      <c r="B103" s="16" t="s">
        <v>81</v>
      </c>
      <c r="C103" s="17" t="s">
        <v>69</v>
      </c>
      <c r="D103" s="37">
        <v>3.24</v>
      </c>
      <c r="E103" s="37">
        <v>6.04</v>
      </c>
      <c r="F103" s="37">
        <f t="shared" si="8"/>
        <v>9.2800000000000011</v>
      </c>
      <c r="G103" s="2"/>
      <c r="H103" s="2"/>
      <c r="I103" s="18">
        <f t="shared" si="9"/>
        <v>0</v>
      </c>
    </row>
    <row r="104" spans="1:9" s="14" customFormat="1" x14ac:dyDescent="0.3">
      <c r="A104" s="81" t="s">
        <v>221</v>
      </c>
      <c r="B104" s="81"/>
      <c r="C104" s="81"/>
      <c r="D104" s="44"/>
      <c r="E104" s="44"/>
      <c r="F104" s="44"/>
      <c r="G104" s="32"/>
      <c r="H104" s="32"/>
      <c r="I104" s="32"/>
    </row>
    <row r="105" spans="1:9" ht="28.8" x14ac:dyDescent="0.3">
      <c r="A105" s="15">
        <v>104</v>
      </c>
      <c r="B105" s="16" t="s">
        <v>222</v>
      </c>
      <c r="C105" s="17" t="s">
        <v>39</v>
      </c>
      <c r="D105" s="37"/>
      <c r="E105" s="37"/>
      <c r="F105" s="37">
        <f t="shared" ref="F105:F143" si="11">D105+E105</f>
        <v>0</v>
      </c>
      <c r="G105" s="2"/>
      <c r="H105" s="2"/>
      <c r="I105" s="18">
        <f t="shared" ref="I105:I143" si="12">F105*(G105+H105)</f>
        <v>0</v>
      </c>
    </row>
    <row r="106" spans="1:9" ht="28.8" x14ac:dyDescent="0.3">
      <c r="A106" s="15">
        <v>105</v>
      </c>
      <c r="B106" s="16" t="s">
        <v>223</v>
      </c>
      <c r="C106" s="17" t="s">
        <v>39</v>
      </c>
      <c r="D106" s="37">
        <v>2</v>
      </c>
      <c r="E106" s="37"/>
      <c r="F106" s="37">
        <f t="shared" si="11"/>
        <v>2</v>
      </c>
      <c r="G106" s="2"/>
      <c r="H106" s="2"/>
      <c r="I106" s="18">
        <f t="shared" si="12"/>
        <v>0</v>
      </c>
    </row>
    <row r="107" spans="1:9" ht="28.8" x14ac:dyDescent="0.3">
      <c r="A107" s="15">
        <v>106</v>
      </c>
      <c r="B107" s="16" t="s">
        <v>224</v>
      </c>
      <c r="C107" s="17" t="s">
        <v>39</v>
      </c>
      <c r="D107" s="37">
        <v>3</v>
      </c>
      <c r="E107" s="37">
        <v>9</v>
      </c>
      <c r="F107" s="37">
        <f t="shared" si="11"/>
        <v>12</v>
      </c>
      <c r="G107" s="2"/>
      <c r="H107" s="2"/>
      <c r="I107" s="18">
        <f t="shared" si="12"/>
        <v>0</v>
      </c>
    </row>
    <row r="108" spans="1:9" ht="28.8" x14ac:dyDescent="0.3">
      <c r="A108" s="15">
        <v>107</v>
      </c>
      <c r="B108" s="16" t="s">
        <v>225</v>
      </c>
      <c r="C108" s="17" t="s">
        <v>39</v>
      </c>
      <c r="D108" s="37">
        <v>1</v>
      </c>
      <c r="E108" s="37">
        <v>1</v>
      </c>
      <c r="F108" s="37">
        <f t="shared" si="11"/>
        <v>2</v>
      </c>
      <c r="G108" s="2"/>
      <c r="H108" s="2"/>
      <c r="I108" s="18">
        <f t="shared" si="12"/>
        <v>0</v>
      </c>
    </row>
    <row r="109" spans="1:9" ht="28.8" x14ac:dyDescent="0.3">
      <c r="A109" s="15">
        <v>108</v>
      </c>
      <c r="B109" s="16" t="s">
        <v>226</v>
      </c>
      <c r="C109" s="17" t="s">
        <v>39</v>
      </c>
      <c r="D109" s="37">
        <v>1</v>
      </c>
      <c r="E109" s="37">
        <v>1</v>
      </c>
      <c r="F109" s="37">
        <f t="shared" si="11"/>
        <v>2</v>
      </c>
      <c r="G109" s="2"/>
      <c r="H109" s="2"/>
      <c r="I109" s="18">
        <f t="shared" si="12"/>
        <v>0</v>
      </c>
    </row>
    <row r="110" spans="1:9" ht="28.8" x14ac:dyDescent="0.3">
      <c r="A110" s="15">
        <v>109</v>
      </c>
      <c r="B110" s="16" t="s">
        <v>227</v>
      </c>
      <c r="C110" s="17" t="s">
        <v>39</v>
      </c>
      <c r="D110" s="37"/>
      <c r="E110" s="37">
        <v>10</v>
      </c>
      <c r="F110" s="37">
        <f t="shared" si="11"/>
        <v>10</v>
      </c>
      <c r="G110" s="2"/>
      <c r="H110" s="2"/>
      <c r="I110" s="18">
        <f t="shared" si="12"/>
        <v>0</v>
      </c>
    </row>
    <row r="111" spans="1:9" ht="28.8" x14ac:dyDescent="0.3">
      <c r="A111" s="15">
        <v>110</v>
      </c>
      <c r="B111" s="16" t="s">
        <v>228</v>
      </c>
      <c r="C111" s="17" t="s">
        <v>39</v>
      </c>
      <c r="D111" s="37">
        <v>1</v>
      </c>
      <c r="E111" s="37"/>
      <c r="F111" s="37">
        <f t="shared" si="11"/>
        <v>1</v>
      </c>
      <c r="G111" s="2"/>
      <c r="H111" s="2"/>
      <c r="I111" s="18">
        <f t="shared" si="12"/>
        <v>0</v>
      </c>
    </row>
    <row r="112" spans="1:9" ht="28.8" x14ac:dyDescent="0.3">
      <c r="A112" s="15">
        <v>111</v>
      </c>
      <c r="B112" s="16" t="s">
        <v>229</v>
      </c>
      <c r="C112" s="17" t="s">
        <v>39</v>
      </c>
      <c r="D112" s="37">
        <v>1</v>
      </c>
      <c r="E112" s="37"/>
      <c r="F112" s="37">
        <f t="shared" si="11"/>
        <v>1</v>
      </c>
      <c r="G112" s="2"/>
      <c r="H112" s="2"/>
      <c r="I112" s="18">
        <f t="shared" si="12"/>
        <v>0</v>
      </c>
    </row>
    <row r="113" spans="1:9" ht="28.8" x14ac:dyDescent="0.3">
      <c r="A113" s="15">
        <v>112</v>
      </c>
      <c r="B113" s="16" t="s">
        <v>230</v>
      </c>
      <c r="C113" s="17" t="s">
        <v>39</v>
      </c>
      <c r="D113" s="37">
        <v>2</v>
      </c>
      <c r="E113" s="37">
        <v>1</v>
      </c>
      <c r="F113" s="37">
        <f t="shared" si="11"/>
        <v>3</v>
      </c>
      <c r="G113" s="2"/>
      <c r="H113" s="2"/>
      <c r="I113" s="18">
        <f t="shared" si="12"/>
        <v>0</v>
      </c>
    </row>
    <row r="114" spans="1:9" ht="28.8" x14ac:dyDescent="0.3">
      <c r="A114" s="15">
        <v>113</v>
      </c>
      <c r="B114" s="16" t="s">
        <v>231</v>
      </c>
      <c r="C114" s="17" t="s">
        <v>39</v>
      </c>
      <c r="D114" s="37">
        <v>2</v>
      </c>
      <c r="E114" s="37"/>
      <c r="F114" s="37">
        <f t="shared" si="11"/>
        <v>2</v>
      </c>
      <c r="G114" s="2"/>
      <c r="H114" s="2"/>
      <c r="I114" s="18">
        <f t="shared" si="12"/>
        <v>0</v>
      </c>
    </row>
    <row r="115" spans="1:9" ht="28.8" x14ac:dyDescent="0.3">
      <c r="A115" s="15">
        <v>114</v>
      </c>
      <c r="B115" s="16" t="s">
        <v>232</v>
      </c>
      <c r="C115" s="17" t="s">
        <v>39</v>
      </c>
      <c r="D115" s="37"/>
      <c r="E115" s="37">
        <v>1</v>
      </c>
      <c r="F115" s="37">
        <f t="shared" si="11"/>
        <v>1</v>
      </c>
      <c r="G115" s="2"/>
      <c r="H115" s="2"/>
      <c r="I115" s="18">
        <f t="shared" si="12"/>
        <v>0</v>
      </c>
    </row>
    <row r="116" spans="1:9" ht="28.8" x14ac:dyDescent="0.3">
      <c r="A116" s="15">
        <v>115</v>
      </c>
      <c r="B116" s="16" t="s">
        <v>233</v>
      </c>
      <c r="C116" s="17" t="s">
        <v>39</v>
      </c>
      <c r="D116" s="37"/>
      <c r="E116" s="37">
        <v>1</v>
      </c>
      <c r="F116" s="37">
        <f t="shared" si="11"/>
        <v>1</v>
      </c>
      <c r="G116" s="2"/>
      <c r="H116" s="2"/>
      <c r="I116" s="18">
        <f t="shared" si="12"/>
        <v>0</v>
      </c>
    </row>
    <row r="117" spans="1:9" x14ac:dyDescent="0.3">
      <c r="A117" s="15">
        <v>116</v>
      </c>
      <c r="B117" s="16" t="s">
        <v>42</v>
      </c>
      <c r="C117" s="17" t="s">
        <v>39</v>
      </c>
      <c r="D117" s="37">
        <v>4</v>
      </c>
      <c r="E117" s="37">
        <v>4</v>
      </c>
      <c r="F117" s="37">
        <f t="shared" si="11"/>
        <v>8</v>
      </c>
      <c r="G117" s="2"/>
      <c r="H117" s="2"/>
      <c r="I117" s="18">
        <f t="shared" si="12"/>
        <v>0</v>
      </c>
    </row>
    <row r="118" spans="1:9" x14ac:dyDescent="0.3">
      <c r="A118" s="15">
        <v>117</v>
      </c>
      <c r="B118" s="16" t="s">
        <v>234</v>
      </c>
      <c r="C118" s="17" t="s">
        <v>39</v>
      </c>
      <c r="D118" s="37">
        <v>1</v>
      </c>
      <c r="E118" s="37">
        <v>1</v>
      </c>
      <c r="F118" s="37">
        <f t="shared" si="11"/>
        <v>2</v>
      </c>
      <c r="G118" s="2"/>
      <c r="H118" s="2"/>
      <c r="I118" s="18">
        <f t="shared" si="12"/>
        <v>0</v>
      </c>
    </row>
    <row r="119" spans="1:9" x14ac:dyDescent="0.3">
      <c r="A119" s="15">
        <v>118</v>
      </c>
      <c r="B119" s="16" t="s">
        <v>235</v>
      </c>
      <c r="C119" s="17" t="s">
        <v>39</v>
      </c>
      <c r="D119" s="37">
        <v>1</v>
      </c>
      <c r="E119" s="37">
        <v>1</v>
      </c>
      <c r="F119" s="37">
        <f t="shared" si="11"/>
        <v>2</v>
      </c>
      <c r="G119" s="2"/>
      <c r="H119" s="2"/>
      <c r="I119" s="18">
        <f t="shared" si="12"/>
        <v>0</v>
      </c>
    </row>
    <row r="120" spans="1:9" x14ac:dyDescent="0.3">
      <c r="A120" s="15">
        <v>119</v>
      </c>
      <c r="B120" s="16" t="s">
        <v>236</v>
      </c>
      <c r="C120" s="17" t="s">
        <v>39</v>
      </c>
      <c r="D120" s="37">
        <v>1</v>
      </c>
      <c r="E120" s="37"/>
      <c r="F120" s="37">
        <f t="shared" si="11"/>
        <v>1</v>
      </c>
      <c r="G120" s="2"/>
      <c r="H120" s="2"/>
      <c r="I120" s="18">
        <f t="shared" si="12"/>
        <v>0</v>
      </c>
    </row>
    <row r="121" spans="1:9" x14ac:dyDescent="0.3">
      <c r="A121" s="15">
        <v>120</v>
      </c>
      <c r="B121" s="16" t="s">
        <v>183</v>
      </c>
      <c r="C121" s="17" t="s">
        <v>39</v>
      </c>
      <c r="D121" s="37"/>
      <c r="E121" s="37">
        <v>1</v>
      </c>
      <c r="F121" s="37">
        <f t="shared" si="11"/>
        <v>1</v>
      </c>
      <c r="G121" s="2"/>
      <c r="H121" s="2"/>
      <c r="I121" s="18">
        <f t="shared" si="12"/>
        <v>0</v>
      </c>
    </row>
    <row r="122" spans="1:9" x14ac:dyDescent="0.3">
      <c r="A122" s="15">
        <v>121</v>
      </c>
      <c r="B122" s="16" t="s">
        <v>237</v>
      </c>
      <c r="C122" s="17" t="s">
        <v>39</v>
      </c>
      <c r="D122" s="37">
        <v>1</v>
      </c>
      <c r="E122" s="37">
        <v>1</v>
      </c>
      <c r="F122" s="37">
        <f t="shared" si="11"/>
        <v>2</v>
      </c>
      <c r="G122" s="2"/>
      <c r="H122" s="2"/>
      <c r="I122" s="18">
        <f t="shared" si="12"/>
        <v>0</v>
      </c>
    </row>
    <row r="123" spans="1:9" ht="28.8" x14ac:dyDescent="0.3">
      <c r="A123" s="15">
        <v>122</v>
      </c>
      <c r="B123" s="16" t="s">
        <v>212</v>
      </c>
      <c r="C123" s="17" t="s">
        <v>39</v>
      </c>
      <c r="D123" s="37">
        <v>13</v>
      </c>
      <c r="E123" s="37">
        <v>24</v>
      </c>
      <c r="F123" s="37">
        <f t="shared" si="11"/>
        <v>37</v>
      </c>
      <c r="G123" s="2"/>
      <c r="H123" s="2"/>
      <c r="I123" s="18">
        <f t="shared" si="12"/>
        <v>0</v>
      </c>
    </row>
    <row r="124" spans="1:9" x14ac:dyDescent="0.3">
      <c r="A124" s="15">
        <v>123</v>
      </c>
      <c r="B124" s="16" t="s">
        <v>213</v>
      </c>
      <c r="C124" s="17" t="s">
        <v>39</v>
      </c>
      <c r="D124" s="37">
        <v>13</v>
      </c>
      <c r="E124" s="37">
        <v>24</v>
      </c>
      <c r="F124" s="37">
        <f t="shared" si="11"/>
        <v>37</v>
      </c>
      <c r="G124" s="2"/>
      <c r="H124" s="2"/>
      <c r="I124" s="18">
        <f t="shared" si="12"/>
        <v>0</v>
      </c>
    </row>
    <row r="125" spans="1:9" x14ac:dyDescent="0.3">
      <c r="A125" s="15">
        <v>124</v>
      </c>
      <c r="B125" s="16" t="s">
        <v>214</v>
      </c>
      <c r="C125" s="17" t="s">
        <v>39</v>
      </c>
      <c r="D125" s="37">
        <v>6</v>
      </c>
      <c r="E125" s="37">
        <v>6</v>
      </c>
      <c r="F125" s="37">
        <f t="shared" si="11"/>
        <v>12</v>
      </c>
      <c r="G125" s="2"/>
      <c r="H125" s="2"/>
      <c r="I125" s="18">
        <f t="shared" si="12"/>
        <v>0</v>
      </c>
    </row>
    <row r="126" spans="1:9" x14ac:dyDescent="0.3">
      <c r="A126" s="15">
        <v>125</v>
      </c>
      <c r="B126" s="16" t="s">
        <v>215</v>
      </c>
      <c r="C126" s="17" t="s">
        <v>39</v>
      </c>
      <c r="D126" s="37">
        <v>6</v>
      </c>
      <c r="E126" s="37">
        <v>4</v>
      </c>
      <c r="F126" s="37">
        <f t="shared" si="11"/>
        <v>10</v>
      </c>
      <c r="G126" s="2"/>
      <c r="H126" s="2"/>
      <c r="I126" s="18">
        <f t="shared" si="12"/>
        <v>0</v>
      </c>
    </row>
    <row r="127" spans="1:9" x14ac:dyDescent="0.3">
      <c r="A127" s="15">
        <v>126</v>
      </c>
      <c r="B127" s="16" t="s">
        <v>216</v>
      </c>
      <c r="C127" s="17" t="s">
        <v>39</v>
      </c>
      <c r="D127" s="37"/>
      <c r="E127" s="37">
        <v>2</v>
      </c>
      <c r="F127" s="37">
        <f t="shared" si="11"/>
        <v>2</v>
      </c>
      <c r="G127" s="2"/>
      <c r="H127" s="2"/>
      <c r="I127" s="18">
        <f t="shared" si="12"/>
        <v>0</v>
      </c>
    </row>
    <row r="128" spans="1:9" s="34" customFormat="1" x14ac:dyDescent="0.3">
      <c r="A128" s="15">
        <v>127</v>
      </c>
      <c r="B128" s="58" t="s">
        <v>238</v>
      </c>
      <c r="C128" s="17" t="s">
        <v>39</v>
      </c>
      <c r="D128" s="37"/>
      <c r="E128" s="37">
        <v>2</v>
      </c>
      <c r="F128" s="37">
        <f t="shared" si="11"/>
        <v>2</v>
      </c>
      <c r="G128" s="2"/>
      <c r="H128" s="2"/>
      <c r="I128" s="18">
        <f t="shared" si="12"/>
        <v>0</v>
      </c>
    </row>
    <row r="129" spans="1:9" s="34" customFormat="1" x14ac:dyDescent="0.3">
      <c r="A129" s="15">
        <v>128</v>
      </c>
      <c r="B129" s="58" t="s">
        <v>239</v>
      </c>
      <c r="C129" s="17" t="s">
        <v>39</v>
      </c>
      <c r="D129" s="37">
        <v>2</v>
      </c>
      <c r="E129" s="37">
        <v>6</v>
      </c>
      <c r="F129" s="37">
        <f t="shared" si="11"/>
        <v>8</v>
      </c>
      <c r="G129" s="2"/>
      <c r="H129" s="2"/>
      <c r="I129" s="18">
        <f t="shared" si="12"/>
        <v>0</v>
      </c>
    </row>
    <row r="130" spans="1:9" s="34" customFormat="1" x14ac:dyDescent="0.3">
      <c r="A130" s="15">
        <v>129</v>
      </c>
      <c r="B130" s="58" t="s">
        <v>240</v>
      </c>
      <c r="C130" s="17" t="s">
        <v>39</v>
      </c>
      <c r="D130" s="37">
        <v>2</v>
      </c>
      <c r="E130" s="37">
        <v>2</v>
      </c>
      <c r="F130" s="37">
        <f t="shared" si="11"/>
        <v>4</v>
      </c>
      <c r="G130" s="2"/>
      <c r="H130" s="2"/>
      <c r="I130" s="18">
        <f t="shared" si="12"/>
        <v>0</v>
      </c>
    </row>
    <row r="131" spans="1:9" x14ac:dyDescent="0.3">
      <c r="A131" s="15">
        <v>130</v>
      </c>
      <c r="B131" s="60" t="s">
        <v>59</v>
      </c>
      <c r="C131" s="17" t="s">
        <v>0</v>
      </c>
      <c r="D131" s="37">
        <v>78.72</v>
      </c>
      <c r="E131" s="37">
        <v>145.18</v>
      </c>
      <c r="F131" s="37">
        <f t="shared" si="11"/>
        <v>223.9</v>
      </c>
      <c r="G131" s="2"/>
      <c r="H131" s="2"/>
      <c r="I131" s="18">
        <f t="shared" si="12"/>
        <v>0</v>
      </c>
    </row>
    <row r="132" spans="1:9" x14ac:dyDescent="0.3">
      <c r="A132" s="15">
        <v>131</v>
      </c>
      <c r="B132" s="60" t="s">
        <v>60</v>
      </c>
      <c r="C132" s="19" t="s">
        <v>0</v>
      </c>
      <c r="D132" s="37">
        <v>99.4</v>
      </c>
      <c r="E132" s="37">
        <v>85.8</v>
      </c>
      <c r="F132" s="37">
        <f t="shared" si="11"/>
        <v>185.2</v>
      </c>
      <c r="G132" s="2"/>
      <c r="H132" s="2"/>
      <c r="I132" s="18">
        <f t="shared" si="12"/>
        <v>0</v>
      </c>
    </row>
    <row r="133" spans="1:9" s="20" customFormat="1" x14ac:dyDescent="0.3">
      <c r="A133" s="15">
        <v>132</v>
      </c>
      <c r="B133" s="60" t="s">
        <v>61</v>
      </c>
      <c r="C133" s="19" t="s">
        <v>0</v>
      </c>
      <c r="D133" s="45"/>
      <c r="E133" s="45">
        <v>0.2</v>
      </c>
      <c r="F133" s="37">
        <f t="shared" si="11"/>
        <v>0.2</v>
      </c>
      <c r="G133" s="2"/>
      <c r="H133" s="2"/>
      <c r="I133" s="18">
        <f t="shared" si="12"/>
        <v>0</v>
      </c>
    </row>
    <row r="134" spans="1:9" s="20" customFormat="1" x14ac:dyDescent="0.3">
      <c r="A134" s="15">
        <v>133</v>
      </c>
      <c r="B134" s="54" t="s">
        <v>62</v>
      </c>
      <c r="C134" s="19" t="s">
        <v>0</v>
      </c>
      <c r="D134" s="45"/>
      <c r="E134" s="45">
        <v>5.4</v>
      </c>
      <c r="F134" s="37">
        <f t="shared" si="11"/>
        <v>5.4</v>
      </c>
      <c r="G134" s="2"/>
      <c r="H134" s="2"/>
      <c r="I134" s="18">
        <f t="shared" si="12"/>
        <v>0</v>
      </c>
    </row>
    <row r="135" spans="1:9" x14ac:dyDescent="0.3">
      <c r="A135" s="15">
        <v>134</v>
      </c>
      <c r="B135" s="54" t="s">
        <v>67</v>
      </c>
      <c r="C135" s="19" t="s">
        <v>0</v>
      </c>
      <c r="D135" s="37">
        <v>78.72</v>
      </c>
      <c r="E135" s="37">
        <v>145.18</v>
      </c>
      <c r="F135" s="37">
        <f t="shared" si="11"/>
        <v>223.9</v>
      </c>
      <c r="G135" s="2"/>
      <c r="H135" s="2"/>
      <c r="I135" s="18">
        <f t="shared" si="12"/>
        <v>0</v>
      </c>
    </row>
    <row r="136" spans="1:9" x14ac:dyDescent="0.3">
      <c r="A136" s="15">
        <v>135</v>
      </c>
      <c r="B136" s="54" t="s">
        <v>68</v>
      </c>
      <c r="C136" s="19" t="s">
        <v>0</v>
      </c>
      <c r="D136" s="37">
        <v>99.4</v>
      </c>
      <c r="E136" s="37">
        <v>85.8</v>
      </c>
      <c r="F136" s="37">
        <f t="shared" si="11"/>
        <v>185.2</v>
      </c>
      <c r="G136" s="2"/>
      <c r="H136" s="2"/>
      <c r="I136" s="18">
        <f t="shared" si="12"/>
        <v>0</v>
      </c>
    </row>
    <row r="137" spans="1:9" x14ac:dyDescent="0.3">
      <c r="A137" s="15">
        <v>136</v>
      </c>
      <c r="B137" s="54" t="s">
        <v>70</v>
      </c>
      <c r="C137" s="19" t="s">
        <v>0</v>
      </c>
      <c r="D137" s="37"/>
      <c r="E137" s="37">
        <v>0.2</v>
      </c>
      <c r="F137" s="37">
        <f t="shared" si="11"/>
        <v>0.2</v>
      </c>
      <c r="G137" s="2"/>
      <c r="H137" s="2"/>
      <c r="I137" s="18">
        <f t="shared" si="12"/>
        <v>0</v>
      </c>
    </row>
    <row r="138" spans="1:9" s="20" customFormat="1" x14ac:dyDescent="0.3">
      <c r="A138" s="15">
        <v>137</v>
      </c>
      <c r="B138" s="54" t="s">
        <v>71</v>
      </c>
      <c r="C138" s="19" t="s">
        <v>0</v>
      </c>
      <c r="D138" s="45"/>
      <c r="E138" s="45">
        <v>5.4</v>
      </c>
      <c r="F138" s="37">
        <f t="shared" si="11"/>
        <v>5.4</v>
      </c>
      <c r="G138" s="2"/>
      <c r="H138" s="2"/>
      <c r="I138" s="18">
        <f t="shared" si="12"/>
        <v>0</v>
      </c>
    </row>
    <row r="139" spans="1:9" ht="28.8" x14ac:dyDescent="0.3">
      <c r="A139" s="15">
        <v>138</v>
      </c>
      <c r="B139" s="16" t="s">
        <v>158</v>
      </c>
      <c r="C139" s="17" t="s">
        <v>159</v>
      </c>
      <c r="D139" s="37">
        <v>1</v>
      </c>
      <c r="E139" s="37"/>
      <c r="F139" s="37">
        <f t="shared" si="11"/>
        <v>1</v>
      </c>
      <c r="G139" s="2"/>
      <c r="H139" s="56" t="s">
        <v>172</v>
      </c>
      <c r="I139" s="18">
        <f>F139*G139</f>
        <v>0</v>
      </c>
    </row>
    <row r="140" spans="1:9" ht="28.8" x14ac:dyDescent="0.3">
      <c r="A140" s="15">
        <v>139</v>
      </c>
      <c r="B140" s="16" t="s">
        <v>158</v>
      </c>
      <c r="C140" s="17" t="s">
        <v>159</v>
      </c>
      <c r="D140" s="37"/>
      <c r="E140" s="37">
        <v>1</v>
      </c>
      <c r="F140" s="37">
        <f t="shared" si="11"/>
        <v>1</v>
      </c>
      <c r="G140" s="2"/>
      <c r="H140" s="56" t="s">
        <v>172</v>
      </c>
      <c r="I140" s="18">
        <f>F140*G140</f>
        <v>0</v>
      </c>
    </row>
    <row r="141" spans="1:9" x14ac:dyDescent="0.3">
      <c r="A141" s="15">
        <v>140</v>
      </c>
      <c r="B141" s="16" t="s">
        <v>80</v>
      </c>
      <c r="C141" s="17" t="s">
        <v>69</v>
      </c>
      <c r="D141" s="37">
        <v>111.89</v>
      </c>
      <c r="E141" s="37">
        <v>156.6</v>
      </c>
      <c r="F141" s="37">
        <f>D141+E141</f>
        <v>268.49</v>
      </c>
      <c r="G141" s="2"/>
      <c r="H141" s="2"/>
      <c r="I141" s="18">
        <f>F141*(G141+H141)</f>
        <v>0</v>
      </c>
    </row>
    <row r="142" spans="1:9" x14ac:dyDescent="0.3">
      <c r="A142" s="15">
        <v>141</v>
      </c>
      <c r="B142" s="16" t="s">
        <v>79</v>
      </c>
      <c r="C142" s="17" t="s">
        <v>69</v>
      </c>
      <c r="D142" s="37">
        <v>1.56</v>
      </c>
      <c r="E142" s="37">
        <v>2.02</v>
      </c>
      <c r="F142" s="37">
        <f t="shared" si="11"/>
        <v>3.58</v>
      </c>
      <c r="G142" s="2"/>
      <c r="H142" s="2"/>
      <c r="I142" s="18">
        <f t="shared" si="12"/>
        <v>0</v>
      </c>
    </row>
    <row r="143" spans="1:9" x14ac:dyDescent="0.3">
      <c r="A143" s="15">
        <v>142</v>
      </c>
      <c r="B143" s="16" t="s">
        <v>81</v>
      </c>
      <c r="C143" s="17" t="s">
        <v>69</v>
      </c>
      <c r="D143" s="37">
        <v>4.09</v>
      </c>
      <c r="E143" s="37">
        <v>5.3</v>
      </c>
      <c r="F143" s="37">
        <f t="shared" si="11"/>
        <v>9.39</v>
      </c>
      <c r="G143" s="2"/>
      <c r="H143" s="2"/>
      <c r="I143" s="18">
        <f t="shared" si="12"/>
        <v>0</v>
      </c>
    </row>
    <row r="144" spans="1:9" s="14" customFormat="1" x14ac:dyDescent="0.3">
      <c r="A144" s="81" t="s">
        <v>88</v>
      </c>
      <c r="B144" s="81"/>
      <c r="C144" s="81"/>
      <c r="D144" s="44"/>
      <c r="E144" s="44"/>
      <c r="F144" s="44"/>
      <c r="G144" s="32"/>
      <c r="H144" s="32"/>
      <c r="I144" s="32"/>
    </row>
    <row r="145" spans="1:9" ht="28.8" x14ac:dyDescent="0.3">
      <c r="A145" s="15">
        <v>143</v>
      </c>
      <c r="B145" s="16" t="s">
        <v>241</v>
      </c>
      <c r="C145" s="17" t="s">
        <v>39</v>
      </c>
      <c r="D145" s="37"/>
      <c r="E145" s="37">
        <v>1</v>
      </c>
      <c r="F145" s="37">
        <f t="shared" ref="F145:F182" si="13">D145+E145</f>
        <v>1</v>
      </c>
      <c r="G145" s="2"/>
      <c r="H145" s="2"/>
      <c r="I145" s="18">
        <f t="shared" ref="I145:I177" si="14">F145*(G145+H145)</f>
        <v>0</v>
      </c>
    </row>
    <row r="146" spans="1:9" ht="28.8" x14ac:dyDescent="0.3">
      <c r="A146" s="15">
        <v>144</v>
      </c>
      <c r="B146" s="16" t="s">
        <v>242</v>
      </c>
      <c r="C146" s="17" t="s">
        <v>39</v>
      </c>
      <c r="D146" s="37"/>
      <c r="E146" s="37">
        <v>1</v>
      </c>
      <c r="F146" s="37">
        <f t="shared" si="13"/>
        <v>1</v>
      </c>
      <c r="G146" s="2"/>
      <c r="H146" s="2"/>
      <c r="I146" s="18">
        <f t="shared" si="14"/>
        <v>0</v>
      </c>
    </row>
    <row r="147" spans="1:9" ht="28.8" x14ac:dyDescent="0.3">
      <c r="A147" s="15">
        <v>145</v>
      </c>
      <c r="B147" s="16" t="s">
        <v>243</v>
      </c>
      <c r="C147" s="17" t="s">
        <v>39</v>
      </c>
      <c r="D147" s="37">
        <v>2</v>
      </c>
      <c r="E147" s="37">
        <v>6</v>
      </c>
      <c r="F147" s="37">
        <f t="shared" si="13"/>
        <v>8</v>
      </c>
      <c r="G147" s="2"/>
      <c r="H147" s="2"/>
      <c r="I147" s="18">
        <f t="shared" si="14"/>
        <v>0</v>
      </c>
    </row>
    <row r="148" spans="1:9" ht="28.8" x14ac:dyDescent="0.3">
      <c r="A148" s="15">
        <v>146</v>
      </c>
      <c r="B148" s="16" t="s">
        <v>244</v>
      </c>
      <c r="C148" s="17" t="s">
        <v>39</v>
      </c>
      <c r="D148" s="37">
        <v>1</v>
      </c>
      <c r="E148" s="37">
        <v>1</v>
      </c>
      <c r="F148" s="37">
        <f t="shared" si="13"/>
        <v>2</v>
      </c>
      <c r="G148" s="2"/>
      <c r="H148" s="2"/>
      <c r="I148" s="18">
        <f t="shared" si="14"/>
        <v>0</v>
      </c>
    </row>
    <row r="149" spans="1:9" ht="28.8" x14ac:dyDescent="0.3">
      <c r="A149" s="15">
        <v>147</v>
      </c>
      <c r="B149" s="16" t="s">
        <v>245</v>
      </c>
      <c r="C149" s="17" t="s">
        <v>39</v>
      </c>
      <c r="D149" s="37">
        <v>2</v>
      </c>
      <c r="E149" s="37"/>
      <c r="F149" s="37">
        <f t="shared" si="13"/>
        <v>2</v>
      </c>
      <c r="G149" s="2"/>
      <c r="H149" s="2"/>
      <c r="I149" s="18">
        <f t="shared" si="14"/>
        <v>0</v>
      </c>
    </row>
    <row r="150" spans="1:9" ht="28.8" x14ac:dyDescent="0.3">
      <c r="A150" s="15">
        <v>148</v>
      </c>
      <c r="B150" s="16" t="s">
        <v>246</v>
      </c>
      <c r="C150" s="17" t="s">
        <v>39</v>
      </c>
      <c r="D150" s="37"/>
      <c r="E150" s="37">
        <v>2</v>
      </c>
      <c r="F150" s="37">
        <f t="shared" si="13"/>
        <v>2</v>
      </c>
      <c r="G150" s="2"/>
      <c r="H150" s="2"/>
      <c r="I150" s="18">
        <f t="shared" si="14"/>
        <v>0</v>
      </c>
    </row>
    <row r="151" spans="1:9" ht="28.8" x14ac:dyDescent="0.3">
      <c r="A151" s="15">
        <v>149</v>
      </c>
      <c r="B151" s="16" t="s">
        <v>247</v>
      </c>
      <c r="C151" s="17" t="s">
        <v>39</v>
      </c>
      <c r="D151" s="37"/>
      <c r="E151" s="37">
        <v>1</v>
      </c>
      <c r="F151" s="37">
        <f t="shared" si="13"/>
        <v>1</v>
      </c>
      <c r="G151" s="2"/>
      <c r="H151" s="2"/>
      <c r="I151" s="18">
        <f t="shared" si="14"/>
        <v>0</v>
      </c>
    </row>
    <row r="152" spans="1:9" ht="28.8" x14ac:dyDescent="0.3">
      <c r="A152" s="15">
        <v>150</v>
      </c>
      <c r="B152" s="16" t="s">
        <v>248</v>
      </c>
      <c r="C152" s="17" t="s">
        <v>39</v>
      </c>
      <c r="D152" s="37"/>
      <c r="E152" s="37">
        <v>1</v>
      </c>
      <c r="F152" s="37">
        <f t="shared" si="13"/>
        <v>1</v>
      </c>
      <c r="G152" s="2"/>
      <c r="H152" s="2"/>
      <c r="I152" s="18">
        <f t="shared" si="14"/>
        <v>0</v>
      </c>
    </row>
    <row r="153" spans="1:9" x14ac:dyDescent="0.3">
      <c r="A153" s="15">
        <v>151</v>
      </c>
      <c r="B153" s="16" t="s">
        <v>211</v>
      </c>
      <c r="C153" s="17" t="s">
        <v>39</v>
      </c>
      <c r="D153" s="37"/>
      <c r="E153" s="37">
        <v>13</v>
      </c>
      <c r="F153" s="37">
        <f>D153+E153</f>
        <v>13</v>
      </c>
      <c r="G153" s="2"/>
      <c r="H153" s="2"/>
      <c r="I153" s="18">
        <f>F153*(G153+H153)</f>
        <v>0</v>
      </c>
    </row>
    <row r="154" spans="1:9" x14ac:dyDescent="0.3">
      <c r="A154" s="15">
        <v>152</v>
      </c>
      <c r="B154" s="16" t="s">
        <v>45</v>
      </c>
      <c r="C154" s="17" t="s">
        <v>39</v>
      </c>
      <c r="D154" s="37">
        <v>5</v>
      </c>
      <c r="E154" s="37">
        <v>13</v>
      </c>
      <c r="F154" s="37">
        <f>D154+E154</f>
        <v>18</v>
      </c>
      <c r="G154" s="2"/>
      <c r="H154" s="2"/>
      <c r="I154" s="18">
        <f>F154*(G154+H154)</f>
        <v>0</v>
      </c>
    </row>
    <row r="155" spans="1:9" s="59" customFormat="1" x14ac:dyDescent="0.3">
      <c r="A155" s="15">
        <v>153</v>
      </c>
      <c r="B155" s="58" t="s">
        <v>178</v>
      </c>
      <c r="C155" s="17" t="s">
        <v>39</v>
      </c>
      <c r="D155" s="37">
        <v>1</v>
      </c>
      <c r="E155" s="37">
        <v>3</v>
      </c>
      <c r="F155" s="37">
        <f>D155+E155</f>
        <v>4</v>
      </c>
      <c r="G155" s="57"/>
      <c r="H155" s="57"/>
      <c r="I155" s="22">
        <f>F155*(G155+H155)</f>
        <v>0</v>
      </c>
    </row>
    <row r="156" spans="1:9" s="34" customFormat="1" x14ac:dyDescent="0.3">
      <c r="A156" s="15">
        <v>154</v>
      </c>
      <c r="B156" s="39" t="s">
        <v>51</v>
      </c>
      <c r="C156" s="38" t="s">
        <v>39</v>
      </c>
      <c r="D156" s="48">
        <v>5</v>
      </c>
      <c r="E156" s="48">
        <v>13</v>
      </c>
      <c r="F156" s="37">
        <f>D156+E156</f>
        <v>18</v>
      </c>
      <c r="G156" s="2"/>
      <c r="H156" s="2"/>
      <c r="I156" s="18">
        <f>F156*(G156+H156)</f>
        <v>0</v>
      </c>
    </row>
    <row r="157" spans="1:9" x14ac:dyDescent="0.3">
      <c r="A157" s="15">
        <v>155</v>
      </c>
      <c r="B157" s="16" t="s">
        <v>42</v>
      </c>
      <c r="C157" s="17" t="s">
        <v>39</v>
      </c>
      <c r="D157" s="37">
        <v>2</v>
      </c>
      <c r="E157" s="37">
        <v>6</v>
      </c>
      <c r="F157" s="37">
        <f t="shared" si="13"/>
        <v>8</v>
      </c>
      <c r="G157" s="2"/>
      <c r="H157" s="2"/>
      <c r="I157" s="18">
        <f t="shared" si="14"/>
        <v>0</v>
      </c>
    </row>
    <row r="158" spans="1:9" x14ac:dyDescent="0.3">
      <c r="A158" s="15">
        <v>156</v>
      </c>
      <c r="B158" s="16" t="s">
        <v>214</v>
      </c>
      <c r="C158" s="17" t="s">
        <v>39</v>
      </c>
      <c r="D158" s="37">
        <v>2</v>
      </c>
      <c r="E158" s="37">
        <v>9</v>
      </c>
      <c r="F158" s="37">
        <f t="shared" si="13"/>
        <v>11</v>
      </c>
      <c r="G158" s="2"/>
      <c r="H158" s="2"/>
      <c r="I158" s="18">
        <f t="shared" si="14"/>
        <v>0</v>
      </c>
    </row>
    <row r="159" spans="1:9" x14ac:dyDescent="0.3">
      <c r="A159" s="15">
        <v>157</v>
      </c>
      <c r="B159" s="16" t="s">
        <v>215</v>
      </c>
      <c r="C159" s="17" t="s">
        <v>39</v>
      </c>
      <c r="D159" s="37">
        <v>3</v>
      </c>
      <c r="E159" s="37">
        <v>8</v>
      </c>
      <c r="F159" s="37">
        <f t="shared" si="13"/>
        <v>11</v>
      </c>
      <c r="G159" s="2"/>
      <c r="H159" s="2"/>
      <c r="I159" s="18">
        <f t="shared" si="14"/>
        <v>0</v>
      </c>
    </row>
    <row r="160" spans="1:9" x14ac:dyDescent="0.3">
      <c r="A160" s="15">
        <v>158</v>
      </c>
      <c r="B160" s="16" t="s">
        <v>249</v>
      </c>
      <c r="C160" s="17" t="s">
        <v>39</v>
      </c>
      <c r="D160" s="37"/>
      <c r="E160" s="37">
        <v>1</v>
      </c>
      <c r="F160" s="37">
        <f t="shared" si="13"/>
        <v>1</v>
      </c>
      <c r="G160" s="2"/>
      <c r="H160" s="2"/>
      <c r="I160" s="18">
        <f t="shared" si="14"/>
        <v>0</v>
      </c>
    </row>
    <row r="161" spans="1:9" x14ac:dyDescent="0.3">
      <c r="A161" s="15">
        <v>159</v>
      </c>
      <c r="B161" s="16" t="s">
        <v>250</v>
      </c>
      <c r="C161" s="17" t="s">
        <v>39</v>
      </c>
      <c r="D161" s="37">
        <v>1</v>
      </c>
      <c r="E161" s="37">
        <v>2</v>
      </c>
      <c r="F161" s="37">
        <f t="shared" si="13"/>
        <v>3</v>
      </c>
      <c r="G161" s="2"/>
      <c r="H161" s="2"/>
      <c r="I161" s="18">
        <f t="shared" si="14"/>
        <v>0</v>
      </c>
    </row>
    <row r="162" spans="1:9" x14ac:dyDescent="0.3">
      <c r="A162" s="15">
        <v>160</v>
      </c>
      <c r="B162" s="16" t="s">
        <v>251</v>
      </c>
      <c r="C162" s="17" t="s">
        <v>39</v>
      </c>
      <c r="D162" s="37"/>
      <c r="E162" s="37">
        <v>1</v>
      </c>
      <c r="F162" s="37">
        <f t="shared" si="13"/>
        <v>1</v>
      </c>
      <c r="G162" s="2"/>
      <c r="H162" s="2"/>
      <c r="I162" s="18">
        <f t="shared" si="14"/>
        <v>0</v>
      </c>
    </row>
    <row r="163" spans="1:9" x14ac:dyDescent="0.3">
      <c r="A163" s="15">
        <v>161</v>
      </c>
      <c r="B163" s="16" t="s">
        <v>252</v>
      </c>
      <c r="C163" s="17" t="s">
        <v>39</v>
      </c>
      <c r="D163" s="37">
        <v>1</v>
      </c>
      <c r="E163" s="37">
        <v>2</v>
      </c>
      <c r="F163" s="37">
        <f t="shared" si="13"/>
        <v>3</v>
      </c>
      <c r="G163" s="2"/>
      <c r="H163" s="2"/>
      <c r="I163" s="18">
        <f t="shared" si="14"/>
        <v>0</v>
      </c>
    </row>
    <row r="164" spans="1:9" x14ac:dyDescent="0.3">
      <c r="A164" s="15">
        <v>162</v>
      </c>
      <c r="B164" s="54" t="s">
        <v>56</v>
      </c>
      <c r="C164" s="17" t="s">
        <v>0</v>
      </c>
      <c r="D164" s="37">
        <v>36.380000000000003</v>
      </c>
      <c r="E164" s="37">
        <v>149.57</v>
      </c>
      <c r="F164" s="37">
        <f t="shared" si="13"/>
        <v>185.95</v>
      </c>
      <c r="G164" s="2"/>
      <c r="H164" s="2"/>
      <c r="I164" s="18">
        <f t="shared" si="14"/>
        <v>0</v>
      </c>
    </row>
    <row r="165" spans="1:9" x14ac:dyDescent="0.3">
      <c r="A165" s="15">
        <v>163</v>
      </c>
      <c r="B165" s="54" t="s">
        <v>57</v>
      </c>
      <c r="C165" s="17" t="s">
        <v>0</v>
      </c>
      <c r="D165" s="37">
        <v>65.069999999999993</v>
      </c>
      <c r="E165" s="37">
        <v>104.07</v>
      </c>
      <c r="F165" s="37">
        <f t="shared" si="13"/>
        <v>169.14</v>
      </c>
      <c r="G165" s="2"/>
      <c r="H165" s="2"/>
      <c r="I165" s="18">
        <f t="shared" si="14"/>
        <v>0</v>
      </c>
    </row>
    <row r="166" spans="1:9" x14ac:dyDescent="0.3">
      <c r="A166" s="15">
        <v>164</v>
      </c>
      <c r="B166" s="54" t="s">
        <v>58</v>
      </c>
      <c r="C166" s="17" t="s">
        <v>0</v>
      </c>
      <c r="D166" s="37"/>
      <c r="E166" s="37">
        <v>58.47</v>
      </c>
      <c r="F166" s="37">
        <f t="shared" si="13"/>
        <v>58.47</v>
      </c>
      <c r="G166" s="2"/>
      <c r="H166" s="2"/>
      <c r="I166" s="18">
        <f t="shared" si="14"/>
        <v>0</v>
      </c>
    </row>
    <row r="167" spans="1:9" x14ac:dyDescent="0.3">
      <c r="A167" s="15">
        <v>165</v>
      </c>
      <c r="B167" s="54" t="s">
        <v>59</v>
      </c>
      <c r="C167" s="17" t="s">
        <v>0</v>
      </c>
      <c r="D167" s="37">
        <v>0.17</v>
      </c>
      <c r="E167" s="37">
        <v>2.15</v>
      </c>
      <c r="F167" s="37">
        <f t="shared" si="13"/>
        <v>2.3199999999999998</v>
      </c>
      <c r="G167" s="2"/>
      <c r="H167" s="2"/>
      <c r="I167" s="18">
        <f t="shared" si="14"/>
        <v>0</v>
      </c>
    </row>
    <row r="168" spans="1:9" x14ac:dyDescent="0.3">
      <c r="A168" s="15">
        <v>166</v>
      </c>
      <c r="B168" s="54" t="s">
        <v>60</v>
      </c>
      <c r="C168" s="17" t="s">
        <v>0</v>
      </c>
      <c r="D168" s="37">
        <v>47.51</v>
      </c>
      <c r="E168" s="37">
        <v>14.7</v>
      </c>
      <c r="F168" s="37">
        <f t="shared" si="13"/>
        <v>62.209999999999994</v>
      </c>
      <c r="G168" s="2"/>
      <c r="H168" s="2"/>
      <c r="I168" s="18">
        <f t="shared" si="14"/>
        <v>0</v>
      </c>
    </row>
    <row r="169" spans="1:9" x14ac:dyDescent="0.3">
      <c r="A169" s="15">
        <v>167</v>
      </c>
      <c r="B169" s="54" t="s">
        <v>61</v>
      </c>
      <c r="C169" s="19" t="s">
        <v>0</v>
      </c>
      <c r="D169" s="37"/>
      <c r="E169" s="37">
        <v>59.27</v>
      </c>
      <c r="F169" s="37">
        <f t="shared" si="13"/>
        <v>59.27</v>
      </c>
      <c r="G169" s="2"/>
      <c r="H169" s="2"/>
      <c r="I169" s="18">
        <f t="shared" si="14"/>
        <v>0</v>
      </c>
    </row>
    <row r="170" spans="1:9" x14ac:dyDescent="0.3">
      <c r="A170" s="15">
        <v>168</v>
      </c>
      <c r="B170" s="54" t="s">
        <v>62</v>
      </c>
      <c r="C170" s="19" t="s">
        <v>0</v>
      </c>
      <c r="D170" s="37"/>
      <c r="E170" s="37">
        <v>4.43</v>
      </c>
      <c r="F170" s="37">
        <f t="shared" si="13"/>
        <v>4.43</v>
      </c>
      <c r="G170" s="2"/>
      <c r="H170" s="2"/>
      <c r="I170" s="18">
        <f t="shared" si="14"/>
        <v>0</v>
      </c>
    </row>
    <row r="171" spans="1:9" x14ac:dyDescent="0.3">
      <c r="A171" s="15">
        <v>169</v>
      </c>
      <c r="B171" s="54" t="s">
        <v>67</v>
      </c>
      <c r="C171" s="19" t="s">
        <v>0</v>
      </c>
      <c r="D171" s="37">
        <v>0.17</v>
      </c>
      <c r="E171" s="37">
        <v>2.15</v>
      </c>
      <c r="F171" s="37">
        <f t="shared" si="13"/>
        <v>2.3199999999999998</v>
      </c>
      <c r="G171" s="2"/>
      <c r="H171" s="2"/>
      <c r="I171" s="18">
        <f t="shared" si="14"/>
        <v>0</v>
      </c>
    </row>
    <row r="172" spans="1:9" x14ac:dyDescent="0.3">
      <c r="A172" s="15">
        <v>170</v>
      </c>
      <c r="B172" s="54" t="s">
        <v>68</v>
      </c>
      <c r="C172" s="19" t="s">
        <v>0</v>
      </c>
      <c r="D172" s="37">
        <v>47.51</v>
      </c>
      <c r="E172" s="37">
        <v>14.7</v>
      </c>
      <c r="F172" s="37">
        <f t="shared" si="13"/>
        <v>62.209999999999994</v>
      </c>
      <c r="G172" s="2"/>
      <c r="H172" s="2"/>
      <c r="I172" s="18">
        <f t="shared" si="14"/>
        <v>0</v>
      </c>
    </row>
    <row r="173" spans="1:9" x14ac:dyDescent="0.3">
      <c r="A173" s="15">
        <v>171</v>
      </c>
      <c r="B173" s="54" t="s">
        <v>70</v>
      </c>
      <c r="C173" s="19" t="s">
        <v>0</v>
      </c>
      <c r="D173" s="37"/>
      <c r="E173" s="37">
        <v>59.27</v>
      </c>
      <c r="F173" s="37">
        <f t="shared" si="13"/>
        <v>59.27</v>
      </c>
      <c r="G173" s="2"/>
      <c r="H173" s="2"/>
      <c r="I173" s="18">
        <f t="shared" si="14"/>
        <v>0</v>
      </c>
    </row>
    <row r="174" spans="1:9" x14ac:dyDescent="0.3">
      <c r="A174" s="15">
        <v>172</v>
      </c>
      <c r="B174" s="54" t="s">
        <v>71</v>
      </c>
      <c r="C174" s="19" t="s">
        <v>0</v>
      </c>
      <c r="D174" s="37"/>
      <c r="E174" s="37">
        <v>4.43</v>
      </c>
      <c r="F174" s="37">
        <f t="shared" si="13"/>
        <v>4.43</v>
      </c>
      <c r="G174" s="2"/>
      <c r="H174" s="2"/>
      <c r="I174" s="18">
        <f t="shared" si="14"/>
        <v>0</v>
      </c>
    </row>
    <row r="175" spans="1:9" ht="28.8" x14ac:dyDescent="0.3">
      <c r="A175" s="15">
        <v>173</v>
      </c>
      <c r="B175" s="54" t="s">
        <v>192</v>
      </c>
      <c r="C175" s="19" t="s">
        <v>0</v>
      </c>
      <c r="D175" s="37">
        <v>36.380000000000003</v>
      </c>
      <c r="E175" s="37">
        <v>149.57</v>
      </c>
      <c r="F175" s="37">
        <f t="shared" si="13"/>
        <v>185.95</v>
      </c>
      <c r="G175" s="2"/>
      <c r="H175" s="2"/>
      <c r="I175" s="18">
        <f t="shared" si="14"/>
        <v>0</v>
      </c>
    </row>
    <row r="176" spans="1:9" ht="28.8" x14ac:dyDescent="0.3">
      <c r="A176" s="15">
        <v>174</v>
      </c>
      <c r="B176" s="54" t="s">
        <v>193</v>
      </c>
      <c r="C176" s="17" t="s">
        <v>0</v>
      </c>
      <c r="D176" s="37">
        <v>65.069999999999993</v>
      </c>
      <c r="E176" s="37">
        <v>104.07</v>
      </c>
      <c r="F176" s="37">
        <f t="shared" si="13"/>
        <v>169.14</v>
      </c>
      <c r="G176" s="2"/>
      <c r="H176" s="2"/>
      <c r="I176" s="18">
        <f t="shared" si="14"/>
        <v>0</v>
      </c>
    </row>
    <row r="177" spans="1:10" ht="28.8" x14ac:dyDescent="0.3">
      <c r="A177" s="15">
        <v>175</v>
      </c>
      <c r="B177" s="54" t="s">
        <v>220</v>
      </c>
      <c r="C177" s="17" t="s">
        <v>0</v>
      </c>
      <c r="D177" s="37"/>
      <c r="E177" s="37">
        <v>58.47</v>
      </c>
      <c r="F177" s="37">
        <f t="shared" si="13"/>
        <v>58.47</v>
      </c>
      <c r="G177" s="2"/>
      <c r="H177" s="2"/>
      <c r="I177" s="18">
        <f t="shared" si="14"/>
        <v>0</v>
      </c>
    </row>
    <row r="178" spans="1:10" ht="28.8" x14ac:dyDescent="0.3">
      <c r="A178" s="15">
        <v>176</v>
      </c>
      <c r="B178" s="16" t="s">
        <v>158</v>
      </c>
      <c r="C178" s="17" t="s">
        <v>159</v>
      </c>
      <c r="D178" s="37">
        <v>1</v>
      </c>
      <c r="E178" s="37"/>
      <c r="F178" s="37">
        <f t="shared" si="13"/>
        <v>1</v>
      </c>
      <c r="G178" s="2"/>
      <c r="H178" s="56" t="s">
        <v>172</v>
      </c>
      <c r="I178" s="18">
        <f>F178*G178</f>
        <v>0</v>
      </c>
    </row>
    <row r="179" spans="1:10" ht="28.8" x14ac:dyDescent="0.3">
      <c r="A179" s="15">
        <v>177</v>
      </c>
      <c r="B179" s="16" t="s">
        <v>158</v>
      </c>
      <c r="C179" s="17" t="s">
        <v>159</v>
      </c>
      <c r="D179" s="37"/>
      <c r="E179" s="37">
        <v>1</v>
      </c>
      <c r="F179" s="37">
        <f t="shared" si="13"/>
        <v>1</v>
      </c>
      <c r="G179" s="2"/>
      <c r="H179" s="56" t="s">
        <v>172</v>
      </c>
      <c r="I179" s="18">
        <f>F179*G179</f>
        <v>0</v>
      </c>
    </row>
    <row r="180" spans="1:10" x14ac:dyDescent="0.3">
      <c r="A180" s="15">
        <v>178</v>
      </c>
      <c r="B180" s="16" t="s">
        <v>79</v>
      </c>
      <c r="C180" s="17" t="s">
        <v>69</v>
      </c>
      <c r="D180" s="37">
        <v>0.46</v>
      </c>
      <c r="E180" s="37">
        <v>0.94</v>
      </c>
      <c r="F180" s="37">
        <f t="shared" si="13"/>
        <v>1.4</v>
      </c>
      <c r="G180" s="2"/>
      <c r="H180" s="2"/>
      <c r="I180" s="18">
        <f t="shared" ref="I180:I182" si="15">F180*(G180+H180)</f>
        <v>0</v>
      </c>
    </row>
    <row r="181" spans="1:10" x14ac:dyDescent="0.3">
      <c r="A181" s="15">
        <v>179</v>
      </c>
      <c r="B181" s="16" t="s">
        <v>80</v>
      </c>
      <c r="C181" s="17" t="s">
        <v>69</v>
      </c>
      <c r="D181" s="37">
        <v>26.26</v>
      </c>
      <c r="E181" s="37">
        <v>49.8</v>
      </c>
      <c r="F181" s="37">
        <f t="shared" si="13"/>
        <v>76.06</v>
      </c>
      <c r="G181" s="2"/>
      <c r="H181" s="2"/>
      <c r="I181" s="18">
        <f t="shared" si="15"/>
        <v>0</v>
      </c>
    </row>
    <row r="182" spans="1:10" x14ac:dyDescent="0.3">
      <c r="A182" s="15">
        <v>180</v>
      </c>
      <c r="B182" s="16" t="s">
        <v>81</v>
      </c>
      <c r="C182" s="17" t="s">
        <v>69</v>
      </c>
      <c r="D182" s="37">
        <v>1.2</v>
      </c>
      <c r="E182" s="37">
        <v>2.46</v>
      </c>
      <c r="F182" s="37">
        <f t="shared" si="13"/>
        <v>3.66</v>
      </c>
      <c r="G182" s="2"/>
      <c r="H182" s="2"/>
      <c r="I182" s="18">
        <f t="shared" si="15"/>
        <v>0</v>
      </c>
    </row>
    <row r="183" spans="1:10" s="14" customFormat="1" x14ac:dyDescent="0.3">
      <c r="A183" s="81" t="s">
        <v>94</v>
      </c>
      <c r="B183" s="81"/>
      <c r="C183" s="81"/>
      <c r="D183" s="44"/>
      <c r="E183" s="44"/>
      <c r="F183" s="44"/>
      <c r="G183" s="32"/>
      <c r="H183" s="32"/>
      <c r="I183" s="32"/>
    </row>
    <row r="184" spans="1:10" s="20" customFormat="1" ht="28.8" x14ac:dyDescent="0.3">
      <c r="A184" s="63">
        <v>181</v>
      </c>
      <c r="B184" s="54" t="s">
        <v>144</v>
      </c>
      <c r="C184" s="17" t="s">
        <v>39</v>
      </c>
      <c r="D184" s="45"/>
      <c r="E184" s="45">
        <v>48</v>
      </c>
      <c r="F184" s="37">
        <f t="shared" ref="F184:F221" si="16">D184+E184</f>
        <v>48</v>
      </c>
      <c r="G184" s="2"/>
      <c r="H184" s="2"/>
      <c r="I184" s="18">
        <f t="shared" ref="I184:I221" si="17">F184*(G184+H184)</f>
        <v>0</v>
      </c>
      <c r="J184"/>
    </row>
    <row r="185" spans="1:10" s="20" customFormat="1" ht="28.8" x14ac:dyDescent="0.3">
      <c r="A185" s="63">
        <v>182</v>
      </c>
      <c r="B185" s="54" t="s">
        <v>138</v>
      </c>
      <c r="C185" s="17" t="s">
        <v>39</v>
      </c>
      <c r="D185" s="45"/>
      <c r="E185" s="45">
        <v>24</v>
      </c>
      <c r="F185" s="37">
        <f t="shared" si="16"/>
        <v>24</v>
      </c>
      <c r="G185" s="2"/>
      <c r="H185" s="2"/>
      <c r="I185" s="18">
        <f t="shared" si="17"/>
        <v>0</v>
      </c>
      <c r="J185"/>
    </row>
    <row r="186" spans="1:10" s="20" customFormat="1" ht="28.8" x14ac:dyDescent="0.3">
      <c r="A186" s="63">
        <v>183</v>
      </c>
      <c r="B186" s="54" t="s">
        <v>142</v>
      </c>
      <c r="C186" s="17" t="s">
        <v>39</v>
      </c>
      <c r="D186" s="45"/>
      <c r="E186" s="45">
        <v>120</v>
      </c>
      <c r="F186" s="37">
        <f t="shared" si="16"/>
        <v>120</v>
      </c>
      <c r="G186" s="2"/>
      <c r="H186" s="2"/>
      <c r="I186" s="18">
        <f t="shared" si="17"/>
        <v>0</v>
      </c>
      <c r="J186"/>
    </row>
    <row r="187" spans="1:10" s="20" customFormat="1" ht="28.8" x14ac:dyDescent="0.3">
      <c r="A187" s="63">
        <v>184</v>
      </c>
      <c r="B187" s="54" t="s">
        <v>140</v>
      </c>
      <c r="C187" s="17" t="s">
        <v>39</v>
      </c>
      <c r="D187" s="45"/>
      <c r="E187" s="45">
        <v>12</v>
      </c>
      <c r="F187" s="37">
        <f t="shared" si="16"/>
        <v>12</v>
      </c>
      <c r="G187" s="2"/>
      <c r="H187" s="2"/>
      <c r="I187" s="18">
        <f t="shared" si="17"/>
        <v>0</v>
      </c>
      <c r="J187"/>
    </row>
    <row r="188" spans="1:10" s="20" customFormat="1" ht="28.8" x14ac:dyDescent="0.3">
      <c r="A188" s="63">
        <v>185</v>
      </c>
      <c r="B188" s="54" t="s">
        <v>141</v>
      </c>
      <c r="C188" s="17" t="s">
        <v>39</v>
      </c>
      <c r="D188" s="45"/>
      <c r="E188" s="45">
        <v>24</v>
      </c>
      <c r="F188" s="37">
        <f t="shared" si="16"/>
        <v>24</v>
      </c>
      <c r="G188" s="2"/>
      <c r="H188" s="2"/>
      <c r="I188" s="18">
        <f t="shared" si="17"/>
        <v>0</v>
      </c>
      <c r="J188"/>
    </row>
    <row r="189" spans="1:10" s="20" customFormat="1" x14ac:dyDescent="0.3">
      <c r="A189" s="63">
        <v>186</v>
      </c>
      <c r="B189" s="54" t="s">
        <v>211</v>
      </c>
      <c r="C189" s="17" t="s">
        <v>39</v>
      </c>
      <c r="D189" s="45"/>
      <c r="E189" s="45">
        <v>228</v>
      </c>
      <c r="F189" s="37">
        <f>D189+E189</f>
        <v>228</v>
      </c>
      <c r="G189" s="2"/>
      <c r="H189" s="2"/>
      <c r="I189" s="18">
        <f>F189*(G189+H189)</f>
        <v>0</v>
      </c>
      <c r="J189"/>
    </row>
    <row r="190" spans="1:10" s="20" customFormat="1" x14ac:dyDescent="0.3">
      <c r="A190" s="63">
        <v>187</v>
      </c>
      <c r="B190" s="54" t="s">
        <v>45</v>
      </c>
      <c r="C190" s="17" t="s">
        <v>39</v>
      </c>
      <c r="D190" s="62"/>
      <c r="E190" s="45">
        <v>228</v>
      </c>
      <c r="F190" s="37">
        <f>D190+E190</f>
        <v>228</v>
      </c>
      <c r="G190" s="2"/>
      <c r="H190" s="2"/>
      <c r="I190" s="18">
        <f>F190*(G190+H190)</f>
        <v>0</v>
      </c>
      <c r="J190"/>
    </row>
    <row r="191" spans="1:10" s="20" customFormat="1" x14ac:dyDescent="0.3">
      <c r="A191" s="63">
        <v>188</v>
      </c>
      <c r="B191" s="64" t="s">
        <v>55</v>
      </c>
      <c r="C191" s="17" t="s">
        <v>39</v>
      </c>
      <c r="D191" s="45"/>
      <c r="E191" s="45">
        <v>84</v>
      </c>
      <c r="F191" s="37">
        <f>D191+E191</f>
        <v>84</v>
      </c>
      <c r="G191" s="2"/>
      <c r="H191" s="2"/>
      <c r="I191" s="18">
        <f>F191*(G191+H191)</f>
        <v>0</v>
      </c>
      <c r="J191"/>
    </row>
    <row r="192" spans="1:10" s="52" customFormat="1" x14ac:dyDescent="0.3">
      <c r="A192" s="63">
        <v>189</v>
      </c>
      <c r="B192" s="50" t="s">
        <v>51</v>
      </c>
      <c r="C192" s="38" t="s">
        <v>39</v>
      </c>
      <c r="D192" s="51"/>
      <c r="E192" s="51">
        <v>228</v>
      </c>
      <c r="F192" s="37">
        <f>D192+E192</f>
        <v>228</v>
      </c>
      <c r="G192" s="2"/>
      <c r="H192" s="2"/>
      <c r="I192" s="18">
        <f>F192*(G192+H192)</f>
        <v>0</v>
      </c>
      <c r="J192"/>
    </row>
    <row r="193" spans="1:10" s="20" customFormat="1" x14ac:dyDescent="0.3">
      <c r="A193" s="63">
        <v>190</v>
      </c>
      <c r="B193" s="54" t="s">
        <v>253</v>
      </c>
      <c r="C193" s="17" t="s">
        <v>39</v>
      </c>
      <c r="D193" s="62"/>
      <c r="E193" s="45">
        <v>2</v>
      </c>
      <c r="F193" s="37">
        <f t="shared" si="16"/>
        <v>2</v>
      </c>
      <c r="G193" s="2"/>
      <c r="H193" s="2"/>
      <c r="I193" s="18">
        <f t="shared" si="17"/>
        <v>0</v>
      </c>
      <c r="J193"/>
    </row>
    <row r="194" spans="1:10" s="20" customFormat="1" x14ac:dyDescent="0.3">
      <c r="A194" s="63">
        <v>191</v>
      </c>
      <c r="B194" s="54" t="s">
        <v>181</v>
      </c>
      <c r="C194" s="17" t="s">
        <v>39</v>
      </c>
      <c r="D194" s="45"/>
      <c r="E194" s="45">
        <v>12</v>
      </c>
      <c r="F194" s="37">
        <f>D194+E194</f>
        <v>12</v>
      </c>
      <c r="G194" s="2"/>
      <c r="H194" s="2"/>
      <c r="I194" s="18">
        <f>F194*(G194+H194)</f>
        <v>0</v>
      </c>
      <c r="J194"/>
    </row>
    <row r="195" spans="1:10" s="20" customFormat="1" x14ac:dyDescent="0.3">
      <c r="A195" s="63">
        <v>192</v>
      </c>
      <c r="B195" s="65" t="s">
        <v>214</v>
      </c>
      <c r="C195" s="17" t="s">
        <v>39</v>
      </c>
      <c r="D195" s="62"/>
      <c r="E195" s="45">
        <v>2</v>
      </c>
      <c r="F195" s="37">
        <f t="shared" si="16"/>
        <v>2</v>
      </c>
      <c r="G195" s="2"/>
      <c r="H195" s="2"/>
      <c r="I195" s="18">
        <f t="shared" si="17"/>
        <v>0</v>
      </c>
      <c r="J195"/>
    </row>
    <row r="196" spans="1:10" s="20" customFormat="1" x14ac:dyDescent="0.3">
      <c r="A196" s="63">
        <v>193</v>
      </c>
      <c r="B196" s="65" t="s">
        <v>254</v>
      </c>
      <c r="C196" s="17" t="s">
        <v>39</v>
      </c>
      <c r="D196" s="45"/>
      <c r="E196" s="45">
        <v>2</v>
      </c>
      <c r="F196" s="37">
        <f t="shared" si="16"/>
        <v>2</v>
      </c>
      <c r="G196" s="2"/>
      <c r="H196" s="2"/>
      <c r="I196" s="18">
        <f t="shared" si="17"/>
        <v>0</v>
      </c>
      <c r="J196"/>
    </row>
    <row r="197" spans="1:10" s="20" customFormat="1" x14ac:dyDescent="0.3">
      <c r="A197" s="63">
        <v>194</v>
      </c>
      <c r="B197" s="65" t="s">
        <v>44</v>
      </c>
      <c r="C197" s="17" t="s">
        <v>39</v>
      </c>
      <c r="D197" s="45"/>
      <c r="E197" s="45">
        <v>4</v>
      </c>
      <c r="F197" s="37">
        <f t="shared" si="16"/>
        <v>4</v>
      </c>
      <c r="G197" s="2"/>
      <c r="H197" s="2"/>
      <c r="I197" s="18">
        <f t="shared" si="17"/>
        <v>0</v>
      </c>
      <c r="J197"/>
    </row>
    <row r="198" spans="1:10" s="20" customFormat="1" x14ac:dyDescent="0.3">
      <c r="A198" s="63">
        <v>195</v>
      </c>
      <c r="B198" s="65" t="s">
        <v>255</v>
      </c>
      <c r="C198" s="17" t="s">
        <v>39</v>
      </c>
      <c r="D198" s="45"/>
      <c r="E198" s="45">
        <v>4</v>
      </c>
      <c r="F198" s="37">
        <f t="shared" si="16"/>
        <v>4</v>
      </c>
      <c r="G198" s="2"/>
      <c r="H198" s="2"/>
      <c r="I198" s="18">
        <f t="shared" si="17"/>
        <v>0</v>
      </c>
      <c r="J198"/>
    </row>
    <row r="199" spans="1:10" s="20" customFormat="1" x14ac:dyDescent="0.3">
      <c r="A199" s="63">
        <v>196</v>
      </c>
      <c r="B199" s="65" t="s">
        <v>189</v>
      </c>
      <c r="C199" s="17" t="s">
        <v>39</v>
      </c>
      <c r="D199" s="45"/>
      <c r="E199" s="45">
        <v>2</v>
      </c>
      <c r="F199" s="37">
        <f t="shared" si="16"/>
        <v>2</v>
      </c>
      <c r="G199" s="2"/>
      <c r="H199" s="2"/>
      <c r="I199" s="18">
        <f t="shared" si="17"/>
        <v>0</v>
      </c>
      <c r="J199"/>
    </row>
    <row r="200" spans="1:10" s="20" customFormat="1" x14ac:dyDescent="0.3">
      <c r="A200" s="63">
        <v>197</v>
      </c>
      <c r="B200" s="65" t="s">
        <v>256</v>
      </c>
      <c r="C200" s="17" t="s">
        <v>39</v>
      </c>
      <c r="D200" s="45"/>
      <c r="E200" s="45">
        <v>4</v>
      </c>
      <c r="F200" s="37">
        <f t="shared" si="16"/>
        <v>4</v>
      </c>
      <c r="G200" s="2"/>
      <c r="H200" s="2"/>
      <c r="I200" s="18">
        <f t="shared" si="17"/>
        <v>0</v>
      </c>
      <c r="J200"/>
    </row>
    <row r="201" spans="1:10" s="20" customFormat="1" x14ac:dyDescent="0.3">
      <c r="A201" s="63">
        <v>198</v>
      </c>
      <c r="B201" s="65" t="s">
        <v>257</v>
      </c>
      <c r="C201" s="17" t="s">
        <v>39</v>
      </c>
      <c r="D201" s="45"/>
      <c r="E201" s="45">
        <v>6</v>
      </c>
      <c r="F201" s="37">
        <f t="shared" si="16"/>
        <v>6</v>
      </c>
      <c r="G201" s="2"/>
      <c r="H201" s="2"/>
      <c r="I201" s="18">
        <f t="shared" si="17"/>
        <v>0</v>
      </c>
      <c r="J201"/>
    </row>
    <row r="202" spans="1:10" s="20" customFormat="1" x14ac:dyDescent="0.3">
      <c r="A202" s="63">
        <v>199</v>
      </c>
      <c r="B202" s="65" t="s">
        <v>258</v>
      </c>
      <c r="C202" s="17" t="s">
        <v>0</v>
      </c>
      <c r="D202" s="45"/>
      <c r="E202" s="45">
        <v>4711.08</v>
      </c>
      <c r="F202" s="37">
        <f t="shared" si="16"/>
        <v>4711.08</v>
      </c>
      <c r="G202" s="2"/>
      <c r="H202" s="2"/>
      <c r="I202" s="18">
        <f t="shared" si="17"/>
        <v>0</v>
      </c>
      <c r="J202"/>
    </row>
    <row r="203" spans="1:10" s="20" customFormat="1" x14ac:dyDescent="0.3">
      <c r="A203" s="63">
        <v>200</v>
      </c>
      <c r="B203" s="65" t="s">
        <v>259</v>
      </c>
      <c r="C203" s="17" t="s">
        <v>0</v>
      </c>
      <c r="D203" s="45"/>
      <c r="E203" s="45">
        <v>2513.2800000000002</v>
      </c>
      <c r="F203" s="37">
        <f t="shared" si="16"/>
        <v>2513.2800000000002</v>
      </c>
      <c r="G203" s="2"/>
      <c r="H203" s="2"/>
      <c r="I203" s="18">
        <f t="shared" si="17"/>
        <v>0</v>
      </c>
      <c r="J203"/>
    </row>
    <row r="204" spans="1:10" s="20" customFormat="1" x14ac:dyDescent="0.3">
      <c r="A204" s="63">
        <v>201</v>
      </c>
      <c r="B204" s="54" t="s">
        <v>59</v>
      </c>
      <c r="C204" s="17" t="s">
        <v>0</v>
      </c>
      <c r="D204" s="45"/>
      <c r="E204" s="45">
        <v>0.59</v>
      </c>
      <c r="F204" s="37">
        <f t="shared" si="16"/>
        <v>0.59</v>
      </c>
      <c r="G204" s="2"/>
      <c r="H204" s="2"/>
      <c r="I204" s="18">
        <f t="shared" si="17"/>
        <v>0</v>
      </c>
      <c r="J204"/>
    </row>
    <row r="205" spans="1:10" s="20" customFormat="1" x14ac:dyDescent="0.3">
      <c r="A205" s="63">
        <v>202</v>
      </c>
      <c r="B205" s="54" t="s">
        <v>62</v>
      </c>
      <c r="C205" s="17" t="s">
        <v>0</v>
      </c>
      <c r="D205" s="45"/>
      <c r="E205" s="45">
        <v>15.23</v>
      </c>
      <c r="F205" s="37">
        <f t="shared" si="16"/>
        <v>15.23</v>
      </c>
      <c r="G205" s="2"/>
      <c r="H205" s="2"/>
      <c r="I205" s="18">
        <f t="shared" si="17"/>
        <v>0</v>
      </c>
      <c r="J205"/>
    </row>
    <row r="206" spans="1:10" s="20" customFormat="1" x14ac:dyDescent="0.3">
      <c r="A206" s="63">
        <v>203</v>
      </c>
      <c r="B206" s="54" t="s">
        <v>63</v>
      </c>
      <c r="C206" s="17" t="s">
        <v>0</v>
      </c>
      <c r="D206" s="45"/>
      <c r="E206" s="45">
        <v>6.1</v>
      </c>
      <c r="F206" s="37">
        <f t="shared" si="16"/>
        <v>6.1</v>
      </c>
      <c r="G206" s="2"/>
      <c r="H206" s="2"/>
      <c r="I206" s="18">
        <f t="shared" si="17"/>
        <v>0</v>
      </c>
      <c r="J206"/>
    </row>
    <row r="207" spans="1:10" s="20" customFormat="1" ht="28.8" x14ac:dyDescent="0.3">
      <c r="A207" s="63">
        <v>204</v>
      </c>
      <c r="B207" s="54" t="s">
        <v>64</v>
      </c>
      <c r="C207" s="17" t="s">
        <v>0</v>
      </c>
      <c r="D207" s="45"/>
      <c r="E207" s="45">
        <v>11.18</v>
      </c>
      <c r="F207" s="37">
        <f t="shared" si="16"/>
        <v>11.18</v>
      </c>
      <c r="G207" s="2"/>
      <c r="H207" s="2"/>
      <c r="I207" s="18">
        <f t="shared" si="17"/>
        <v>0</v>
      </c>
      <c r="J207"/>
    </row>
    <row r="208" spans="1:10" s="20" customFormat="1" ht="28.8" x14ac:dyDescent="0.3">
      <c r="A208" s="63">
        <v>205</v>
      </c>
      <c r="B208" s="54" t="s">
        <v>260</v>
      </c>
      <c r="C208" s="17" t="s">
        <v>0</v>
      </c>
      <c r="D208" s="45"/>
      <c r="E208" s="45">
        <v>42.24</v>
      </c>
      <c r="F208" s="37">
        <f t="shared" si="16"/>
        <v>42.24</v>
      </c>
      <c r="G208" s="2"/>
      <c r="H208" s="2"/>
      <c r="I208" s="18">
        <f t="shared" si="17"/>
        <v>0</v>
      </c>
      <c r="J208"/>
    </row>
    <row r="209" spans="1:10" s="20" customFormat="1" ht="28.8" x14ac:dyDescent="0.3">
      <c r="A209" s="63">
        <v>206</v>
      </c>
      <c r="B209" s="54" t="s">
        <v>261</v>
      </c>
      <c r="C209" s="17" t="s">
        <v>0</v>
      </c>
      <c r="D209" s="45"/>
      <c r="E209" s="45">
        <v>92.89</v>
      </c>
      <c r="F209" s="37">
        <f t="shared" si="16"/>
        <v>92.89</v>
      </c>
      <c r="G209" s="2"/>
      <c r="H209" s="2"/>
      <c r="I209" s="18">
        <f t="shared" si="17"/>
        <v>0</v>
      </c>
      <c r="J209"/>
    </row>
    <row r="210" spans="1:10" s="20" customFormat="1" x14ac:dyDescent="0.3">
      <c r="A210" s="63">
        <v>207</v>
      </c>
      <c r="B210" s="54" t="s">
        <v>67</v>
      </c>
      <c r="C210" s="17" t="s">
        <v>0</v>
      </c>
      <c r="D210" s="45"/>
      <c r="E210" s="45">
        <v>0.59</v>
      </c>
      <c r="F210" s="37">
        <f t="shared" si="16"/>
        <v>0.59</v>
      </c>
      <c r="G210" s="2"/>
      <c r="H210" s="2"/>
      <c r="I210" s="18">
        <f t="shared" si="17"/>
        <v>0</v>
      </c>
      <c r="J210"/>
    </row>
    <row r="211" spans="1:10" s="20" customFormat="1" x14ac:dyDescent="0.3">
      <c r="A211" s="63">
        <v>208</v>
      </c>
      <c r="B211" s="54" t="s">
        <v>71</v>
      </c>
      <c r="C211" s="17" t="s">
        <v>0</v>
      </c>
      <c r="D211" s="45"/>
      <c r="E211" s="45">
        <v>15.23</v>
      </c>
      <c r="F211" s="37">
        <f t="shared" si="16"/>
        <v>15.23</v>
      </c>
      <c r="G211" s="2"/>
      <c r="H211" s="2"/>
      <c r="I211" s="18">
        <f t="shared" si="17"/>
        <v>0</v>
      </c>
      <c r="J211"/>
    </row>
    <row r="212" spans="1:10" s="20" customFormat="1" x14ac:dyDescent="0.3">
      <c r="A212" s="63">
        <v>209</v>
      </c>
      <c r="B212" s="54" t="s">
        <v>72</v>
      </c>
      <c r="C212" s="17" t="s">
        <v>0</v>
      </c>
      <c r="D212" s="45"/>
      <c r="E212" s="45">
        <v>6.1</v>
      </c>
      <c r="F212" s="37">
        <f t="shared" si="16"/>
        <v>6.1</v>
      </c>
      <c r="G212" s="2"/>
      <c r="H212" s="2"/>
      <c r="I212" s="18">
        <f t="shared" si="17"/>
        <v>0</v>
      </c>
      <c r="J212"/>
    </row>
    <row r="213" spans="1:10" s="20" customFormat="1" x14ac:dyDescent="0.3">
      <c r="A213" s="63">
        <v>210</v>
      </c>
      <c r="B213" s="54" t="s">
        <v>190</v>
      </c>
      <c r="C213" s="17" t="s">
        <v>0</v>
      </c>
      <c r="D213" s="45"/>
      <c r="E213" s="45">
        <v>11.18</v>
      </c>
      <c r="F213" s="37">
        <f t="shared" si="16"/>
        <v>11.18</v>
      </c>
      <c r="G213" s="2"/>
      <c r="H213" s="2"/>
      <c r="I213" s="18">
        <f t="shared" si="17"/>
        <v>0</v>
      </c>
      <c r="J213"/>
    </row>
    <row r="214" spans="1:10" s="20" customFormat="1" x14ac:dyDescent="0.3">
      <c r="A214" s="63">
        <v>211</v>
      </c>
      <c r="B214" s="54" t="s">
        <v>191</v>
      </c>
      <c r="C214" s="17" t="s">
        <v>0</v>
      </c>
      <c r="D214" s="45"/>
      <c r="E214" s="45">
        <v>42.24</v>
      </c>
      <c r="F214" s="37">
        <f t="shared" si="16"/>
        <v>42.24</v>
      </c>
      <c r="G214" s="2"/>
      <c r="H214" s="2"/>
      <c r="I214" s="18">
        <f t="shared" si="17"/>
        <v>0</v>
      </c>
      <c r="J214"/>
    </row>
    <row r="215" spans="1:10" s="20" customFormat="1" x14ac:dyDescent="0.3">
      <c r="A215" s="63">
        <v>212</v>
      </c>
      <c r="B215" s="54" t="s">
        <v>262</v>
      </c>
      <c r="C215" s="17" t="s">
        <v>0</v>
      </c>
      <c r="D215" s="45"/>
      <c r="E215" s="45">
        <v>92.89</v>
      </c>
      <c r="F215" s="37">
        <f t="shared" si="16"/>
        <v>92.89</v>
      </c>
      <c r="G215" s="2"/>
      <c r="H215" s="2"/>
      <c r="I215" s="18">
        <f t="shared" si="17"/>
        <v>0</v>
      </c>
      <c r="J215"/>
    </row>
    <row r="216" spans="1:10" s="20" customFormat="1" ht="28.8" x14ac:dyDescent="0.3">
      <c r="A216" s="63">
        <v>213</v>
      </c>
      <c r="B216" s="54" t="s">
        <v>192</v>
      </c>
      <c r="C216" s="17" t="s">
        <v>0</v>
      </c>
      <c r="D216" s="45"/>
      <c r="E216" s="45">
        <v>4711.08</v>
      </c>
      <c r="F216" s="37">
        <f t="shared" si="16"/>
        <v>4711.08</v>
      </c>
      <c r="G216" s="2"/>
      <c r="H216" s="2"/>
      <c r="I216" s="18">
        <f t="shared" si="17"/>
        <v>0</v>
      </c>
      <c r="J216"/>
    </row>
    <row r="217" spans="1:10" s="20" customFormat="1" ht="28.8" x14ac:dyDescent="0.3">
      <c r="A217" s="63">
        <v>214</v>
      </c>
      <c r="B217" s="54" t="s">
        <v>193</v>
      </c>
      <c r="C217" s="17" t="s">
        <v>0</v>
      </c>
      <c r="D217" s="45"/>
      <c r="E217" s="45">
        <v>2513.2800000000002</v>
      </c>
      <c r="F217" s="37">
        <f t="shared" si="16"/>
        <v>2513.2800000000002</v>
      </c>
      <c r="G217" s="2"/>
      <c r="H217" s="2"/>
      <c r="I217" s="18">
        <f t="shared" si="17"/>
        <v>0</v>
      </c>
      <c r="J217"/>
    </row>
    <row r="218" spans="1:10" ht="28.8" x14ac:dyDescent="0.3">
      <c r="A218" s="63">
        <v>215</v>
      </c>
      <c r="B218" s="16" t="s">
        <v>158</v>
      </c>
      <c r="C218" s="17" t="s">
        <v>159</v>
      </c>
      <c r="D218" s="37"/>
      <c r="E218" s="37">
        <v>1</v>
      </c>
      <c r="F218" s="37">
        <f t="shared" si="16"/>
        <v>1</v>
      </c>
      <c r="G218" s="2"/>
      <c r="H218" s="56" t="s">
        <v>172</v>
      </c>
      <c r="I218" s="18">
        <f>F218*G218</f>
        <v>0</v>
      </c>
    </row>
    <row r="219" spans="1:10" s="20" customFormat="1" x14ac:dyDescent="0.3">
      <c r="A219" s="63">
        <v>216</v>
      </c>
      <c r="B219" s="16" t="s">
        <v>80</v>
      </c>
      <c r="C219" s="17" t="s">
        <v>69</v>
      </c>
      <c r="D219" s="45"/>
      <c r="E219" s="45">
        <v>160.33000000000001</v>
      </c>
      <c r="F219" s="37">
        <f>D219+E219</f>
        <v>160.33000000000001</v>
      </c>
      <c r="G219" s="2"/>
      <c r="H219" s="2"/>
      <c r="I219" s="18">
        <f>F219*(G219+H219)</f>
        <v>0</v>
      </c>
      <c r="J219"/>
    </row>
    <row r="220" spans="1:10" s="20" customFormat="1" x14ac:dyDescent="0.3">
      <c r="A220" s="63">
        <v>217</v>
      </c>
      <c r="B220" s="16" t="s">
        <v>79</v>
      </c>
      <c r="C220" s="17" t="s">
        <v>69</v>
      </c>
      <c r="D220" s="45"/>
      <c r="E220" s="45">
        <v>4.51</v>
      </c>
      <c r="F220" s="37">
        <f t="shared" si="16"/>
        <v>4.51</v>
      </c>
      <c r="G220" s="2"/>
      <c r="H220" s="2"/>
      <c r="I220" s="18">
        <f t="shared" si="17"/>
        <v>0</v>
      </c>
      <c r="J220"/>
    </row>
    <row r="221" spans="1:10" s="20" customFormat="1" x14ac:dyDescent="0.3">
      <c r="A221" s="63">
        <v>218</v>
      </c>
      <c r="B221" s="16" t="s">
        <v>81</v>
      </c>
      <c r="C221" s="17" t="s">
        <v>69</v>
      </c>
      <c r="D221" s="45"/>
      <c r="E221" s="45">
        <v>12.31</v>
      </c>
      <c r="F221" s="37">
        <f t="shared" si="16"/>
        <v>12.31</v>
      </c>
      <c r="G221" s="2"/>
      <c r="H221" s="2"/>
      <c r="I221" s="18">
        <f t="shared" si="17"/>
        <v>0</v>
      </c>
      <c r="J221"/>
    </row>
    <row r="222" spans="1:10" s="14" customFormat="1" x14ac:dyDescent="0.3">
      <c r="A222" s="81" t="s">
        <v>263</v>
      </c>
      <c r="B222" s="81"/>
      <c r="C222" s="81"/>
      <c r="D222" s="44"/>
      <c r="E222" s="44"/>
      <c r="F222" s="44"/>
      <c r="G222" s="32"/>
      <c r="H222" s="32"/>
      <c r="I222" s="32"/>
    </row>
    <row r="223" spans="1:10" s="20" customFormat="1" ht="28.8" x14ac:dyDescent="0.3">
      <c r="A223" s="63">
        <v>219</v>
      </c>
      <c r="B223" s="54" t="s">
        <v>264</v>
      </c>
      <c r="C223" s="17" t="s">
        <v>39</v>
      </c>
      <c r="D223" s="45"/>
      <c r="E223" s="45">
        <v>6</v>
      </c>
      <c r="F223" s="37">
        <f t="shared" ref="F223:F242" si="18">D223+E223</f>
        <v>6</v>
      </c>
      <c r="G223" s="2"/>
      <c r="H223" s="2"/>
      <c r="I223" s="18">
        <f t="shared" ref="I223:I242" si="19">F223*(G223+H223)</f>
        <v>0</v>
      </c>
    </row>
    <row r="224" spans="1:10" s="20" customFormat="1" ht="28.8" x14ac:dyDescent="0.3">
      <c r="A224" s="63">
        <v>220</v>
      </c>
      <c r="B224" s="54" t="s">
        <v>265</v>
      </c>
      <c r="C224" s="17" t="s">
        <v>39</v>
      </c>
      <c r="D224" s="45"/>
      <c r="E224" s="45">
        <v>2</v>
      </c>
      <c r="F224" s="37">
        <f t="shared" si="18"/>
        <v>2</v>
      </c>
      <c r="G224" s="2"/>
      <c r="H224" s="2"/>
      <c r="I224" s="18">
        <f t="shared" si="19"/>
        <v>0</v>
      </c>
    </row>
    <row r="225" spans="1:9" s="20" customFormat="1" ht="28.8" x14ac:dyDescent="0.3">
      <c r="A225" s="63">
        <v>221</v>
      </c>
      <c r="B225" s="54" t="s">
        <v>266</v>
      </c>
      <c r="C225" s="17" t="s">
        <v>39</v>
      </c>
      <c r="D225" s="45"/>
      <c r="E225" s="45">
        <v>2</v>
      </c>
      <c r="F225" s="37">
        <f t="shared" si="18"/>
        <v>2</v>
      </c>
      <c r="G225" s="2"/>
      <c r="H225" s="2"/>
      <c r="I225" s="18">
        <f t="shared" si="19"/>
        <v>0</v>
      </c>
    </row>
    <row r="226" spans="1:9" s="20" customFormat="1" ht="28.8" x14ac:dyDescent="0.3">
      <c r="A226" s="63">
        <v>222</v>
      </c>
      <c r="B226" s="54" t="s">
        <v>267</v>
      </c>
      <c r="C226" s="17" t="s">
        <v>39</v>
      </c>
      <c r="D226" s="45"/>
      <c r="E226" s="45">
        <v>1</v>
      </c>
      <c r="F226" s="37">
        <f t="shared" si="18"/>
        <v>1</v>
      </c>
      <c r="G226" s="2"/>
      <c r="H226" s="2"/>
      <c r="I226" s="18">
        <f t="shared" si="19"/>
        <v>0</v>
      </c>
    </row>
    <row r="227" spans="1:9" s="20" customFormat="1" ht="28.8" x14ac:dyDescent="0.3">
      <c r="A227" s="63">
        <v>223</v>
      </c>
      <c r="B227" s="54" t="s">
        <v>268</v>
      </c>
      <c r="C227" s="17" t="s">
        <v>39</v>
      </c>
      <c r="D227" s="45"/>
      <c r="E227" s="45">
        <v>1</v>
      </c>
      <c r="F227" s="37">
        <f t="shared" si="18"/>
        <v>1</v>
      </c>
      <c r="G227" s="2"/>
      <c r="H227" s="2"/>
      <c r="I227" s="18">
        <f t="shared" si="19"/>
        <v>0</v>
      </c>
    </row>
    <row r="228" spans="1:9" s="20" customFormat="1" ht="28.8" x14ac:dyDescent="0.3">
      <c r="A228" s="63">
        <v>224</v>
      </c>
      <c r="B228" s="54" t="s">
        <v>269</v>
      </c>
      <c r="C228" s="17" t="s">
        <v>39</v>
      </c>
      <c r="D228" s="45"/>
      <c r="E228" s="45">
        <v>1</v>
      </c>
      <c r="F228" s="37">
        <f t="shared" si="18"/>
        <v>1</v>
      </c>
      <c r="G228" s="2"/>
      <c r="H228" s="2"/>
      <c r="I228" s="18">
        <f t="shared" si="19"/>
        <v>0</v>
      </c>
    </row>
    <row r="229" spans="1:9" s="20" customFormat="1" x14ac:dyDescent="0.3">
      <c r="A229" s="63">
        <v>225</v>
      </c>
      <c r="B229" s="54" t="s">
        <v>253</v>
      </c>
      <c r="C229" s="17" t="s">
        <v>39</v>
      </c>
      <c r="D229" s="45"/>
      <c r="E229" s="45">
        <v>2</v>
      </c>
      <c r="F229" s="37">
        <f t="shared" si="18"/>
        <v>2</v>
      </c>
      <c r="G229" s="2"/>
      <c r="H229" s="2"/>
      <c r="I229" s="18">
        <f t="shared" si="19"/>
        <v>0</v>
      </c>
    </row>
    <row r="230" spans="1:9" s="20" customFormat="1" ht="28.8" x14ac:dyDescent="0.3">
      <c r="A230" s="63">
        <v>226</v>
      </c>
      <c r="B230" s="54" t="s">
        <v>212</v>
      </c>
      <c r="C230" s="17" t="s">
        <v>39</v>
      </c>
      <c r="D230" s="45"/>
      <c r="E230" s="45">
        <v>13</v>
      </c>
      <c r="F230" s="37">
        <f t="shared" si="18"/>
        <v>13</v>
      </c>
      <c r="G230" s="2"/>
      <c r="H230" s="2"/>
      <c r="I230" s="18">
        <f t="shared" si="19"/>
        <v>0</v>
      </c>
    </row>
    <row r="231" spans="1:9" s="20" customFormat="1" x14ac:dyDescent="0.3">
      <c r="A231" s="63">
        <v>227</v>
      </c>
      <c r="B231" s="54" t="s">
        <v>213</v>
      </c>
      <c r="C231" s="17" t="s">
        <v>39</v>
      </c>
      <c r="D231" s="45"/>
      <c r="E231" s="45">
        <v>13</v>
      </c>
      <c r="F231" s="37">
        <f t="shared" si="18"/>
        <v>13</v>
      </c>
      <c r="G231" s="2"/>
      <c r="H231" s="2"/>
      <c r="I231" s="18">
        <f t="shared" si="19"/>
        <v>0</v>
      </c>
    </row>
    <row r="232" spans="1:9" s="20" customFormat="1" x14ac:dyDescent="0.3">
      <c r="A232" s="63">
        <v>228</v>
      </c>
      <c r="B232" s="54" t="s">
        <v>214</v>
      </c>
      <c r="C232" s="17" t="s">
        <v>39</v>
      </c>
      <c r="D232" s="45"/>
      <c r="E232" s="45">
        <v>2</v>
      </c>
      <c r="F232" s="37">
        <f t="shared" si="18"/>
        <v>2</v>
      </c>
      <c r="G232" s="2"/>
      <c r="H232" s="2"/>
      <c r="I232" s="18">
        <f t="shared" si="19"/>
        <v>0</v>
      </c>
    </row>
    <row r="233" spans="1:9" s="20" customFormat="1" x14ac:dyDescent="0.3">
      <c r="A233" s="63">
        <v>229</v>
      </c>
      <c r="B233" s="54" t="s">
        <v>238</v>
      </c>
      <c r="C233" s="17" t="s">
        <v>39</v>
      </c>
      <c r="D233" s="45"/>
      <c r="E233" s="45">
        <v>6</v>
      </c>
      <c r="F233" s="37">
        <f t="shared" si="18"/>
        <v>6</v>
      </c>
      <c r="G233" s="2"/>
      <c r="H233" s="2"/>
      <c r="I233" s="18">
        <f t="shared" si="19"/>
        <v>0</v>
      </c>
    </row>
    <row r="234" spans="1:9" s="20" customFormat="1" x14ac:dyDescent="0.3">
      <c r="A234" s="63">
        <v>230</v>
      </c>
      <c r="B234" s="54" t="s">
        <v>239</v>
      </c>
      <c r="C234" s="17"/>
      <c r="D234" s="45"/>
      <c r="E234" s="45">
        <v>8</v>
      </c>
      <c r="F234" s="37">
        <f t="shared" si="18"/>
        <v>8</v>
      </c>
      <c r="G234" s="2"/>
      <c r="H234" s="2"/>
      <c r="I234" s="18">
        <f t="shared" si="19"/>
        <v>0</v>
      </c>
    </row>
    <row r="235" spans="1:9" s="20" customFormat="1" x14ac:dyDescent="0.3">
      <c r="A235" s="63">
        <v>231</v>
      </c>
      <c r="B235" s="54" t="s">
        <v>59</v>
      </c>
      <c r="C235" s="17" t="s">
        <v>0</v>
      </c>
      <c r="D235" s="45"/>
      <c r="E235" s="45">
        <v>180.26</v>
      </c>
      <c r="F235" s="37">
        <f t="shared" si="18"/>
        <v>180.26</v>
      </c>
      <c r="G235" s="2"/>
      <c r="H235" s="2"/>
      <c r="I235" s="18">
        <f t="shared" si="19"/>
        <v>0</v>
      </c>
    </row>
    <row r="236" spans="1:9" s="20" customFormat="1" x14ac:dyDescent="0.3">
      <c r="A236" s="63">
        <v>232</v>
      </c>
      <c r="B236" s="54" t="s">
        <v>61</v>
      </c>
      <c r="C236" s="17" t="s">
        <v>0</v>
      </c>
      <c r="D236" s="45"/>
      <c r="E236" s="45">
        <v>17.559999999999999</v>
      </c>
      <c r="F236" s="37">
        <f t="shared" si="18"/>
        <v>17.559999999999999</v>
      </c>
      <c r="G236" s="2"/>
      <c r="H236" s="2"/>
      <c r="I236" s="18">
        <f t="shared" si="19"/>
        <v>0</v>
      </c>
    </row>
    <row r="237" spans="1:9" s="20" customFormat="1" x14ac:dyDescent="0.3">
      <c r="A237" s="63">
        <v>233</v>
      </c>
      <c r="B237" s="54" t="s">
        <v>67</v>
      </c>
      <c r="C237" s="17" t="s">
        <v>0</v>
      </c>
      <c r="D237" s="45"/>
      <c r="E237" s="45">
        <v>180.26</v>
      </c>
      <c r="F237" s="37">
        <f t="shared" si="18"/>
        <v>180.26</v>
      </c>
      <c r="G237" s="2"/>
      <c r="H237" s="2"/>
      <c r="I237" s="18">
        <f t="shared" si="19"/>
        <v>0</v>
      </c>
    </row>
    <row r="238" spans="1:9" s="20" customFormat="1" x14ac:dyDescent="0.3">
      <c r="A238" s="63">
        <v>234</v>
      </c>
      <c r="B238" s="54" t="s">
        <v>70</v>
      </c>
      <c r="C238" s="17" t="s">
        <v>0</v>
      </c>
      <c r="D238" s="45"/>
      <c r="E238" s="45">
        <v>17.559999999999999</v>
      </c>
      <c r="F238" s="37">
        <f t="shared" si="18"/>
        <v>17.559999999999999</v>
      </c>
      <c r="G238" s="2"/>
      <c r="H238" s="2"/>
      <c r="I238" s="18">
        <f t="shared" si="19"/>
        <v>0</v>
      </c>
    </row>
    <row r="239" spans="1:9" ht="28.8" x14ac:dyDescent="0.3">
      <c r="A239" s="63">
        <v>235</v>
      </c>
      <c r="B239" s="16" t="s">
        <v>158</v>
      </c>
      <c r="C239" s="17" t="s">
        <v>159</v>
      </c>
      <c r="D239" s="37"/>
      <c r="E239" s="37">
        <v>1</v>
      </c>
      <c r="F239" s="37">
        <f t="shared" si="18"/>
        <v>1</v>
      </c>
      <c r="G239" s="2"/>
      <c r="H239" s="56" t="s">
        <v>172</v>
      </c>
      <c r="I239" s="18">
        <f>F239*G239</f>
        <v>0</v>
      </c>
    </row>
    <row r="240" spans="1:9" s="20" customFormat="1" x14ac:dyDescent="0.3">
      <c r="A240" s="63">
        <v>236</v>
      </c>
      <c r="B240" s="16" t="s">
        <v>80</v>
      </c>
      <c r="C240" s="17" t="s">
        <v>69</v>
      </c>
      <c r="D240" s="45"/>
      <c r="E240" s="45">
        <v>141.97</v>
      </c>
      <c r="F240" s="37">
        <f>D240+E240</f>
        <v>141.97</v>
      </c>
      <c r="G240" s="2"/>
      <c r="H240" s="2"/>
      <c r="I240" s="18">
        <f>F240*(G240+H240)</f>
        <v>0</v>
      </c>
    </row>
    <row r="241" spans="1:856" s="20" customFormat="1" x14ac:dyDescent="0.3">
      <c r="A241" s="63">
        <v>237</v>
      </c>
      <c r="B241" s="16" t="s">
        <v>79</v>
      </c>
      <c r="C241" s="17" t="s">
        <v>69</v>
      </c>
      <c r="D241" s="45"/>
      <c r="E241" s="45">
        <v>1.58</v>
      </c>
      <c r="F241" s="37">
        <f t="shared" si="18"/>
        <v>1.58</v>
      </c>
      <c r="G241" s="2"/>
      <c r="H241" s="2"/>
      <c r="I241" s="18">
        <f t="shared" si="19"/>
        <v>0</v>
      </c>
    </row>
    <row r="242" spans="1:856" s="20" customFormat="1" x14ac:dyDescent="0.3">
      <c r="A242" s="63">
        <v>238</v>
      </c>
      <c r="B242" s="16" t="s">
        <v>81</v>
      </c>
      <c r="C242" s="17" t="s">
        <v>69</v>
      </c>
      <c r="D242" s="45"/>
      <c r="E242" s="45">
        <v>4.17</v>
      </c>
      <c r="F242" s="37">
        <f t="shared" si="18"/>
        <v>4.17</v>
      </c>
      <c r="G242" s="2"/>
      <c r="H242" s="2"/>
      <c r="I242" s="18">
        <f t="shared" si="19"/>
        <v>0</v>
      </c>
    </row>
    <row r="243" spans="1:856" s="14" customFormat="1" x14ac:dyDescent="0.3">
      <c r="A243" s="81" t="s">
        <v>270</v>
      </c>
      <c r="B243" s="81"/>
      <c r="C243" s="81"/>
      <c r="D243" s="44"/>
      <c r="E243" s="44"/>
      <c r="F243" s="44"/>
      <c r="G243" s="32"/>
      <c r="H243" s="32"/>
      <c r="I243" s="32"/>
    </row>
    <row r="244" spans="1:856" x14ac:dyDescent="0.3">
      <c r="A244" s="15">
        <v>239</v>
      </c>
      <c r="B244" s="16" t="s">
        <v>271</v>
      </c>
      <c r="C244" s="17" t="s">
        <v>39</v>
      </c>
      <c r="D244" s="37">
        <v>1</v>
      </c>
      <c r="E244" s="37"/>
      <c r="F244" s="37">
        <f t="shared" ref="F244:F246" si="20">D244+E244</f>
        <v>1</v>
      </c>
      <c r="G244" s="2"/>
      <c r="H244" s="2"/>
      <c r="I244" s="18">
        <f t="shared" ref="I244:I246" si="21">F244*(G244+H244)</f>
        <v>0</v>
      </c>
    </row>
    <row r="245" spans="1:856" x14ac:dyDescent="0.3">
      <c r="A245" s="15">
        <v>240</v>
      </c>
      <c r="B245" s="16" t="s">
        <v>272</v>
      </c>
      <c r="C245" s="17" t="s">
        <v>39</v>
      </c>
      <c r="D245" s="37">
        <v>1</v>
      </c>
      <c r="E245" s="37">
        <v>1</v>
      </c>
      <c r="F245" s="37">
        <f t="shared" si="20"/>
        <v>2</v>
      </c>
      <c r="G245" s="2"/>
      <c r="H245" s="2"/>
      <c r="I245" s="18">
        <f t="shared" si="21"/>
        <v>0</v>
      </c>
    </row>
    <row r="246" spans="1:856" x14ac:dyDescent="0.3">
      <c r="A246" s="15">
        <v>241</v>
      </c>
      <c r="B246" s="16" t="s">
        <v>273</v>
      </c>
      <c r="C246" s="17" t="s">
        <v>39</v>
      </c>
      <c r="D246" s="37"/>
      <c r="E246" s="37"/>
      <c r="F246" s="37">
        <f t="shared" si="20"/>
        <v>0</v>
      </c>
      <c r="G246" s="2"/>
      <c r="H246" s="2"/>
      <c r="I246" s="18">
        <f t="shared" si="21"/>
        <v>0</v>
      </c>
    </row>
    <row r="247" spans="1:856" x14ac:dyDescent="0.3">
      <c r="A247" s="81" t="s">
        <v>105</v>
      </c>
      <c r="B247" s="81"/>
      <c r="C247" s="81"/>
      <c r="D247" s="47"/>
      <c r="E247" s="47"/>
      <c r="F247" s="47"/>
      <c r="G247" s="26"/>
      <c r="H247" s="26"/>
      <c r="I247" s="26"/>
    </row>
    <row r="248" spans="1:856" s="68" customFormat="1" x14ac:dyDescent="0.3">
      <c r="A248" s="15">
        <v>242</v>
      </c>
      <c r="B248" s="66" t="s">
        <v>33</v>
      </c>
      <c r="C248" s="21" t="s">
        <v>32</v>
      </c>
      <c r="D248" s="24">
        <v>1</v>
      </c>
      <c r="E248" s="24">
        <v>1</v>
      </c>
      <c r="F248" s="37">
        <f t="shared" ref="F248:F249" si="22">D248+E248</f>
        <v>2</v>
      </c>
      <c r="G248" s="2"/>
      <c r="H248" s="2"/>
      <c r="I248" s="18">
        <f t="shared" ref="I248:I249" si="23">F248*(G248+H248)</f>
        <v>0</v>
      </c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  <c r="AT248" s="67"/>
      <c r="AU248" s="67"/>
      <c r="AV248" s="67"/>
      <c r="AW248" s="67"/>
      <c r="AX248" s="67"/>
      <c r="AY248" s="67"/>
      <c r="AZ248" s="67"/>
      <c r="BA248" s="67"/>
      <c r="BB248" s="67"/>
      <c r="BC248" s="67"/>
      <c r="BD248" s="67"/>
      <c r="BE248" s="67"/>
      <c r="BF248" s="67"/>
      <c r="BG248" s="67"/>
      <c r="BH248" s="67"/>
      <c r="BI248" s="67"/>
      <c r="BJ248" s="67"/>
      <c r="BK248" s="67"/>
      <c r="BL248" s="67"/>
      <c r="BM248" s="67"/>
      <c r="BN248" s="67"/>
      <c r="BO248" s="67"/>
      <c r="BP248" s="67"/>
      <c r="BQ248" s="67"/>
      <c r="BR248" s="67"/>
      <c r="BS248" s="67"/>
      <c r="BT248" s="67"/>
      <c r="BU248" s="67"/>
      <c r="BV248" s="67"/>
      <c r="BW248" s="67"/>
      <c r="BX248" s="67"/>
      <c r="BY248" s="67"/>
      <c r="BZ248" s="67"/>
      <c r="CA248" s="67"/>
      <c r="CB248" s="67"/>
      <c r="CC248" s="67"/>
      <c r="CD248" s="67"/>
      <c r="CE248" s="67"/>
      <c r="CF248" s="67"/>
      <c r="CG248" s="67"/>
      <c r="CH248" s="67"/>
      <c r="CI248" s="67"/>
      <c r="CJ248" s="67"/>
      <c r="CK248" s="67"/>
      <c r="CL248" s="67"/>
      <c r="CM248" s="67"/>
      <c r="CN248" s="67"/>
      <c r="CO248" s="67"/>
      <c r="CP248" s="67"/>
      <c r="CQ248" s="67"/>
      <c r="CR248" s="67"/>
      <c r="CS248" s="67"/>
      <c r="CT248" s="67"/>
      <c r="CU248" s="67"/>
      <c r="CV248" s="67"/>
      <c r="CW248" s="67"/>
      <c r="CX248" s="67"/>
      <c r="CY248" s="67"/>
      <c r="CZ248" s="67"/>
      <c r="DA248" s="67"/>
      <c r="DB248" s="67"/>
      <c r="DC248" s="67"/>
      <c r="DD248" s="67"/>
      <c r="DE248" s="67"/>
      <c r="DF248" s="67"/>
      <c r="DG248" s="67"/>
      <c r="DH248" s="67"/>
      <c r="DI248" s="67"/>
      <c r="DJ248" s="67"/>
      <c r="DK248" s="67"/>
      <c r="DL248" s="67"/>
      <c r="DM248" s="67"/>
      <c r="DN248" s="67"/>
      <c r="DO248" s="67"/>
      <c r="DP248" s="67"/>
      <c r="DQ248" s="67"/>
      <c r="DR248" s="67"/>
      <c r="DS248" s="67"/>
      <c r="DT248" s="67"/>
      <c r="DU248" s="67"/>
      <c r="DV248" s="67"/>
      <c r="DW248" s="67"/>
      <c r="DX248" s="67"/>
      <c r="DY248" s="67"/>
      <c r="DZ248" s="67"/>
      <c r="EA248" s="67"/>
      <c r="EB248" s="67"/>
      <c r="EC248" s="67"/>
      <c r="ED248" s="67"/>
      <c r="EE248" s="67"/>
      <c r="EF248" s="67"/>
      <c r="EG248" s="67"/>
      <c r="EH248" s="67"/>
      <c r="EI248" s="67"/>
      <c r="EJ248" s="67"/>
      <c r="EK248" s="67"/>
      <c r="EL248" s="67"/>
      <c r="EM248" s="67"/>
      <c r="EN248" s="67"/>
      <c r="EO248" s="67"/>
      <c r="EP248" s="67"/>
      <c r="EQ248" s="67"/>
      <c r="ER248" s="67"/>
      <c r="ES248" s="67"/>
      <c r="ET248" s="67"/>
      <c r="EU248" s="67"/>
      <c r="EV248" s="67"/>
      <c r="EW248" s="67"/>
      <c r="EX248" s="67"/>
      <c r="EY248" s="67"/>
      <c r="EZ248" s="67"/>
      <c r="FA248" s="67"/>
      <c r="FB248" s="67"/>
      <c r="FC248" s="67"/>
      <c r="FD248" s="67"/>
      <c r="FE248" s="67"/>
      <c r="FF248" s="67"/>
      <c r="FG248" s="67"/>
      <c r="FH248" s="67"/>
      <c r="FI248" s="67"/>
      <c r="FJ248" s="67"/>
      <c r="FK248" s="67"/>
      <c r="FL248" s="67"/>
      <c r="FM248" s="67"/>
      <c r="FN248" s="67"/>
      <c r="FO248" s="67"/>
      <c r="FP248" s="67"/>
      <c r="FQ248" s="67"/>
      <c r="FR248" s="67"/>
      <c r="FS248" s="67"/>
      <c r="FT248" s="67"/>
      <c r="FU248" s="67"/>
      <c r="FV248" s="67"/>
      <c r="FW248" s="67"/>
      <c r="FX248" s="67"/>
      <c r="FY248" s="67"/>
      <c r="FZ248" s="67"/>
      <c r="GA248" s="67"/>
      <c r="GB248" s="67"/>
      <c r="GC248" s="67"/>
      <c r="GD248" s="67"/>
      <c r="GE248" s="67"/>
      <c r="GF248" s="67"/>
      <c r="GG248" s="67"/>
      <c r="GH248" s="67"/>
      <c r="GI248" s="67"/>
      <c r="GJ248" s="67"/>
      <c r="GK248" s="67"/>
      <c r="GL248" s="67"/>
      <c r="GM248" s="67"/>
      <c r="GN248" s="67"/>
      <c r="GO248" s="67"/>
      <c r="GP248" s="67"/>
      <c r="GQ248" s="67"/>
      <c r="GR248" s="67"/>
      <c r="GS248" s="67"/>
      <c r="GT248" s="67"/>
      <c r="GU248" s="67"/>
      <c r="GV248" s="67"/>
      <c r="GW248" s="67"/>
      <c r="GX248" s="67"/>
      <c r="GY248" s="67"/>
      <c r="GZ248" s="67"/>
      <c r="HA248" s="67"/>
      <c r="HB248" s="67"/>
      <c r="HC248" s="67"/>
      <c r="HD248" s="67"/>
      <c r="HE248" s="67"/>
      <c r="HF248" s="67"/>
      <c r="HG248" s="67"/>
      <c r="HH248" s="67"/>
      <c r="HI248" s="67"/>
      <c r="HJ248" s="67"/>
      <c r="HK248" s="67"/>
      <c r="HL248" s="67"/>
      <c r="HM248" s="67"/>
      <c r="HN248" s="67"/>
      <c r="HO248" s="67"/>
      <c r="HP248" s="67"/>
      <c r="HQ248" s="67"/>
      <c r="HR248" s="67"/>
      <c r="HS248" s="67"/>
      <c r="HT248" s="67"/>
      <c r="HU248" s="67"/>
      <c r="HV248" s="67"/>
      <c r="HW248" s="67"/>
      <c r="HX248" s="67"/>
      <c r="HY248" s="67"/>
      <c r="HZ248" s="67"/>
      <c r="IA248" s="67"/>
      <c r="IB248" s="67"/>
      <c r="IC248" s="67"/>
      <c r="ID248" s="67"/>
      <c r="IE248" s="67"/>
      <c r="IF248" s="67"/>
      <c r="IG248" s="67"/>
      <c r="IH248" s="67"/>
      <c r="II248" s="67"/>
      <c r="IJ248" s="67"/>
      <c r="IK248" s="67"/>
      <c r="IL248" s="67"/>
      <c r="IM248" s="67"/>
      <c r="IN248" s="67"/>
      <c r="IO248" s="67"/>
      <c r="IP248" s="67"/>
      <c r="IQ248" s="67"/>
      <c r="IR248" s="67"/>
      <c r="IS248" s="67"/>
      <c r="IT248" s="67"/>
      <c r="IU248" s="67"/>
      <c r="IV248" s="67"/>
      <c r="IW248" s="67"/>
      <c r="IX248" s="67"/>
      <c r="IY248" s="67"/>
      <c r="IZ248" s="67"/>
      <c r="JA248" s="67"/>
      <c r="JB248" s="67"/>
      <c r="JC248" s="67"/>
      <c r="JD248" s="67"/>
      <c r="JE248" s="67"/>
      <c r="JF248" s="67"/>
      <c r="JG248" s="67"/>
      <c r="JH248" s="67"/>
      <c r="JI248" s="67"/>
      <c r="JJ248" s="67"/>
      <c r="JK248" s="67"/>
      <c r="JL248" s="67"/>
      <c r="JM248" s="67"/>
      <c r="JN248" s="67"/>
      <c r="JO248" s="67"/>
      <c r="JP248" s="67"/>
      <c r="JQ248" s="67"/>
      <c r="JR248" s="67"/>
      <c r="JS248" s="67"/>
      <c r="JT248" s="67"/>
      <c r="JU248" s="67"/>
      <c r="JV248" s="67"/>
      <c r="JW248" s="67"/>
      <c r="JX248" s="67"/>
      <c r="JY248" s="67"/>
      <c r="JZ248" s="67"/>
      <c r="KA248" s="67"/>
      <c r="KB248" s="67"/>
      <c r="KC248" s="67"/>
      <c r="KD248" s="67"/>
      <c r="KE248" s="67"/>
      <c r="KF248" s="67"/>
      <c r="KG248" s="67"/>
      <c r="KH248" s="67"/>
      <c r="KI248" s="67"/>
      <c r="KJ248" s="67"/>
      <c r="KK248" s="67"/>
      <c r="KL248" s="67"/>
      <c r="KM248" s="67"/>
      <c r="KN248" s="67"/>
      <c r="KO248" s="67"/>
      <c r="KP248" s="67"/>
      <c r="KQ248" s="67"/>
      <c r="KR248" s="67"/>
      <c r="KS248" s="67"/>
      <c r="KT248" s="67"/>
      <c r="KU248" s="67"/>
      <c r="KV248" s="67"/>
      <c r="KW248" s="67"/>
      <c r="KX248" s="67"/>
      <c r="KY248" s="67"/>
      <c r="KZ248" s="67"/>
      <c r="LA248" s="67"/>
      <c r="LB248" s="67"/>
      <c r="LC248" s="67"/>
      <c r="LD248" s="67"/>
      <c r="LE248" s="67"/>
      <c r="LF248" s="67"/>
      <c r="LG248" s="67"/>
      <c r="LH248" s="67"/>
      <c r="LI248" s="67"/>
      <c r="LJ248" s="67"/>
      <c r="LK248" s="67"/>
      <c r="LL248" s="67"/>
      <c r="LM248" s="67"/>
      <c r="LN248" s="67"/>
      <c r="LO248" s="67"/>
      <c r="LP248" s="67"/>
      <c r="LQ248" s="67"/>
      <c r="LR248" s="67"/>
      <c r="LS248" s="67"/>
      <c r="LT248" s="67"/>
      <c r="LU248" s="67"/>
      <c r="LV248" s="67"/>
      <c r="LW248" s="67"/>
      <c r="LX248" s="67"/>
      <c r="LY248" s="67"/>
      <c r="LZ248" s="67"/>
      <c r="MA248" s="67"/>
      <c r="MB248" s="67"/>
      <c r="MC248" s="67"/>
      <c r="MD248" s="67"/>
      <c r="ME248" s="67"/>
      <c r="MF248" s="67"/>
      <c r="MG248" s="67"/>
      <c r="MH248" s="67"/>
      <c r="MI248" s="67"/>
      <c r="MJ248" s="67"/>
      <c r="MK248" s="67"/>
      <c r="ML248" s="67"/>
      <c r="MM248" s="67"/>
      <c r="MN248" s="67"/>
      <c r="MO248" s="67"/>
      <c r="MP248" s="67"/>
      <c r="MQ248" s="67"/>
      <c r="MR248" s="67"/>
      <c r="MS248" s="67"/>
      <c r="MT248" s="67"/>
      <c r="MU248" s="67"/>
      <c r="MV248" s="67"/>
      <c r="MW248" s="67"/>
      <c r="MX248" s="67"/>
      <c r="MY248" s="67"/>
      <c r="MZ248" s="67"/>
      <c r="NA248" s="67"/>
      <c r="NB248" s="67"/>
      <c r="NC248" s="67"/>
      <c r="ND248" s="67"/>
      <c r="NE248" s="67"/>
      <c r="NF248" s="67"/>
      <c r="NG248" s="67"/>
      <c r="NH248" s="67"/>
      <c r="NI248" s="67"/>
      <c r="NJ248" s="67"/>
      <c r="NK248" s="67"/>
      <c r="NL248" s="67"/>
      <c r="NM248" s="67"/>
      <c r="NN248" s="67"/>
      <c r="NO248" s="67"/>
      <c r="NP248" s="67"/>
      <c r="NQ248" s="67"/>
      <c r="NR248" s="67"/>
      <c r="NS248" s="67"/>
      <c r="NT248" s="67"/>
      <c r="NU248" s="67"/>
      <c r="NV248" s="67"/>
      <c r="NW248" s="67"/>
      <c r="NX248" s="67"/>
      <c r="NY248" s="67"/>
      <c r="NZ248" s="67"/>
      <c r="OA248" s="67"/>
      <c r="OB248" s="67"/>
      <c r="OC248" s="67"/>
      <c r="OD248" s="67"/>
      <c r="OE248" s="67"/>
      <c r="OF248" s="67"/>
      <c r="OG248" s="67"/>
      <c r="OH248" s="67"/>
      <c r="OI248" s="67"/>
      <c r="OJ248" s="67"/>
      <c r="OK248" s="67"/>
      <c r="OL248" s="67"/>
      <c r="OM248" s="67"/>
      <c r="ON248" s="67"/>
      <c r="OO248" s="67"/>
      <c r="OP248" s="67"/>
      <c r="OQ248" s="67"/>
      <c r="OR248" s="67"/>
      <c r="OS248" s="67"/>
      <c r="OT248" s="67"/>
      <c r="OU248" s="67"/>
      <c r="OV248" s="67"/>
      <c r="OW248" s="67"/>
      <c r="OX248" s="67"/>
      <c r="OY248" s="67"/>
      <c r="OZ248" s="67"/>
      <c r="PA248" s="67"/>
      <c r="PB248" s="67"/>
      <c r="PC248" s="67"/>
      <c r="PD248" s="67"/>
      <c r="PE248" s="67"/>
      <c r="PF248" s="67"/>
      <c r="PG248" s="67"/>
      <c r="PH248" s="67"/>
      <c r="PI248" s="67"/>
      <c r="PJ248" s="67"/>
      <c r="PK248" s="67"/>
      <c r="PL248" s="67"/>
      <c r="PM248" s="67"/>
      <c r="PN248" s="67"/>
      <c r="PO248" s="67"/>
      <c r="PP248" s="67"/>
      <c r="PQ248" s="67"/>
      <c r="PR248" s="67"/>
      <c r="PS248" s="67"/>
      <c r="PT248" s="67"/>
      <c r="PU248" s="67"/>
      <c r="PV248" s="67"/>
      <c r="PW248" s="67"/>
      <c r="PX248" s="67"/>
      <c r="PY248" s="67"/>
      <c r="PZ248" s="67"/>
      <c r="QA248" s="67"/>
      <c r="QB248" s="67"/>
      <c r="QC248" s="67"/>
      <c r="QD248" s="67"/>
      <c r="QE248" s="67"/>
      <c r="QF248" s="67"/>
      <c r="QG248" s="67"/>
      <c r="QH248" s="67"/>
      <c r="QI248" s="67"/>
      <c r="QJ248" s="67"/>
      <c r="QK248" s="67"/>
      <c r="QL248" s="67"/>
      <c r="QM248" s="67"/>
      <c r="QN248" s="67"/>
      <c r="QO248" s="67"/>
      <c r="QP248" s="67"/>
      <c r="QQ248" s="67"/>
      <c r="QR248" s="67"/>
      <c r="QS248" s="67"/>
      <c r="QT248" s="67"/>
      <c r="QU248" s="67"/>
      <c r="QV248" s="67"/>
      <c r="QW248" s="67"/>
      <c r="QX248" s="67"/>
      <c r="QY248" s="67"/>
      <c r="QZ248" s="67"/>
      <c r="RA248" s="67"/>
      <c r="RB248" s="67"/>
      <c r="RC248" s="67"/>
      <c r="RD248" s="67"/>
      <c r="RE248" s="67"/>
      <c r="RF248" s="67"/>
      <c r="RG248" s="67"/>
      <c r="RH248" s="67"/>
      <c r="RI248" s="67"/>
      <c r="RJ248" s="67"/>
      <c r="RK248" s="67"/>
      <c r="RL248" s="67"/>
      <c r="RM248" s="67"/>
      <c r="RN248" s="67"/>
      <c r="RO248" s="67"/>
      <c r="RP248" s="67"/>
      <c r="RQ248" s="67"/>
      <c r="RR248" s="67"/>
      <c r="RS248" s="67"/>
      <c r="RT248" s="67"/>
      <c r="RU248" s="67"/>
      <c r="RV248" s="67"/>
      <c r="RW248" s="67"/>
      <c r="RX248" s="67"/>
      <c r="RY248" s="67"/>
      <c r="RZ248" s="67"/>
      <c r="SA248" s="67"/>
      <c r="SB248" s="67"/>
      <c r="SC248" s="67"/>
      <c r="SD248" s="67"/>
      <c r="SE248" s="67"/>
      <c r="SF248" s="67"/>
      <c r="SG248" s="67"/>
      <c r="SH248" s="67"/>
      <c r="SI248" s="67"/>
      <c r="SJ248" s="67"/>
      <c r="SK248" s="67"/>
      <c r="SL248" s="67"/>
      <c r="SM248" s="67"/>
      <c r="SN248" s="67"/>
      <c r="SO248" s="67"/>
      <c r="SP248" s="67"/>
      <c r="SQ248" s="67"/>
      <c r="SR248" s="67"/>
      <c r="SS248" s="67"/>
      <c r="ST248" s="67"/>
      <c r="SU248" s="67"/>
      <c r="SV248" s="67"/>
      <c r="SW248" s="67"/>
      <c r="SX248" s="67"/>
      <c r="SY248" s="67"/>
      <c r="SZ248" s="67"/>
      <c r="TA248" s="67"/>
      <c r="TB248" s="67"/>
      <c r="TC248" s="67"/>
      <c r="TD248" s="67"/>
      <c r="TE248" s="67"/>
      <c r="TF248" s="67"/>
      <c r="TG248" s="67"/>
      <c r="TH248" s="67"/>
      <c r="TI248" s="67"/>
      <c r="TJ248" s="67"/>
      <c r="TK248" s="67"/>
      <c r="TL248" s="67"/>
      <c r="TM248" s="67"/>
      <c r="TN248" s="67"/>
      <c r="TO248" s="67"/>
      <c r="TP248" s="67"/>
      <c r="TQ248" s="67"/>
      <c r="TR248" s="67"/>
      <c r="TS248" s="67"/>
      <c r="TT248" s="67"/>
      <c r="TU248" s="67"/>
      <c r="TV248" s="67"/>
      <c r="TW248" s="67"/>
      <c r="TX248" s="67"/>
      <c r="TY248" s="67"/>
      <c r="TZ248" s="67"/>
      <c r="UA248" s="67"/>
      <c r="UB248" s="67"/>
      <c r="UC248" s="67"/>
      <c r="UD248" s="67"/>
      <c r="UE248" s="67"/>
      <c r="UF248" s="67"/>
      <c r="UG248" s="67"/>
      <c r="UH248" s="67"/>
      <c r="UI248" s="67"/>
      <c r="UJ248" s="67"/>
      <c r="UK248" s="67"/>
      <c r="UL248" s="67"/>
      <c r="UM248" s="67"/>
      <c r="UN248" s="67"/>
      <c r="UO248" s="67"/>
      <c r="UP248" s="67"/>
      <c r="UQ248" s="67"/>
      <c r="UR248" s="67"/>
      <c r="US248" s="67"/>
      <c r="UT248" s="67"/>
      <c r="UU248" s="67"/>
      <c r="UV248" s="67"/>
      <c r="UW248" s="67"/>
      <c r="UX248" s="67"/>
      <c r="UY248" s="67"/>
      <c r="UZ248" s="67"/>
      <c r="VA248" s="67"/>
      <c r="VB248" s="67"/>
      <c r="VC248" s="67"/>
      <c r="VD248" s="67"/>
      <c r="VE248" s="67"/>
      <c r="VF248" s="67"/>
      <c r="VG248" s="67"/>
      <c r="VH248" s="67"/>
      <c r="VI248" s="67"/>
      <c r="VJ248" s="67"/>
      <c r="VK248" s="67"/>
      <c r="VL248" s="67"/>
      <c r="VM248" s="67"/>
      <c r="VN248" s="67"/>
      <c r="VO248" s="67"/>
      <c r="VP248" s="67"/>
      <c r="VQ248" s="67"/>
      <c r="VR248" s="67"/>
      <c r="VS248" s="67"/>
      <c r="VT248" s="67"/>
      <c r="VU248" s="67"/>
      <c r="VV248" s="67"/>
      <c r="VW248" s="67"/>
      <c r="VX248" s="67"/>
      <c r="VY248" s="67"/>
      <c r="VZ248" s="67"/>
      <c r="WA248" s="67"/>
      <c r="WB248" s="67"/>
      <c r="WC248" s="67"/>
      <c r="WD248" s="67"/>
      <c r="WE248" s="67"/>
      <c r="WF248" s="67"/>
      <c r="WG248" s="67"/>
      <c r="WH248" s="67"/>
      <c r="WI248" s="67"/>
      <c r="WJ248" s="67"/>
      <c r="WK248" s="67"/>
      <c r="WL248" s="67"/>
      <c r="WM248" s="67"/>
      <c r="WN248" s="67"/>
      <c r="WO248" s="67"/>
      <c r="WP248" s="67"/>
      <c r="WQ248" s="67"/>
      <c r="WR248" s="67"/>
      <c r="WS248" s="67"/>
      <c r="WT248" s="67"/>
      <c r="WU248" s="67"/>
      <c r="WV248" s="67"/>
      <c r="WW248" s="67"/>
      <c r="WX248" s="67"/>
      <c r="WY248" s="67"/>
      <c r="WZ248" s="67"/>
      <c r="XA248" s="67"/>
      <c r="XB248" s="67"/>
      <c r="XC248" s="67"/>
      <c r="XD248" s="67"/>
      <c r="XE248" s="67"/>
      <c r="XF248" s="67"/>
      <c r="XG248" s="67"/>
      <c r="XH248" s="67"/>
      <c r="XI248" s="67"/>
      <c r="XJ248" s="67"/>
      <c r="XK248" s="67"/>
      <c r="XL248" s="67"/>
      <c r="XM248" s="67"/>
      <c r="XN248" s="67"/>
      <c r="XO248" s="67"/>
      <c r="XP248" s="67"/>
      <c r="XQ248" s="67"/>
      <c r="XR248" s="67"/>
      <c r="XS248" s="67"/>
      <c r="XT248" s="67"/>
      <c r="XU248" s="67"/>
      <c r="XV248" s="67"/>
      <c r="XW248" s="67"/>
      <c r="XX248" s="67"/>
      <c r="XY248" s="67"/>
      <c r="XZ248" s="67"/>
      <c r="YA248" s="67"/>
      <c r="YB248" s="67"/>
      <c r="YC248" s="67"/>
      <c r="YD248" s="67"/>
      <c r="YE248" s="67"/>
      <c r="YF248" s="67"/>
      <c r="YG248" s="67"/>
      <c r="YH248" s="67"/>
      <c r="YI248" s="67"/>
      <c r="YJ248" s="67"/>
      <c r="YK248" s="67"/>
      <c r="YL248" s="67"/>
      <c r="YM248" s="67"/>
      <c r="YN248" s="67"/>
      <c r="YO248" s="67"/>
      <c r="YP248" s="67"/>
      <c r="YQ248" s="67"/>
      <c r="YR248" s="67"/>
      <c r="YS248" s="67"/>
      <c r="YT248" s="67"/>
      <c r="YU248" s="67"/>
      <c r="YV248" s="67"/>
      <c r="YW248" s="67"/>
      <c r="YX248" s="67"/>
      <c r="YY248" s="67"/>
      <c r="YZ248" s="67"/>
      <c r="ZA248" s="67"/>
      <c r="ZB248" s="67"/>
      <c r="ZC248" s="67"/>
      <c r="ZD248" s="67"/>
      <c r="ZE248" s="67"/>
      <c r="ZF248" s="67"/>
      <c r="ZG248" s="67"/>
      <c r="ZH248" s="67"/>
      <c r="ZI248" s="67"/>
      <c r="ZJ248" s="67"/>
      <c r="ZK248" s="67"/>
      <c r="ZL248" s="67"/>
      <c r="ZM248" s="67"/>
      <c r="ZN248" s="67"/>
      <c r="ZO248" s="67"/>
      <c r="ZP248" s="67"/>
      <c r="ZQ248" s="67"/>
      <c r="ZR248" s="67"/>
      <c r="ZS248" s="67"/>
      <c r="ZT248" s="67"/>
      <c r="ZU248" s="67"/>
      <c r="ZV248" s="67"/>
      <c r="ZW248" s="67"/>
      <c r="ZX248" s="67"/>
      <c r="ZY248" s="67"/>
      <c r="ZZ248" s="67"/>
      <c r="AAA248" s="67"/>
      <c r="AAB248" s="67"/>
      <c r="AAC248" s="67"/>
      <c r="AAD248" s="67"/>
      <c r="AAE248" s="67"/>
      <c r="AAF248" s="67"/>
      <c r="AAG248" s="67"/>
      <c r="AAH248" s="67"/>
      <c r="AAI248" s="67"/>
      <c r="AAJ248" s="67"/>
      <c r="AAK248" s="67"/>
      <c r="AAL248" s="67"/>
      <c r="AAM248" s="67"/>
      <c r="AAN248" s="67"/>
      <c r="AAO248" s="67"/>
      <c r="AAP248" s="67"/>
      <c r="AAQ248" s="67"/>
      <c r="AAR248" s="67"/>
      <c r="AAS248" s="67"/>
      <c r="AAT248" s="67"/>
      <c r="AAU248" s="67"/>
      <c r="AAV248" s="67"/>
      <c r="AAW248" s="67"/>
      <c r="AAX248" s="67"/>
      <c r="AAY248" s="67"/>
      <c r="AAZ248" s="67"/>
      <c r="ABA248" s="67"/>
      <c r="ABB248" s="67"/>
      <c r="ABC248" s="67"/>
      <c r="ABD248" s="67"/>
      <c r="ABE248" s="67"/>
      <c r="ABF248" s="67"/>
      <c r="ABG248" s="67"/>
      <c r="ABH248" s="67"/>
      <c r="ABI248" s="67"/>
      <c r="ABJ248" s="67"/>
      <c r="ABK248" s="67"/>
      <c r="ABL248" s="67"/>
      <c r="ABM248" s="67"/>
      <c r="ABN248" s="67"/>
      <c r="ABO248" s="67"/>
      <c r="ABP248" s="67"/>
      <c r="ABQ248" s="67"/>
      <c r="ABR248" s="67"/>
      <c r="ABS248" s="67"/>
      <c r="ABT248" s="67"/>
      <c r="ABU248" s="67"/>
      <c r="ABV248" s="67"/>
      <c r="ABW248" s="67"/>
      <c r="ABX248" s="67"/>
      <c r="ABY248" s="67"/>
      <c r="ABZ248" s="67"/>
      <c r="ACA248" s="67"/>
      <c r="ACB248" s="67"/>
      <c r="ACC248" s="67"/>
      <c r="ACD248" s="67"/>
      <c r="ACE248" s="67"/>
      <c r="ACF248" s="67"/>
      <c r="ACG248" s="67"/>
      <c r="ACH248" s="67"/>
      <c r="ACI248" s="67"/>
      <c r="ACJ248" s="67"/>
      <c r="ACK248" s="67"/>
      <c r="ACL248" s="67"/>
      <c r="ACM248" s="67"/>
      <c r="ACN248" s="67"/>
      <c r="ACO248" s="67"/>
      <c r="ACP248" s="67"/>
      <c r="ACQ248" s="67"/>
      <c r="ACR248" s="67"/>
      <c r="ACS248" s="67"/>
      <c r="ACT248" s="67"/>
      <c r="ACU248" s="67"/>
      <c r="ACV248" s="67"/>
      <c r="ACW248" s="67"/>
      <c r="ACX248" s="67"/>
      <c r="ACY248" s="67"/>
      <c r="ACZ248" s="67"/>
      <c r="ADA248" s="67"/>
      <c r="ADB248" s="67"/>
      <c r="ADC248" s="67"/>
      <c r="ADD248" s="67"/>
      <c r="ADE248" s="67"/>
      <c r="ADF248" s="67"/>
      <c r="ADG248" s="67"/>
      <c r="ADH248" s="67"/>
      <c r="ADI248" s="67"/>
      <c r="ADJ248" s="67"/>
      <c r="ADK248" s="67"/>
      <c r="ADL248" s="67"/>
      <c r="ADM248" s="67"/>
      <c r="ADN248" s="67"/>
      <c r="ADO248" s="67"/>
      <c r="ADP248" s="67"/>
      <c r="ADQ248" s="67"/>
      <c r="ADR248" s="67"/>
      <c r="ADS248" s="67"/>
      <c r="ADT248" s="67"/>
      <c r="ADU248" s="67"/>
      <c r="ADV248" s="67"/>
      <c r="ADW248" s="67"/>
      <c r="ADX248" s="67"/>
      <c r="ADY248" s="67"/>
      <c r="ADZ248" s="67"/>
      <c r="AEA248" s="67"/>
      <c r="AEB248" s="67"/>
      <c r="AEC248" s="67"/>
      <c r="AED248" s="67"/>
      <c r="AEE248" s="67"/>
      <c r="AEF248" s="67"/>
      <c r="AEG248" s="67"/>
      <c r="AEH248" s="67"/>
      <c r="AEI248" s="67"/>
      <c r="AEJ248" s="67"/>
      <c r="AEK248" s="67"/>
      <c r="AEL248" s="67"/>
      <c r="AEM248" s="67"/>
      <c r="AEN248" s="67"/>
      <c r="AEO248" s="67"/>
      <c r="AEP248" s="67"/>
      <c r="AEQ248" s="67"/>
      <c r="AER248" s="67"/>
      <c r="AES248" s="67"/>
      <c r="AET248" s="67"/>
      <c r="AEU248" s="67"/>
      <c r="AEV248" s="67"/>
      <c r="AEW248" s="67"/>
      <c r="AEX248" s="67"/>
      <c r="AEY248" s="67"/>
      <c r="AEZ248" s="67"/>
      <c r="AFA248" s="67"/>
      <c r="AFB248" s="67"/>
      <c r="AFC248" s="67"/>
      <c r="AFD248" s="67"/>
      <c r="AFE248" s="67"/>
      <c r="AFF248" s="67"/>
      <c r="AFG248" s="67"/>
      <c r="AFH248" s="67"/>
      <c r="AFI248" s="67"/>
      <c r="AFJ248" s="67"/>
      <c r="AFK248" s="67"/>
      <c r="AFL248" s="67"/>
      <c r="AFM248" s="67"/>
      <c r="AFN248" s="67"/>
      <c r="AFO248" s="67"/>
      <c r="AFP248" s="67"/>
      <c r="AFQ248" s="67"/>
      <c r="AFR248" s="67"/>
      <c r="AFS248" s="67"/>
      <c r="AFT248" s="67"/>
      <c r="AFU248" s="67"/>
      <c r="AFV248" s="67"/>
      <c r="AFW248" s="67"/>
      <c r="AFX248" s="67"/>
    </row>
    <row r="249" spans="1:856" s="68" customFormat="1" x14ac:dyDescent="0.3">
      <c r="A249" s="15">
        <v>243</v>
      </c>
      <c r="B249" s="66" t="s">
        <v>34</v>
      </c>
      <c r="C249" s="21" t="s">
        <v>32</v>
      </c>
      <c r="D249" s="24">
        <v>1</v>
      </c>
      <c r="E249" s="24">
        <v>1</v>
      </c>
      <c r="F249" s="37">
        <f t="shared" si="22"/>
        <v>2</v>
      </c>
      <c r="G249" s="2"/>
      <c r="H249" s="2"/>
      <c r="I249" s="18">
        <f t="shared" si="23"/>
        <v>0</v>
      </c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  <c r="AT249" s="67"/>
      <c r="AU249" s="67"/>
      <c r="AV249" s="67"/>
      <c r="AW249" s="67"/>
      <c r="AX249" s="67"/>
      <c r="AY249" s="67"/>
      <c r="AZ249" s="67"/>
      <c r="BA249" s="67"/>
      <c r="BB249" s="67"/>
      <c r="BC249" s="67"/>
      <c r="BD249" s="67"/>
      <c r="BE249" s="67"/>
      <c r="BF249" s="67"/>
      <c r="BG249" s="67"/>
      <c r="BH249" s="67"/>
      <c r="BI249" s="67"/>
      <c r="BJ249" s="67"/>
      <c r="BK249" s="67"/>
      <c r="BL249" s="67"/>
      <c r="BM249" s="67"/>
      <c r="BN249" s="67"/>
      <c r="BO249" s="67"/>
      <c r="BP249" s="67"/>
      <c r="BQ249" s="67"/>
      <c r="BR249" s="67"/>
      <c r="BS249" s="67"/>
      <c r="BT249" s="67"/>
      <c r="BU249" s="67"/>
      <c r="BV249" s="67"/>
      <c r="BW249" s="67"/>
      <c r="BX249" s="67"/>
      <c r="BY249" s="67"/>
      <c r="BZ249" s="67"/>
      <c r="CA249" s="67"/>
      <c r="CB249" s="67"/>
      <c r="CC249" s="67"/>
      <c r="CD249" s="67"/>
      <c r="CE249" s="67"/>
      <c r="CF249" s="67"/>
      <c r="CG249" s="67"/>
      <c r="CH249" s="67"/>
      <c r="CI249" s="67"/>
      <c r="CJ249" s="67"/>
      <c r="CK249" s="67"/>
      <c r="CL249" s="67"/>
      <c r="CM249" s="67"/>
      <c r="CN249" s="67"/>
      <c r="CO249" s="67"/>
      <c r="CP249" s="67"/>
      <c r="CQ249" s="67"/>
      <c r="CR249" s="67"/>
      <c r="CS249" s="67"/>
      <c r="CT249" s="67"/>
      <c r="CU249" s="67"/>
      <c r="CV249" s="67"/>
      <c r="CW249" s="67"/>
      <c r="CX249" s="67"/>
      <c r="CY249" s="67"/>
      <c r="CZ249" s="67"/>
      <c r="DA249" s="67"/>
      <c r="DB249" s="67"/>
      <c r="DC249" s="67"/>
      <c r="DD249" s="67"/>
      <c r="DE249" s="67"/>
      <c r="DF249" s="67"/>
      <c r="DG249" s="67"/>
      <c r="DH249" s="67"/>
      <c r="DI249" s="67"/>
      <c r="DJ249" s="67"/>
      <c r="DK249" s="67"/>
      <c r="DL249" s="67"/>
      <c r="DM249" s="67"/>
      <c r="DN249" s="67"/>
      <c r="DO249" s="67"/>
      <c r="DP249" s="67"/>
      <c r="DQ249" s="67"/>
      <c r="DR249" s="67"/>
      <c r="DS249" s="67"/>
      <c r="DT249" s="67"/>
      <c r="DU249" s="67"/>
      <c r="DV249" s="67"/>
      <c r="DW249" s="67"/>
      <c r="DX249" s="67"/>
      <c r="DY249" s="67"/>
      <c r="DZ249" s="67"/>
      <c r="EA249" s="67"/>
      <c r="EB249" s="67"/>
      <c r="EC249" s="67"/>
      <c r="ED249" s="67"/>
      <c r="EE249" s="67"/>
      <c r="EF249" s="67"/>
      <c r="EG249" s="67"/>
      <c r="EH249" s="67"/>
      <c r="EI249" s="67"/>
      <c r="EJ249" s="67"/>
      <c r="EK249" s="67"/>
      <c r="EL249" s="67"/>
      <c r="EM249" s="67"/>
      <c r="EN249" s="67"/>
      <c r="EO249" s="67"/>
      <c r="EP249" s="67"/>
      <c r="EQ249" s="67"/>
      <c r="ER249" s="67"/>
      <c r="ES249" s="67"/>
      <c r="ET249" s="67"/>
      <c r="EU249" s="67"/>
      <c r="EV249" s="67"/>
      <c r="EW249" s="67"/>
      <c r="EX249" s="67"/>
      <c r="EY249" s="67"/>
      <c r="EZ249" s="67"/>
      <c r="FA249" s="67"/>
      <c r="FB249" s="67"/>
      <c r="FC249" s="67"/>
      <c r="FD249" s="67"/>
      <c r="FE249" s="67"/>
      <c r="FF249" s="67"/>
      <c r="FG249" s="67"/>
      <c r="FH249" s="67"/>
      <c r="FI249" s="67"/>
      <c r="FJ249" s="67"/>
      <c r="FK249" s="67"/>
      <c r="FL249" s="67"/>
      <c r="FM249" s="67"/>
      <c r="FN249" s="67"/>
      <c r="FO249" s="67"/>
      <c r="FP249" s="67"/>
      <c r="FQ249" s="67"/>
      <c r="FR249" s="67"/>
      <c r="FS249" s="67"/>
      <c r="FT249" s="67"/>
      <c r="FU249" s="67"/>
      <c r="FV249" s="67"/>
      <c r="FW249" s="67"/>
      <c r="FX249" s="67"/>
      <c r="FY249" s="67"/>
      <c r="FZ249" s="67"/>
      <c r="GA249" s="67"/>
      <c r="GB249" s="67"/>
      <c r="GC249" s="67"/>
      <c r="GD249" s="67"/>
      <c r="GE249" s="67"/>
      <c r="GF249" s="67"/>
      <c r="GG249" s="67"/>
      <c r="GH249" s="67"/>
      <c r="GI249" s="67"/>
      <c r="GJ249" s="67"/>
      <c r="GK249" s="67"/>
      <c r="GL249" s="67"/>
      <c r="GM249" s="67"/>
      <c r="GN249" s="67"/>
      <c r="GO249" s="67"/>
      <c r="GP249" s="67"/>
      <c r="GQ249" s="67"/>
      <c r="GR249" s="67"/>
      <c r="GS249" s="67"/>
      <c r="GT249" s="67"/>
      <c r="GU249" s="67"/>
      <c r="GV249" s="67"/>
      <c r="GW249" s="67"/>
      <c r="GX249" s="67"/>
      <c r="GY249" s="67"/>
      <c r="GZ249" s="67"/>
      <c r="HA249" s="67"/>
      <c r="HB249" s="67"/>
      <c r="HC249" s="67"/>
      <c r="HD249" s="67"/>
      <c r="HE249" s="67"/>
      <c r="HF249" s="67"/>
      <c r="HG249" s="67"/>
      <c r="HH249" s="67"/>
      <c r="HI249" s="67"/>
      <c r="HJ249" s="67"/>
      <c r="HK249" s="67"/>
      <c r="HL249" s="67"/>
      <c r="HM249" s="67"/>
      <c r="HN249" s="67"/>
      <c r="HO249" s="67"/>
      <c r="HP249" s="67"/>
      <c r="HQ249" s="67"/>
      <c r="HR249" s="67"/>
      <c r="HS249" s="67"/>
      <c r="HT249" s="67"/>
      <c r="HU249" s="67"/>
      <c r="HV249" s="67"/>
      <c r="HW249" s="67"/>
      <c r="HX249" s="67"/>
      <c r="HY249" s="67"/>
      <c r="HZ249" s="67"/>
      <c r="IA249" s="67"/>
      <c r="IB249" s="67"/>
      <c r="IC249" s="67"/>
      <c r="ID249" s="67"/>
      <c r="IE249" s="67"/>
      <c r="IF249" s="67"/>
      <c r="IG249" s="67"/>
      <c r="IH249" s="67"/>
      <c r="II249" s="67"/>
      <c r="IJ249" s="67"/>
      <c r="IK249" s="67"/>
      <c r="IL249" s="67"/>
      <c r="IM249" s="67"/>
      <c r="IN249" s="67"/>
      <c r="IO249" s="67"/>
      <c r="IP249" s="67"/>
      <c r="IQ249" s="67"/>
      <c r="IR249" s="67"/>
      <c r="IS249" s="67"/>
      <c r="IT249" s="67"/>
      <c r="IU249" s="67"/>
      <c r="IV249" s="67"/>
      <c r="IW249" s="67"/>
      <c r="IX249" s="67"/>
      <c r="IY249" s="67"/>
      <c r="IZ249" s="67"/>
      <c r="JA249" s="67"/>
      <c r="JB249" s="67"/>
      <c r="JC249" s="67"/>
      <c r="JD249" s="67"/>
      <c r="JE249" s="67"/>
      <c r="JF249" s="67"/>
      <c r="JG249" s="67"/>
      <c r="JH249" s="67"/>
      <c r="JI249" s="67"/>
      <c r="JJ249" s="67"/>
      <c r="JK249" s="67"/>
      <c r="JL249" s="67"/>
      <c r="JM249" s="67"/>
      <c r="JN249" s="67"/>
      <c r="JO249" s="67"/>
      <c r="JP249" s="67"/>
      <c r="JQ249" s="67"/>
      <c r="JR249" s="67"/>
      <c r="JS249" s="67"/>
      <c r="JT249" s="67"/>
      <c r="JU249" s="67"/>
      <c r="JV249" s="67"/>
      <c r="JW249" s="67"/>
      <c r="JX249" s="67"/>
      <c r="JY249" s="67"/>
      <c r="JZ249" s="67"/>
      <c r="KA249" s="67"/>
      <c r="KB249" s="67"/>
      <c r="KC249" s="67"/>
      <c r="KD249" s="67"/>
      <c r="KE249" s="67"/>
      <c r="KF249" s="67"/>
      <c r="KG249" s="67"/>
      <c r="KH249" s="67"/>
      <c r="KI249" s="67"/>
      <c r="KJ249" s="67"/>
      <c r="KK249" s="67"/>
      <c r="KL249" s="67"/>
      <c r="KM249" s="67"/>
      <c r="KN249" s="67"/>
      <c r="KO249" s="67"/>
      <c r="KP249" s="67"/>
      <c r="KQ249" s="67"/>
      <c r="KR249" s="67"/>
      <c r="KS249" s="67"/>
      <c r="KT249" s="67"/>
      <c r="KU249" s="67"/>
      <c r="KV249" s="67"/>
      <c r="KW249" s="67"/>
      <c r="KX249" s="67"/>
      <c r="KY249" s="67"/>
      <c r="KZ249" s="67"/>
      <c r="LA249" s="67"/>
      <c r="LB249" s="67"/>
      <c r="LC249" s="67"/>
      <c r="LD249" s="67"/>
      <c r="LE249" s="67"/>
      <c r="LF249" s="67"/>
      <c r="LG249" s="67"/>
      <c r="LH249" s="67"/>
      <c r="LI249" s="67"/>
      <c r="LJ249" s="67"/>
      <c r="LK249" s="67"/>
      <c r="LL249" s="67"/>
      <c r="LM249" s="67"/>
      <c r="LN249" s="67"/>
      <c r="LO249" s="67"/>
      <c r="LP249" s="67"/>
      <c r="LQ249" s="67"/>
      <c r="LR249" s="67"/>
      <c r="LS249" s="67"/>
      <c r="LT249" s="67"/>
      <c r="LU249" s="67"/>
      <c r="LV249" s="67"/>
      <c r="LW249" s="67"/>
      <c r="LX249" s="67"/>
      <c r="LY249" s="67"/>
      <c r="LZ249" s="67"/>
      <c r="MA249" s="67"/>
      <c r="MB249" s="67"/>
      <c r="MC249" s="67"/>
      <c r="MD249" s="67"/>
      <c r="ME249" s="67"/>
      <c r="MF249" s="67"/>
      <c r="MG249" s="67"/>
      <c r="MH249" s="67"/>
      <c r="MI249" s="67"/>
      <c r="MJ249" s="67"/>
      <c r="MK249" s="67"/>
      <c r="ML249" s="67"/>
      <c r="MM249" s="67"/>
      <c r="MN249" s="67"/>
      <c r="MO249" s="67"/>
      <c r="MP249" s="67"/>
      <c r="MQ249" s="67"/>
      <c r="MR249" s="67"/>
      <c r="MS249" s="67"/>
      <c r="MT249" s="67"/>
      <c r="MU249" s="67"/>
      <c r="MV249" s="67"/>
      <c r="MW249" s="67"/>
      <c r="MX249" s="67"/>
      <c r="MY249" s="67"/>
      <c r="MZ249" s="67"/>
      <c r="NA249" s="67"/>
      <c r="NB249" s="67"/>
      <c r="NC249" s="67"/>
      <c r="ND249" s="67"/>
      <c r="NE249" s="67"/>
      <c r="NF249" s="67"/>
      <c r="NG249" s="67"/>
      <c r="NH249" s="67"/>
      <c r="NI249" s="67"/>
      <c r="NJ249" s="67"/>
      <c r="NK249" s="67"/>
      <c r="NL249" s="67"/>
      <c r="NM249" s="67"/>
      <c r="NN249" s="67"/>
      <c r="NO249" s="67"/>
      <c r="NP249" s="67"/>
      <c r="NQ249" s="67"/>
      <c r="NR249" s="67"/>
      <c r="NS249" s="67"/>
      <c r="NT249" s="67"/>
      <c r="NU249" s="67"/>
      <c r="NV249" s="67"/>
      <c r="NW249" s="67"/>
      <c r="NX249" s="67"/>
      <c r="NY249" s="67"/>
      <c r="NZ249" s="67"/>
      <c r="OA249" s="67"/>
      <c r="OB249" s="67"/>
      <c r="OC249" s="67"/>
      <c r="OD249" s="67"/>
      <c r="OE249" s="67"/>
      <c r="OF249" s="67"/>
      <c r="OG249" s="67"/>
      <c r="OH249" s="67"/>
      <c r="OI249" s="67"/>
      <c r="OJ249" s="67"/>
      <c r="OK249" s="67"/>
      <c r="OL249" s="67"/>
      <c r="OM249" s="67"/>
      <c r="ON249" s="67"/>
      <c r="OO249" s="67"/>
      <c r="OP249" s="67"/>
      <c r="OQ249" s="67"/>
      <c r="OR249" s="67"/>
      <c r="OS249" s="67"/>
      <c r="OT249" s="67"/>
      <c r="OU249" s="67"/>
      <c r="OV249" s="67"/>
      <c r="OW249" s="67"/>
      <c r="OX249" s="67"/>
      <c r="OY249" s="67"/>
      <c r="OZ249" s="67"/>
      <c r="PA249" s="67"/>
      <c r="PB249" s="67"/>
      <c r="PC249" s="67"/>
      <c r="PD249" s="67"/>
      <c r="PE249" s="67"/>
      <c r="PF249" s="67"/>
      <c r="PG249" s="67"/>
      <c r="PH249" s="67"/>
      <c r="PI249" s="67"/>
      <c r="PJ249" s="67"/>
      <c r="PK249" s="67"/>
      <c r="PL249" s="67"/>
      <c r="PM249" s="67"/>
      <c r="PN249" s="67"/>
      <c r="PO249" s="67"/>
      <c r="PP249" s="67"/>
      <c r="PQ249" s="67"/>
      <c r="PR249" s="67"/>
      <c r="PS249" s="67"/>
      <c r="PT249" s="67"/>
      <c r="PU249" s="67"/>
      <c r="PV249" s="67"/>
      <c r="PW249" s="67"/>
      <c r="PX249" s="67"/>
      <c r="PY249" s="67"/>
      <c r="PZ249" s="67"/>
      <c r="QA249" s="67"/>
      <c r="QB249" s="67"/>
      <c r="QC249" s="67"/>
      <c r="QD249" s="67"/>
      <c r="QE249" s="67"/>
      <c r="QF249" s="67"/>
      <c r="QG249" s="67"/>
      <c r="QH249" s="67"/>
      <c r="QI249" s="67"/>
      <c r="QJ249" s="67"/>
      <c r="QK249" s="67"/>
      <c r="QL249" s="67"/>
      <c r="QM249" s="67"/>
      <c r="QN249" s="67"/>
      <c r="QO249" s="67"/>
      <c r="QP249" s="67"/>
      <c r="QQ249" s="67"/>
      <c r="QR249" s="67"/>
      <c r="QS249" s="67"/>
      <c r="QT249" s="67"/>
      <c r="QU249" s="67"/>
      <c r="QV249" s="67"/>
      <c r="QW249" s="67"/>
      <c r="QX249" s="67"/>
      <c r="QY249" s="67"/>
      <c r="QZ249" s="67"/>
      <c r="RA249" s="67"/>
      <c r="RB249" s="67"/>
      <c r="RC249" s="67"/>
      <c r="RD249" s="67"/>
      <c r="RE249" s="67"/>
      <c r="RF249" s="67"/>
      <c r="RG249" s="67"/>
      <c r="RH249" s="67"/>
      <c r="RI249" s="67"/>
      <c r="RJ249" s="67"/>
      <c r="RK249" s="67"/>
      <c r="RL249" s="67"/>
      <c r="RM249" s="67"/>
      <c r="RN249" s="67"/>
      <c r="RO249" s="67"/>
      <c r="RP249" s="67"/>
      <c r="RQ249" s="67"/>
      <c r="RR249" s="67"/>
      <c r="RS249" s="67"/>
      <c r="RT249" s="67"/>
      <c r="RU249" s="67"/>
      <c r="RV249" s="67"/>
      <c r="RW249" s="67"/>
      <c r="RX249" s="67"/>
      <c r="RY249" s="67"/>
      <c r="RZ249" s="67"/>
      <c r="SA249" s="67"/>
      <c r="SB249" s="67"/>
      <c r="SC249" s="67"/>
      <c r="SD249" s="67"/>
      <c r="SE249" s="67"/>
      <c r="SF249" s="67"/>
      <c r="SG249" s="67"/>
      <c r="SH249" s="67"/>
      <c r="SI249" s="67"/>
      <c r="SJ249" s="67"/>
      <c r="SK249" s="67"/>
      <c r="SL249" s="67"/>
      <c r="SM249" s="67"/>
      <c r="SN249" s="67"/>
      <c r="SO249" s="67"/>
      <c r="SP249" s="67"/>
      <c r="SQ249" s="67"/>
      <c r="SR249" s="67"/>
      <c r="SS249" s="67"/>
      <c r="ST249" s="67"/>
      <c r="SU249" s="67"/>
      <c r="SV249" s="67"/>
      <c r="SW249" s="67"/>
      <c r="SX249" s="67"/>
      <c r="SY249" s="67"/>
      <c r="SZ249" s="67"/>
      <c r="TA249" s="67"/>
      <c r="TB249" s="67"/>
      <c r="TC249" s="67"/>
      <c r="TD249" s="67"/>
      <c r="TE249" s="67"/>
      <c r="TF249" s="67"/>
      <c r="TG249" s="67"/>
      <c r="TH249" s="67"/>
      <c r="TI249" s="67"/>
      <c r="TJ249" s="67"/>
      <c r="TK249" s="67"/>
      <c r="TL249" s="67"/>
      <c r="TM249" s="67"/>
      <c r="TN249" s="67"/>
      <c r="TO249" s="67"/>
      <c r="TP249" s="67"/>
      <c r="TQ249" s="67"/>
      <c r="TR249" s="67"/>
      <c r="TS249" s="67"/>
      <c r="TT249" s="67"/>
      <c r="TU249" s="67"/>
      <c r="TV249" s="67"/>
      <c r="TW249" s="67"/>
      <c r="TX249" s="67"/>
      <c r="TY249" s="67"/>
      <c r="TZ249" s="67"/>
      <c r="UA249" s="67"/>
      <c r="UB249" s="67"/>
      <c r="UC249" s="67"/>
      <c r="UD249" s="67"/>
      <c r="UE249" s="67"/>
      <c r="UF249" s="67"/>
      <c r="UG249" s="67"/>
      <c r="UH249" s="67"/>
      <c r="UI249" s="67"/>
      <c r="UJ249" s="67"/>
      <c r="UK249" s="67"/>
      <c r="UL249" s="67"/>
      <c r="UM249" s="67"/>
      <c r="UN249" s="67"/>
      <c r="UO249" s="67"/>
      <c r="UP249" s="67"/>
      <c r="UQ249" s="67"/>
      <c r="UR249" s="67"/>
      <c r="US249" s="67"/>
      <c r="UT249" s="67"/>
      <c r="UU249" s="67"/>
      <c r="UV249" s="67"/>
      <c r="UW249" s="67"/>
      <c r="UX249" s="67"/>
      <c r="UY249" s="67"/>
      <c r="UZ249" s="67"/>
      <c r="VA249" s="67"/>
      <c r="VB249" s="67"/>
      <c r="VC249" s="67"/>
      <c r="VD249" s="67"/>
      <c r="VE249" s="67"/>
      <c r="VF249" s="67"/>
      <c r="VG249" s="67"/>
      <c r="VH249" s="67"/>
      <c r="VI249" s="67"/>
      <c r="VJ249" s="67"/>
      <c r="VK249" s="67"/>
      <c r="VL249" s="67"/>
      <c r="VM249" s="67"/>
      <c r="VN249" s="67"/>
      <c r="VO249" s="67"/>
      <c r="VP249" s="67"/>
      <c r="VQ249" s="67"/>
      <c r="VR249" s="67"/>
      <c r="VS249" s="67"/>
      <c r="VT249" s="67"/>
      <c r="VU249" s="67"/>
      <c r="VV249" s="67"/>
      <c r="VW249" s="67"/>
      <c r="VX249" s="67"/>
      <c r="VY249" s="67"/>
      <c r="VZ249" s="67"/>
      <c r="WA249" s="67"/>
      <c r="WB249" s="67"/>
      <c r="WC249" s="67"/>
      <c r="WD249" s="67"/>
      <c r="WE249" s="67"/>
      <c r="WF249" s="67"/>
      <c r="WG249" s="67"/>
      <c r="WH249" s="67"/>
      <c r="WI249" s="67"/>
      <c r="WJ249" s="67"/>
      <c r="WK249" s="67"/>
      <c r="WL249" s="67"/>
      <c r="WM249" s="67"/>
      <c r="WN249" s="67"/>
      <c r="WO249" s="67"/>
      <c r="WP249" s="67"/>
      <c r="WQ249" s="67"/>
      <c r="WR249" s="67"/>
      <c r="WS249" s="67"/>
      <c r="WT249" s="67"/>
      <c r="WU249" s="67"/>
      <c r="WV249" s="67"/>
      <c r="WW249" s="67"/>
      <c r="WX249" s="67"/>
      <c r="WY249" s="67"/>
      <c r="WZ249" s="67"/>
      <c r="XA249" s="67"/>
      <c r="XB249" s="67"/>
      <c r="XC249" s="67"/>
      <c r="XD249" s="67"/>
      <c r="XE249" s="67"/>
      <c r="XF249" s="67"/>
      <c r="XG249" s="67"/>
      <c r="XH249" s="67"/>
      <c r="XI249" s="67"/>
      <c r="XJ249" s="67"/>
      <c r="XK249" s="67"/>
      <c r="XL249" s="67"/>
      <c r="XM249" s="67"/>
      <c r="XN249" s="67"/>
      <c r="XO249" s="67"/>
      <c r="XP249" s="67"/>
      <c r="XQ249" s="67"/>
      <c r="XR249" s="67"/>
      <c r="XS249" s="67"/>
      <c r="XT249" s="67"/>
      <c r="XU249" s="67"/>
      <c r="XV249" s="67"/>
      <c r="XW249" s="67"/>
      <c r="XX249" s="67"/>
      <c r="XY249" s="67"/>
      <c r="XZ249" s="67"/>
      <c r="YA249" s="67"/>
      <c r="YB249" s="67"/>
      <c r="YC249" s="67"/>
      <c r="YD249" s="67"/>
      <c r="YE249" s="67"/>
      <c r="YF249" s="67"/>
      <c r="YG249" s="67"/>
      <c r="YH249" s="67"/>
      <c r="YI249" s="67"/>
      <c r="YJ249" s="67"/>
      <c r="YK249" s="67"/>
      <c r="YL249" s="67"/>
      <c r="YM249" s="67"/>
      <c r="YN249" s="67"/>
      <c r="YO249" s="67"/>
      <c r="YP249" s="67"/>
      <c r="YQ249" s="67"/>
      <c r="YR249" s="67"/>
      <c r="YS249" s="67"/>
      <c r="YT249" s="67"/>
      <c r="YU249" s="67"/>
      <c r="YV249" s="67"/>
      <c r="YW249" s="67"/>
      <c r="YX249" s="67"/>
      <c r="YY249" s="67"/>
      <c r="YZ249" s="67"/>
      <c r="ZA249" s="67"/>
      <c r="ZB249" s="67"/>
      <c r="ZC249" s="67"/>
      <c r="ZD249" s="67"/>
      <c r="ZE249" s="67"/>
      <c r="ZF249" s="67"/>
      <c r="ZG249" s="67"/>
      <c r="ZH249" s="67"/>
      <c r="ZI249" s="67"/>
      <c r="ZJ249" s="67"/>
      <c r="ZK249" s="67"/>
      <c r="ZL249" s="67"/>
      <c r="ZM249" s="67"/>
      <c r="ZN249" s="67"/>
      <c r="ZO249" s="67"/>
      <c r="ZP249" s="67"/>
      <c r="ZQ249" s="67"/>
      <c r="ZR249" s="67"/>
      <c r="ZS249" s="67"/>
      <c r="ZT249" s="67"/>
      <c r="ZU249" s="67"/>
      <c r="ZV249" s="67"/>
      <c r="ZW249" s="67"/>
      <c r="ZX249" s="67"/>
      <c r="ZY249" s="67"/>
      <c r="ZZ249" s="67"/>
      <c r="AAA249" s="67"/>
      <c r="AAB249" s="67"/>
      <c r="AAC249" s="67"/>
      <c r="AAD249" s="67"/>
      <c r="AAE249" s="67"/>
      <c r="AAF249" s="67"/>
      <c r="AAG249" s="67"/>
      <c r="AAH249" s="67"/>
      <c r="AAI249" s="67"/>
      <c r="AAJ249" s="67"/>
      <c r="AAK249" s="67"/>
      <c r="AAL249" s="67"/>
      <c r="AAM249" s="67"/>
      <c r="AAN249" s="67"/>
      <c r="AAO249" s="67"/>
      <c r="AAP249" s="67"/>
      <c r="AAQ249" s="67"/>
      <c r="AAR249" s="67"/>
      <c r="AAS249" s="67"/>
      <c r="AAT249" s="67"/>
      <c r="AAU249" s="67"/>
      <c r="AAV249" s="67"/>
      <c r="AAW249" s="67"/>
      <c r="AAX249" s="67"/>
      <c r="AAY249" s="67"/>
      <c r="AAZ249" s="67"/>
      <c r="ABA249" s="67"/>
      <c r="ABB249" s="67"/>
      <c r="ABC249" s="67"/>
      <c r="ABD249" s="67"/>
      <c r="ABE249" s="67"/>
      <c r="ABF249" s="67"/>
      <c r="ABG249" s="67"/>
      <c r="ABH249" s="67"/>
      <c r="ABI249" s="67"/>
      <c r="ABJ249" s="67"/>
      <c r="ABK249" s="67"/>
      <c r="ABL249" s="67"/>
      <c r="ABM249" s="67"/>
      <c r="ABN249" s="67"/>
      <c r="ABO249" s="67"/>
      <c r="ABP249" s="67"/>
      <c r="ABQ249" s="67"/>
      <c r="ABR249" s="67"/>
      <c r="ABS249" s="67"/>
      <c r="ABT249" s="67"/>
      <c r="ABU249" s="67"/>
      <c r="ABV249" s="67"/>
      <c r="ABW249" s="67"/>
      <c r="ABX249" s="67"/>
      <c r="ABY249" s="67"/>
      <c r="ABZ249" s="67"/>
      <c r="ACA249" s="67"/>
      <c r="ACB249" s="67"/>
      <c r="ACC249" s="67"/>
      <c r="ACD249" s="67"/>
      <c r="ACE249" s="67"/>
      <c r="ACF249" s="67"/>
      <c r="ACG249" s="67"/>
      <c r="ACH249" s="67"/>
      <c r="ACI249" s="67"/>
      <c r="ACJ249" s="67"/>
      <c r="ACK249" s="67"/>
      <c r="ACL249" s="67"/>
      <c r="ACM249" s="67"/>
      <c r="ACN249" s="67"/>
      <c r="ACO249" s="67"/>
      <c r="ACP249" s="67"/>
      <c r="ACQ249" s="67"/>
      <c r="ACR249" s="67"/>
      <c r="ACS249" s="67"/>
      <c r="ACT249" s="67"/>
      <c r="ACU249" s="67"/>
      <c r="ACV249" s="67"/>
      <c r="ACW249" s="67"/>
      <c r="ACX249" s="67"/>
      <c r="ACY249" s="67"/>
      <c r="ACZ249" s="67"/>
      <c r="ADA249" s="67"/>
      <c r="ADB249" s="67"/>
      <c r="ADC249" s="67"/>
      <c r="ADD249" s="67"/>
      <c r="ADE249" s="67"/>
      <c r="ADF249" s="67"/>
      <c r="ADG249" s="67"/>
      <c r="ADH249" s="67"/>
      <c r="ADI249" s="67"/>
      <c r="ADJ249" s="67"/>
      <c r="ADK249" s="67"/>
      <c r="ADL249" s="67"/>
      <c r="ADM249" s="67"/>
      <c r="ADN249" s="67"/>
      <c r="ADO249" s="67"/>
      <c r="ADP249" s="67"/>
      <c r="ADQ249" s="67"/>
      <c r="ADR249" s="67"/>
      <c r="ADS249" s="67"/>
      <c r="ADT249" s="67"/>
      <c r="ADU249" s="67"/>
      <c r="ADV249" s="67"/>
      <c r="ADW249" s="67"/>
      <c r="ADX249" s="67"/>
      <c r="ADY249" s="67"/>
      <c r="ADZ249" s="67"/>
      <c r="AEA249" s="67"/>
      <c r="AEB249" s="67"/>
      <c r="AEC249" s="67"/>
      <c r="AED249" s="67"/>
      <c r="AEE249" s="67"/>
      <c r="AEF249" s="67"/>
      <c r="AEG249" s="67"/>
      <c r="AEH249" s="67"/>
      <c r="AEI249" s="67"/>
      <c r="AEJ249" s="67"/>
      <c r="AEK249" s="67"/>
      <c r="AEL249" s="67"/>
      <c r="AEM249" s="67"/>
      <c r="AEN249" s="67"/>
      <c r="AEO249" s="67"/>
      <c r="AEP249" s="67"/>
      <c r="AEQ249" s="67"/>
      <c r="AER249" s="67"/>
      <c r="AES249" s="67"/>
      <c r="AET249" s="67"/>
      <c r="AEU249" s="67"/>
      <c r="AEV249" s="67"/>
      <c r="AEW249" s="67"/>
      <c r="AEX249" s="67"/>
      <c r="AEY249" s="67"/>
      <c r="AEZ249" s="67"/>
      <c r="AFA249" s="67"/>
      <c r="AFB249" s="67"/>
      <c r="AFC249" s="67"/>
      <c r="AFD249" s="67"/>
      <c r="AFE249" s="67"/>
      <c r="AFF249" s="67"/>
      <c r="AFG249" s="67"/>
      <c r="AFH249" s="67"/>
      <c r="AFI249" s="67"/>
      <c r="AFJ249" s="67"/>
      <c r="AFK249" s="67"/>
      <c r="AFL249" s="67"/>
      <c r="AFM249" s="67"/>
      <c r="AFN249" s="67"/>
      <c r="AFO249" s="67"/>
      <c r="AFP249" s="67"/>
      <c r="AFQ249" s="67"/>
      <c r="AFR249" s="67"/>
      <c r="AFS249" s="67"/>
      <c r="AFT249" s="67"/>
      <c r="AFU249" s="67"/>
      <c r="AFV249" s="67"/>
      <c r="AFW249" s="67"/>
      <c r="AFX249" s="67"/>
    </row>
    <row r="250" spans="1:856" x14ac:dyDescent="0.3">
      <c r="A250" s="82" t="s">
        <v>35</v>
      </c>
      <c r="B250" s="82"/>
      <c r="C250" s="82"/>
      <c r="D250" s="82"/>
      <c r="E250" s="82"/>
      <c r="F250" s="82"/>
      <c r="G250" s="82"/>
      <c r="H250" s="82"/>
      <c r="I250" s="33">
        <f>SUM(I3:I249)</f>
        <v>0</v>
      </c>
    </row>
  </sheetData>
  <mergeCells count="14">
    <mergeCell ref="A243:C243"/>
    <mergeCell ref="A247:C247"/>
    <mergeCell ref="A250:H250"/>
    <mergeCell ref="A53:C53"/>
    <mergeCell ref="A104:C104"/>
    <mergeCell ref="A144:C144"/>
    <mergeCell ref="A183:C183"/>
    <mergeCell ref="A222:C222"/>
    <mergeCell ref="A1:A2"/>
    <mergeCell ref="B1:B2"/>
    <mergeCell ref="C1:C2"/>
    <mergeCell ref="D1:F1"/>
    <mergeCell ref="G1:H1"/>
    <mergeCell ref="I1:I2"/>
  </mergeCells>
  <pageMargins left="0.39370078740157483" right="0.19685039370078741" top="0.19685039370078741" bottom="0.19685039370078741" header="0.31496062992125984" footer="0.31496062992125984"/>
  <pageSetup paperSize="9" scale="73" fitToHeight="100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S231"/>
  <sheetViews>
    <sheetView view="pageBreakPreview" zoomScaleNormal="85" zoomScaleSheetLayoutView="100" workbookViewId="0">
      <selection activeCell="A13" sqref="A1:XFD13"/>
    </sheetView>
  </sheetViews>
  <sheetFormatPr defaultRowHeight="14.4" x14ac:dyDescent="0.3"/>
  <cols>
    <col min="1" max="1" width="4.109375" customWidth="1"/>
    <col min="2" max="2" width="94.6640625" style="11" customWidth="1"/>
    <col min="3" max="3" width="8" style="12" customWidth="1"/>
    <col min="4" max="4" width="9" style="43" customWidth="1"/>
  </cols>
  <sheetData>
    <row r="1" spans="1:4" ht="15" customHeight="1" x14ac:dyDescent="0.3">
      <c r="A1" s="75" t="s">
        <v>1</v>
      </c>
      <c r="B1" s="75" t="s">
        <v>2</v>
      </c>
      <c r="C1" s="76" t="s">
        <v>5</v>
      </c>
      <c r="D1" s="84" t="s">
        <v>38</v>
      </c>
    </row>
    <row r="2" spans="1:4" s="13" customFormat="1" x14ac:dyDescent="0.3">
      <c r="A2" s="75"/>
      <c r="B2" s="75"/>
      <c r="C2" s="76"/>
      <c r="D2" s="84"/>
    </row>
    <row r="3" spans="1:4" s="14" customFormat="1" x14ac:dyDescent="0.3">
      <c r="A3" s="32" t="s">
        <v>40</v>
      </c>
      <c r="B3" s="32"/>
      <c r="C3" s="32"/>
      <c r="D3" s="44"/>
    </row>
    <row r="4" spans="1:4" ht="28.8" x14ac:dyDescent="0.3">
      <c r="A4" s="15">
        <v>1</v>
      </c>
      <c r="B4" s="16" t="s">
        <v>106</v>
      </c>
      <c r="C4" s="17" t="s">
        <v>39</v>
      </c>
      <c r="D4" s="37">
        <v>12</v>
      </c>
    </row>
    <row r="5" spans="1:4" ht="28.8" x14ac:dyDescent="0.3">
      <c r="A5" s="15">
        <v>2</v>
      </c>
      <c r="B5" s="16" t="s">
        <v>119</v>
      </c>
      <c r="C5" s="17" t="s">
        <v>39</v>
      </c>
      <c r="D5" s="37">
        <v>23</v>
      </c>
    </row>
    <row r="6" spans="1:4" ht="28.8" x14ac:dyDescent="0.3">
      <c r="A6" s="15">
        <v>3</v>
      </c>
      <c r="B6" s="16" t="s">
        <v>118</v>
      </c>
      <c r="C6" s="17" t="s">
        <v>39</v>
      </c>
      <c r="D6" s="37">
        <v>3</v>
      </c>
    </row>
    <row r="7" spans="1:4" ht="28.8" x14ac:dyDescent="0.3">
      <c r="A7" s="15">
        <v>4</v>
      </c>
      <c r="B7" s="16" t="s">
        <v>117</v>
      </c>
      <c r="C7" s="17" t="s">
        <v>39</v>
      </c>
      <c r="D7" s="37">
        <v>11</v>
      </c>
    </row>
    <row r="8" spans="1:4" ht="28.8" x14ac:dyDescent="0.3">
      <c r="A8" s="15">
        <v>5</v>
      </c>
      <c r="B8" s="16" t="s">
        <v>116</v>
      </c>
      <c r="C8" s="17" t="s">
        <v>39</v>
      </c>
      <c r="D8" s="37">
        <v>2</v>
      </c>
    </row>
    <row r="9" spans="1:4" ht="28.8" x14ac:dyDescent="0.3">
      <c r="A9" s="15">
        <v>6</v>
      </c>
      <c r="B9" s="16" t="s">
        <v>115</v>
      </c>
      <c r="C9" s="17" t="s">
        <v>39</v>
      </c>
      <c r="D9" s="37">
        <v>58</v>
      </c>
    </row>
    <row r="10" spans="1:4" ht="28.8" x14ac:dyDescent="0.3">
      <c r="A10" s="15">
        <v>7</v>
      </c>
      <c r="B10" s="16" t="s">
        <v>114</v>
      </c>
      <c r="C10" s="17" t="s">
        <v>39</v>
      </c>
      <c r="D10" s="37">
        <v>48</v>
      </c>
    </row>
    <row r="11" spans="1:4" ht="28.8" x14ac:dyDescent="0.3">
      <c r="A11" s="15">
        <v>8</v>
      </c>
      <c r="B11" s="16" t="s">
        <v>113</v>
      </c>
      <c r="C11" s="17" t="s">
        <v>39</v>
      </c>
      <c r="D11" s="37">
        <v>22</v>
      </c>
    </row>
    <row r="12" spans="1:4" ht="28.8" x14ac:dyDescent="0.3">
      <c r="A12" s="15">
        <v>9</v>
      </c>
      <c r="B12" s="16" t="s">
        <v>112</v>
      </c>
      <c r="C12" s="17" t="s">
        <v>39</v>
      </c>
      <c r="D12" s="37">
        <v>84</v>
      </c>
    </row>
    <row r="13" spans="1:4" ht="28.8" x14ac:dyDescent="0.3">
      <c r="A13" s="15">
        <v>10</v>
      </c>
      <c r="B13" s="16" t="s">
        <v>111</v>
      </c>
      <c r="C13" s="17" t="s">
        <v>39</v>
      </c>
      <c r="D13" s="37">
        <v>71</v>
      </c>
    </row>
    <row r="14" spans="1:4" ht="28.8" x14ac:dyDescent="0.3">
      <c r="A14" s="15">
        <v>11</v>
      </c>
      <c r="B14" s="16" t="s">
        <v>110</v>
      </c>
      <c r="C14" s="17" t="s">
        <v>39</v>
      </c>
      <c r="D14" s="37">
        <v>62</v>
      </c>
    </row>
    <row r="15" spans="1:4" ht="28.8" x14ac:dyDescent="0.3">
      <c r="A15" s="15">
        <v>12</v>
      </c>
      <c r="B15" s="16" t="s">
        <v>109</v>
      </c>
      <c r="C15" s="17" t="s">
        <v>39</v>
      </c>
      <c r="D15" s="37">
        <v>38</v>
      </c>
    </row>
    <row r="16" spans="1:4" ht="28.8" x14ac:dyDescent="0.3">
      <c r="A16" s="15">
        <v>13</v>
      </c>
      <c r="B16" s="16" t="s">
        <v>108</v>
      </c>
      <c r="C16" s="17" t="s">
        <v>39</v>
      </c>
      <c r="D16" s="37">
        <v>2</v>
      </c>
    </row>
    <row r="17" spans="1:4" ht="28.8" x14ac:dyDescent="0.3">
      <c r="A17" s="15">
        <v>14</v>
      </c>
      <c r="B17" s="16" t="s">
        <v>107</v>
      </c>
      <c r="C17" s="17" t="s">
        <v>39</v>
      </c>
      <c r="D17" s="37">
        <v>1</v>
      </c>
    </row>
    <row r="18" spans="1:4" ht="28.8" x14ac:dyDescent="0.3">
      <c r="A18" s="15">
        <v>15</v>
      </c>
      <c r="B18" s="16" t="s">
        <v>126</v>
      </c>
      <c r="C18" s="17" t="s">
        <v>39</v>
      </c>
      <c r="D18" s="37">
        <v>13</v>
      </c>
    </row>
    <row r="19" spans="1:4" ht="28.8" x14ac:dyDescent="0.3">
      <c r="A19" s="15">
        <v>16</v>
      </c>
      <c r="B19" s="16" t="s">
        <v>125</v>
      </c>
      <c r="C19" s="17" t="s">
        <v>39</v>
      </c>
      <c r="D19" s="37">
        <v>12</v>
      </c>
    </row>
    <row r="20" spans="1:4" ht="28.8" x14ac:dyDescent="0.3">
      <c r="A20" s="15">
        <v>17</v>
      </c>
      <c r="B20" s="16" t="s">
        <v>124</v>
      </c>
      <c r="C20" s="17" t="s">
        <v>39</v>
      </c>
      <c r="D20" s="37">
        <v>23</v>
      </c>
    </row>
    <row r="21" spans="1:4" ht="28.8" x14ac:dyDescent="0.3">
      <c r="A21" s="15">
        <v>18</v>
      </c>
      <c r="B21" s="16" t="s">
        <v>123</v>
      </c>
      <c r="C21" s="17" t="s">
        <v>39</v>
      </c>
      <c r="D21" s="37">
        <v>50</v>
      </c>
    </row>
    <row r="22" spans="1:4" ht="28.8" x14ac:dyDescent="0.3">
      <c r="A22" s="15">
        <v>19</v>
      </c>
      <c r="B22" s="16" t="s">
        <v>122</v>
      </c>
      <c r="C22" s="17" t="s">
        <v>39</v>
      </c>
      <c r="D22" s="37">
        <v>12</v>
      </c>
    </row>
    <row r="23" spans="1:4" ht="28.8" x14ac:dyDescent="0.3">
      <c r="A23" s="15">
        <v>20</v>
      </c>
      <c r="B23" s="16" t="s">
        <v>121</v>
      </c>
      <c r="C23" s="17" t="s">
        <v>39</v>
      </c>
      <c r="D23" s="37">
        <v>14</v>
      </c>
    </row>
    <row r="24" spans="1:4" ht="28.8" x14ac:dyDescent="0.3">
      <c r="A24" s="15">
        <v>21</v>
      </c>
      <c r="B24" s="16" t="s">
        <v>120</v>
      </c>
      <c r="C24" s="17" t="s">
        <v>39</v>
      </c>
      <c r="D24" s="37">
        <v>11</v>
      </c>
    </row>
    <row r="25" spans="1:4" x14ac:dyDescent="0.3">
      <c r="A25" s="15">
        <v>22</v>
      </c>
      <c r="B25" s="16" t="s">
        <v>41</v>
      </c>
      <c r="C25" s="17" t="s">
        <v>39</v>
      </c>
      <c r="D25" s="37">
        <v>572</v>
      </c>
    </row>
    <row r="26" spans="1:4" x14ac:dyDescent="0.3">
      <c r="A26" s="15">
        <v>23</v>
      </c>
      <c r="B26" s="16" t="s">
        <v>45</v>
      </c>
      <c r="C26" s="17" t="s">
        <v>39</v>
      </c>
      <c r="D26" s="37">
        <v>572</v>
      </c>
    </row>
    <row r="27" spans="1:4" s="34" customFormat="1" x14ac:dyDescent="0.3">
      <c r="A27" s="15">
        <v>24</v>
      </c>
      <c r="B27" s="39" t="s">
        <v>55</v>
      </c>
      <c r="C27" s="17" t="s">
        <v>39</v>
      </c>
      <c r="D27" s="22">
        <v>85</v>
      </c>
    </row>
    <row r="28" spans="1:4" s="34" customFormat="1" x14ac:dyDescent="0.3">
      <c r="A28" s="15">
        <v>25</v>
      </c>
      <c r="B28" s="39" t="s">
        <v>51</v>
      </c>
      <c r="C28" s="38" t="s">
        <v>39</v>
      </c>
      <c r="D28" s="41">
        <v>572</v>
      </c>
    </row>
    <row r="29" spans="1:4" x14ac:dyDescent="0.3">
      <c r="A29" s="15">
        <v>26</v>
      </c>
      <c r="B29" s="16" t="s">
        <v>42</v>
      </c>
      <c r="C29" s="17" t="s">
        <v>39</v>
      </c>
      <c r="D29" s="37">
        <v>4</v>
      </c>
    </row>
    <row r="30" spans="1:4" x14ac:dyDescent="0.3">
      <c r="A30" s="15">
        <v>27</v>
      </c>
      <c r="B30" s="16" t="s">
        <v>52</v>
      </c>
      <c r="C30" s="17" t="s">
        <v>39</v>
      </c>
      <c r="D30" s="22">
        <v>1</v>
      </c>
    </row>
    <row r="31" spans="1:4" x14ac:dyDescent="0.3">
      <c r="A31" s="15">
        <v>28</v>
      </c>
      <c r="B31" s="16" t="s">
        <v>53</v>
      </c>
      <c r="C31" s="17" t="s">
        <v>39</v>
      </c>
      <c r="D31" s="22">
        <v>12</v>
      </c>
    </row>
    <row r="32" spans="1:4" x14ac:dyDescent="0.3">
      <c r="A32" s="15">
        <v>29</v>
      </c>
      <c r="B32" s="16" t="s">
        <v>54</v>
      </c>
      <c r="C32" s="17" t="s">
        <v>39</v>
      </c>
      <c r="D32" s="22">
        <v>12</v>
      </c>
    </row>
    <row r="33" spans="1:4" x14ac:dyDescent="0.3">
      <c r="A33" s="15">
        <v>30</v>
      </c>
      <c r="B33" s="16" t="s">
        <v>157</v>
      </c>
      <c r="C33" s="17" t="s">
        <v>39</v>
      </c>
      <c r="D33" s="37">
        <v>4</v>
      </c>
    </row>
    <row r="34" spans="1:4" x14ac:dyDescent="0.3">
      <c r="A34" s="15">
        <v>31</v>
      </c>
      <c r="B34" s="16" t="s">
        <v>46</v>
      </c>
      <c r="C34" s="17" t="s">
        <v>39</v>
      </c>
      <c r="D34" s="37">
        <v>4</v>
      </c>
    </row>
    <row r="35" spans="1:4" x14ac:dyDescent="0.3">
      <c r="A35" s="15">
        <v>32</v>
      </c>
      <c r="B35" s="16" t="s">
        <v>47</v>
      </c>
      <c r="C35" s="17" t="s">
        <v>39</v>
      </c>
      <c r="D35" s="37">
        <v>4</v>
      </c>
    </row>
    <row r="36" spans="1:4" x14ac:dyDescent="0.3">
      <c r="A36" s="15">
        <v>33</v>
      </c>
      <c r="B36" s="16" t="s">
        <v>43</v>
      </c>
      <c r="C36" s="17" t="s">
        <v>39</v>
      </c>
      <c r="D36" s="37">
        <v>4</v>
      </c>
    </row>
    <row r="37" spans="1:4" x14ac:dyDescent="0.3">
      <c r="A37" s="15">
        <v>34</v>
      </c>
      <c r="B37" s="16" t="s">
        <v>44</v>
      </c>
      <c r="C37" s="17" t="s">
        <v>39</v>
      </c>
      <c r="D37" s="37">
        <v>4</v>
      </c>
    </row>
    <row r="38" spans="1:4" x14ac:dyDescent="0.3">
      <c r="A38" s="15">
        <v>35</v>
      </c>
      <c r="B38" s="16" t="s">
        <v>49</v>
      </c>
      <c r="C38" s="17" t="s">
        <v>39</v>
      </c>
      <c r="D38" s="37">
        <v>4</v>
      </c>
    </row>
    <row r="39" spans="1:4" x14ac:dyDescent="0.3">
      <c r="A39" s="15">
        <v>36</v>
      </c>
      <c r="B39" s="16" t="s">
        <v>50</v>
      </c>
      <c r="C39" s="17" t="s">
        <v>39</v>
      </c>
      <c r="D39" s="22">
        <v>8</v>
      </c>
    </row>
    <row r="40" spans="1:4" x14ac:dyDescent="0.3">
      <c r="A40" s="15">
        <v>37</v>
      </c>
      <c r="B40" s="16" t="s">
        <v>56</v>
      </c>
      <c r="C40" s="17" t="s">
        <v>0</v>
      </c>
      <c r="D40" s="22">
        <v>12635.95</v>
      </c>
    </row>
    <row r="41" spans="1:4" x14ac:dyDescent="0.3">
      <c r="A41" s="15">
        <v>38</v>
      </c>
      <c r="B41" s="16" t="s">
        <v>57</v>
      </c>
      <c r="C41" s="17" t="s">
        <v>0</v>
      </c>
      <c r="D41" s="22">
        <v>2821.69</v>
      </c>
    </row>
    <row r="42" spans="1:4" x14ac:dyDescent="0.3">
      <c r="A42" s="15">
        <v>39</v>
      </c>
      <c r="B42" s="16" t="s">
        <v>58</v>
      </c>
      <c r="C42" s="17" t="s">
        <v>0</v>
      </c>
      <c r="D42" s="37">
        <v>61.19</v>
      </c>
    </row>
    <row r="43" spans="1:4" x14ac:dyDescent="0.3">
      <c r="A43" s="15">
        <v>40</v>
      </c>
      <c r="B43" s="16" t="s">
        <v>59</v>
      </c>
      <c r="C43" s="17" t="s">
        <v>0</v>
      </c>
      <c r="D43" s="37">
        <v>1.1000000000000001</v>
      </c>
    </row>
    <row r="44" spans="1:4" x14ac:dyDescent="0.3">
      <c r="A44" s="15">
        <v>41</v>
      </c>
      <c r="B44" s="16" t="s">
        <v>60</v>
      </c>
      <c r="C44" s="17" t="s">
        <v>0</v>
      </c>
      <c r="D44" s="37">
        <v>6.55</v>
      </c>
    </row>
    <row r="45" spans="1:4" s="34" customFormat="1" x14ac:dyDescent="0.3">
      <c r="A45" s="15">
        <v>42</v>
      </c>
      <c r="B45" s="16" t="s">
        <v>61</v>
      </c>
      <c r="C45" s="17" t="s">
        <v>0</v>
      </c>
      <c r="D45" s="37">
        <v>17.23</v>
      </c>
    </row>
    <row r="46" spans="1:4" x14ac:dyDescent="0.3">
      <c r="A46" s="15">
        <v>43</v>
      </c>
      <c r="B46" s="16" t="s">
        <v>62</v>
      </c>
      <c r="C46" s="17" t="s">
        <v>0</v>
      </c>
      <c r="D46" s="37">
        <v>12.24</v>
      </c>
    </row>
    <row r="47" spans="1:4" x14ac:dyDescent="0.3">
      <c r="A47" s="15">
        <v>44</v>
      </c>
      <c r="B47" s="16" t="s">
        <v>63</v>
      </c>
      <c r="C47" s="17" t="s">
        <v>0</v>
      </c>
      <c r="D47" s="37">
        <v>15.8</v>
      </c>
    </row>
    <row r="48" spans="1:4" ht="28.8" x14ac:dyDescent="0.3">
      <c r="A48" s="15">
        <v>45</v>
      </c>
      <c r="B48" s="16" t="s">
        <v>64</v>
      </c>
      <c r="C48" s="17" t="s">
        <v>0</v>
      </c>
      <c r="D48" s="37">
        <v>24.6</v>
      </c>
    </row>
    <row r="49" spans="1:4" ht="28.8" x14ac:dyDescent="0.3">
      <c r="A49" s="15">
        <v>46</v>
      </c>
      <c r="B49" s="16" t="s">
        <v>65</v>
      </c>
      <c r="C49" s="17" t="s">
        <v>0</v>
      </c>
      <c r="D49" s="37">
        <v>118.38</v>
      </c>
    </row>
    <row r="50" spans="1:4" ht="28.8" x14ac:dyDescent="0.3">
      <c r="A50" s="15">
        <v>47</v>
      </c>
      <c r="B50" s="16" t="s">
        <v>66</v>
      </c>
      <c r="C50" s="17" t="s">
        <v>0</v>
      </c>
      <c r="D50" s="37">
        <v>12.53</v>
      </c>
    </row>
    <row r="51" spans="1:4" x14ac:dyDescent="0.3">
      <c r="A51" s="15">
        <v>48</v>
      </c>
      <c r="B51" s="35" t="s">
        <v>67</v>
      </c>
      <c r="C51" s="17" t="s">
        <v>0</v>
      </c>
      <c r="D51" s="37">
        <v>1.1000000000000001</v>
      </c>
    </row>
    <row r="52" spans="1:4" x14ac:dyDescent="0.3">
      <c r="A52" s="15">
        <v>49</v>
      </c>
      <c r="B52" s="36" t="s">
        <v>68</v>
      </c>
      <c r="C52" s="17" t="s">
        <v>0</v>
      </c>
      <c r="D52" s="37">
        <v>6.55</v>
      </c>
    </row>
    <row r="53" spans="1:4" x14ac:dyDescent="0.3">
      <c r="A53" s="15">
        <v>50</v>
      </c>
      <c r="B53" s="36" t="s">
        <v>70</v>
      </c>
      <c r="C53" s="17" t="s">
        <v>0</v>
      </c>
      <c r="D53" s="37">
        <v>17.09</v>
      </c>
    </row>
    <row r="54" spans="1:4" x14ac:dyDescent="0.3">
      <c r="A54" s="15">
        <v>51</v>
      </c>
      <c r="B54" s="36" t="s">
        <v>71</v>
      </c>
      <c r="C54" s="17" t="s">
        <v>0</v>
      </c>
      <c r="D54" s="37">
        <v>12.24</v>
      </c>
    </row>
    <row r="55" spans="1:4" x14ac:dyDescent="0.3">
      <c r="A55" s="15">
        <v>52</v>
      </c>
      <c r="B55" s="36" t="s">
        <v>72</v>
      </c>
      <c r="C55" s="17" t="s">
        <v>0</v>
      </c>
      <c r="D55" s="37">
        <v>15.8</v>
      </c>
    </row>
    <row r="56" spans="1:4" x14ac:dyDescent="0.3">
      <c r="A56" s="15">
        <v>53</v>
      </c>
      <c r="B56" s="36" t="s">
        <v>73</v>
      </c>
      <c r="C56" s="17" t="s">
        <v>0</v>
      </c>
      <c r="D56" s="37">
        <v>24.6</v>
      </c>
    </row>
    <row r="57" spans="1:4" x14ac:dyDescent="0.3">
      <c r="A57" s="15">
        <v>54</v>
      </c>
      <c r="B57" s="36" t="s">
        <v>74</v>
      </c>
      <c r="C57" s="17" t="s">
        <v>0</v>
      </c>
      <c r="D57" s="37">
        <v>118.38</v>
      </c>
    </row>
    <row r="58" spans="1:4" x14ac:dyDescent="0.3">
      <c r="A58" s="15">
        <v>55</v>
      </c>
      <c r="B58" s="36" t="s">
        <v>75</v>
      </c>
      <c r="C58" s="17" t="s">
        <v>0</v>
      </c>
      <c r="D58" s="37">
        <v>12.53</v>
      </c>
    </row>
    <row r="59" spans="1:4" ht="28.8" x14ac:dyDescent="0.3">
      <c r="A59" s="15">
        <v>56</v>
      </c>
      <c r="B59" s="16" t="s">
        <v>76</v>
      </c>
      <c r="C59" s="17" t="s">
        <v>0</v>
      </c>
      <c r="D59" s="22">
        <v>12635.95</v>
      </c>
    </row>
    <row r="60" spans="1:4" ht="28.8" x14ac:dyDescent="0.3">
      <c r="A60" s="15">
        <v>57</v>
      </c>
      <c r="B60" s="16" t="s">
        <v>77</v>
      </c>
      <c r="C60" s="17" t="s">
        <v>0</v>
      </c>
      <c r="D60" s="22">
        <v>2821.69</v>
      </c>
    </row>
    <row r="61" spans="1:4" ht="28.8" x14ac:dyDescent="0.3">
      <c r="A61" s="15">
        <v>58</v>
      </c>
      <c r="B61" s="16" t="s">
        <v>78</v>
      </c>
      <c r="C61" s="17" t="s">
        <v>0</v>
      </c>
      <c r="D61" s="37">
        <v>61.19</v>
      </c>
    </row>
    <row r="62" spans="1:4" x14ac:dyDescent="0.3">
      <c r="A62" s="15">
        <v>59</v>
      </c>
      <c r="B62" s="16" t="s">
        <v>158</v>
      </c>
      <c r="C62" s="17" t="s">
        <v>159</v>
      </c>
      <c r="D62" s="37">
        <v>1</v>
      </c>
    </row>
    <row r="63" spans="1:4" x14ac:dyDescent="0.3">
      <c r="A63" s="15">
        <v>60</v>
      </c>
      <c r="B63" s="16" t="s">
        <v>80</v>
      </c>
      <c r="C63" s="17" t="s">
        <v>69</v>
      </c>
      <c r="D63" s="37">
        <v>69.89</v>
      </c>
    </row>
    <row r="64" spans="1:4" x14ac:dyDescent="0.3">
      <c r="A64" s="15">
        <v>61</v>
      </c>
      <c r="B64" s="16" t="s">
        <v>79</v>
      </c>
      <c r="C64" s="17" t="s">
        <v>69</v>
      </c>
      <c r="D64" s="37">
        <v>5.2</v>
      </c>
    </row>
    <row r="65" spans="1:4" x14ac:dyDescent="0.3">
      <c r="A65" s="15">
        <v>62</v>
      </c>
      <c r="B65" s="16" t="s">
        <v>81</v>
      </c>
      <c r="C65" s="17" t="s">
        <v>69</v>
      </c>
      <c r="D65" s="37">
        <v>30.19</v>
      </c>
    </row>
    <row r="66" spans="1:4" s="14" customFormat="1" x14ac:dyDescent="0.3">
      <c r="A66" s="81" t="s">
        <v>82</v>
      </c>
      <c r="B66" s="81"/>
      <c r="C66" s="81"/>
      <c r="D66" s="44"/>
    </row>
    <row r="67" spans="1:4" ht="28.8" x14ac:dyDescent="0.3">
      <c r="A67" s="15">
        <v>63</v>
      </c>
      <c r="B67" s="16" t="s">
        <v>127</v>
      </c>
      <c r="C67" s="17" t="s">
        <v>39</v>
      </c>
      <c r="D67" s="37">
        <v>4</v>
      </c>
    </row>
    <row r="68" spans="1:4" ht="28.8" x14ac:dyDescent="0.3">
      <c r="A68" s="15">
        <v>64</v>
      </c>
      <c r="B68" s="16" t="s">
        <v>133</v>
      </c>
      <c r="C68" s="17" t="s">
        <v>39</v>
      </c>
      <c r="D68" s="37">
        <v>1</v>
      </c>
    </row>
    <row r="69" spans="1:4" ht="28.8" x14ac:dyDescent="0.3">
      <c r="A69" s="15">
        <v>65</v>
      </c>
      <c r="B69" s="16" t="s">
        <v>132</v>
      </c>
      <c r="C69" s="17" t="s">
        <v>39</v>
      </c>
      <c r="D69" s="37">
        <v>2</v>
      </c>
    </row>
    <row r="70" spans="1:4" ht="28.8" x14ac:dyDescent="0.3">
      <c r="A70" s="15">
        <v>66</v>
      </c>
      <c r="B70" s="16" t="s">
        <v>131</v>
      </c>
      <c r="C70" s="17" t="s">
        <v>39</v>
      </c>
      <c r="D70" s="37">
        <v>1</v>
      </c>
    </row>
    <row r="71" spans="1:4" ht="28.8" x14ac:dyDescent="0.3">
      <c r="A71" s="15">
        <v>67</v>
      </c>
      <c r="B71" s="16" t="s">
        <v>130</v>
      </c>
      <c r="C71" s="17" t="s">
        <v>39</v>
      </c>
      <c r="D71" s="37">
        <v>2</v>
      </c>
    </row>
    <row r="72" spans="1:4" ht="28.8" x14ac:dyDescent="0.3">
      <c r="A72" s="15">
        <v>68</v>
      </c>
      <c r="B72" s="16" t="s">
        <v>129</v>
      </c>
      <c r="C72" s="17" t="s">
        <v>39</v>
      </c>
      <c r="D72" s="37">
        <v>1</v>
      </c>
    </row>
    <row r="73" spans="1:4" ht="28.8" x14ac:dyDescent="0.3">
      <c r="A73" s="15">
        <v>69</v>
      </c>
      <c r="B73" s="16" t="s">
        <v>128</v>
      </c>
      <c r="C73" s="17" t="s">
        <v>39</v>
      </c>
      <c r="D73" s="37">
        <v>1</v>
      </c>
    </row>
    <row r="74" spans="1:4" ht="28.8" x14ac:dyDescent="0.3">
      <c r="A74" s="15">
        <v>70</v>
      </c>
      <c r="B74" s="16" t="s">
        <v>118</v>
      </c>
      <c r="C74" s="17" t="s">
        <v>39</v>
      </c>
      <c r="D74" s="37">
        <v>1</v>
      </c>
    </row>
    <row r="75" spans="1:4" ht="28.8" x14ac:dyDescent="0.3">
      <c r="A75" s="15">
        <v>71</v>
      </c>
      <c r="B75" s="16" t="s">
        <v>137</v>
      </c>
      <c r="C75" s="17" t="s">
        <v>39</v>
      </c>
      <c r="D75" s="37">
        <v>1</v>
      </c>
    </row>
    <row r="76" spans="1:4" ht="28.8" x14ac:dyDescent="0.3">
      <c r="A76" s="15">
        <v>72</v>
      </c>
      <c r="B76" s="16" t="s">
        <v>136</v>
      </c>
      <c r="C76" s="17" t="s">
        <v>39</v>
      </c>
      <c r="D76" s="37">
        <v>1</v>
      </c>
    </row>
    <row r="77" spans="1:4" s="20" customFormat="1" ht="28.8" x14ac:dyDescent="0.3">
      <c r="A77" s="15">
        <v>73</v>
      </c>
      <c r="B77" s="16" t="s">
        <v>135</v>
      </c>
      <c r="C77" s="17" t="s">
        <v>39</v>
      </c>
      <c r="D77" s="45">
        <v>1</v>
      </c>
    </row>
    <row r="78" spans="1:4" s="20" customFormat="1" ht="28.8" x14ac:dyDescent="0.3">
      <c r="A78" s="15">
        <v>74</v>
      </c>
      <c r="B78" s="16" t="s">
        <v>134</v>
      </c>
      <c r="C78" s="17" t="s">
        <v>39</v>
      </c>
      <c r="D78" s="45">
        <v>1</v>
      </c>
    </row>
    <row r="79" spans="1:4" s="20" customFormat="1" ht="28.8" x14ac:dyDescent="0.3">
      <c r="A79" s="15">
        <v>75</v>
      </c>
      <c r="B79" s="54" t="s">
        <v>160</v>
      </c>
      <c r="C79" s="17" t="s">
        <v>39</v>
      </c>
      <c r="D79" s="45">
        <v>1</v>
      </c>
    </row>
    <row r="80" spans="1:4" s="20" customFormat="1" ht="15.75" customHeight="1" x14ac:dyDescent="0.3">
      <c r="A80" s="15">
        <v>76</v>
      </c>
      <c r="B80" s="49" t="s">
        <v>41</v>
      </c>
      <c r="C80" s="17" t="s">
        <v>39</v>
      </c>
      <c r="D80" s="45">
        <v>6</v>
      </c>
    </row>
    <row r="81" spans="1:4" s="20" customFormat="1" ht="15.75" customHeight="1" x14ac:dyDescent="0.3">
      <c r="A81" s="15">
        <v>77</v>
      </c>
      <c r="B81" s="49" t="s">
        <v>45</v>
      </c>
      <c r="C81" s="17" t="s">
        <v>39</v>
      </c>
      <c r="D81" s="55">
        <v>2</v>
      </c>
    </row>
    <row r="82" spans="1:4" s="52" customFormat="1" ht="15.75" customHeight="1" x14ac:dyDescent="0.3">
      <c r="A82" s="15">
        <v>78</v>
      </c>
      <c r="B82" s="50" t="s">
        <v>87</v>
      </c>
      <c r="C82" s="38" t="s">
        <v>39</v>
      </c>
      <c r="D82" s="51">
        <v>2</v>
      </c>
    </row>
    <row r="83" spans="1:4" s="20" customFormat="1" ht="15.75" customHeight="1" x14ac:dyDescent="0.3">
      <c r="A83" s="15">
        <v>79</v>
      </c>
      <c r="B83" s="49" t="s">
        <v>42</v>
      </c>
      <c r="C83" s="17" t="s">
        <v>39</v>
      </c>
      <c r="D83" s="45">
        <v>4</v>
      </c>
    </row>
    <row r="84" spans="1:4" s="20" customFormat="1" ht="15.75" customHeight="1" x14ac:dyDescent="0.3">
      <c r="A84" s="15">
        <v>80</v>
      </c>
      <c r="B84" s="49" t="s">
        <v>83</v>
      </c>
      <c r="C84" s="17" t="s">
        <v>39</v>
      </c>
      <c r="D84" s="45">
        <v>12</v>
      </c>
    </row>
    <row r="85" spans="1:4" s="20" customFormat="1" ht="15.75" customHeight="1" x14ac:dyDescent="0.3">
      <c r="A85" s="15">
        <v>81</v>
      </c>
      <c r="B85" s="49" t="s">
        <v>84</v>
      </c>
      <c r="C85" s="17" t="s">
        <v>39</v>
      </c>
      <c r="D85" s="45">
        <v>12</v>
      </c>
    </row>
    <row r="86" spans="1:4" s="20" customFormat="1" ht="15.75" customHeight="1" x14ac:dyDescent="0.3">
      <c r="A86" s="15">
        <v>82</v>
      </c>
      <c r="B86" s="49" t="s">
        <v>48</v>
      </c>
      <c r="C86" s="17" t="s">
        <v>39</v>
      </c>
      <c r="D86" s="45">
        <v>16</v>
      </c>
    </row>
    <row r="87" spans="1:4" s="20" customFormat="1" ht="15.75" customHeight="1" x14ac:dyDescent="0.3">
      <c r="A87" s="15">
        <v>83</v>
      </c>
      <c r="B87" s="49" t="s">
        <v>85</v>
      </c>
      <c r="C87" s="17" t="s">
        <v>39</v>
      </c>
      <c r="D87" s="45">
        <v>2</v>
      </c>
    </row>
    <row r="88" spans="1:4" s="20" customFormat="1" ht="15.75" customHeight="1" x14ac:dyDescent="0.3">
      <c r="A88" s="15">
        <v>84</v>
      </c>
      <c r="B88" s="49" t="s">
        <v>86</v>
      </c>
      <c r="C88" s="17" t="s">
        <v>39</v>
      </c>
      <c r="D88" s="45">
        <v>2</v>
      </c>
    </row>
    <row r="89" spans="1:4" s="20" customFormat="1" ht="15.75" customHeight="1" x14ac:dyDescent="0.3">
      <c r="A89" s="15">
        <v>85</v>
      </c>
      <c r="B89" s="49" t="s">
        <v>56</v>
      </c>
      <c r="C89" s="17" t="s">
        <v>0</v>
      </c>
      <c r="D89" s="45">
        <v>40.159999999999997</v>
      </c>
    </row>
    <row r="90" spans="1:4" s="20" customFormat="1" ht="15.75" customHeight="1" x14ac:dyDescent="0.3">
      <c r="A90" s="15">
        <v>86</v>
      </c>
      <c r="B90" s="49" t="s">
        <v>57</v>
      </c>
      <c r="C90" s="17" t="s">
        <v>0</v>
      </c>
      <c r="D90" s="45">
        <v>12.09</v>
      </c>
    </row>
    <row r="91" spans="1:4" s="20" customFormat="1" ht="15.75" customHeight="1" x14ac:dyDescent="0.3">
      <c r="A91" s="15">
        <v>87</v>
      </c>
      <c r="B91" s="49" t="s">
        <v>58</v>
      </c>
      <c r="C91" s="17" t="s">
        <v>0</v>
      </c>
      <c r="D91" s="45">
        <v>63.81</v>
      </c>
    </row>
    <row r="92" spans="1:4" s="20" customFormat="1" ht="15.75" customHeight="1" x14ac:dyDescent="0.3">
      <c r="A92" s="15">
        <v>88</v>
      </c>
      <c r="B92" s="49" t="s">
        <v>59</v>
      </c>
      <c r="C92" s="17" t="s">
        <v>0</v>
      </c>
      <c r="D92" s="45">
        <v>170.98</v>
      </c>
    </row>
    <row r="93" spans="1:4" s="20" customFormat="1" ht="15.75" customHeight="1" x14ac:dyDescent="0.3">
      <c r="A93" s="15">
        <v>89</v>
      </c>
      <c r="B93" s="49" t="s">
        <v>60</v>
      </c>
      <c r="C93" s="19" t="s">
        <v>0</v>
      </c>
      <c r="D93" s="45">
        <v>28.9</v>
      </c>
    </row>
    <row r="94" spans="1:4" s="20" customFormat="1" ht="15.75" customHeight="1" x14ac:dyDescent="0.3">
      <c r="A94" s="15">
        <v>90</v>
      </c>
      <c r="B94" s="49" t="s">
        <v>61</v>
      </c>
      <c r="C94" s="19" t="s">
        <v>0</v>
      </c>
      <c r="D94" s="45">
        <v>39.42</v>
      </c>
    </row>
    <row r="95" spans="1:4" s="20" customFormat="1" ht="15.75" customHeight="1" x14ac:dyDescent="0.3">
      <c r="A95" s="15">
        <v>91</v>
      </c>
      <c r="B95" s="49" t="s">
        <v>62</v>
      </c>
      <c r="C95" s="19" t="s">
        <v>0</v>
      </c>
      <c r="D95" s="45">
        <v>31.12</v>
      </c>
    </row>
    <row r="96" spans="1:4" s="20" customFormat="1" ht="15.75" customHeight="1" x14ac:dyDescent="0.3">
      <c r="A96" s="15">
        <v>92</v>
      </c>
      <c r="B96" s="49" t="s">
        <v>67</v>
      </c>
      <c r="C96" s="19" t="s">
        <v>0</v>
      </c>
      <c r="D96" s="45">
        <v>165.46</v>
      </c>
    </row>
    <row r="97" spans="1:4" s="20" customFormat="1" ht="15.75" customHeight="1" x14ac:dyDescent="0.3">
      <c r="A97" s="15">
        <v>93</v>
      </c>
      <c r="B97" s="49" t="s">
        <v>68</v>
      </c>
      <c r="C97" s="19" t="s">
        <v>0</v>
      </c>
      <c r="D97" s="45">
        <v>27.94</v>
      </c>
    </row>
    <row r="98" spans="1:4" s="20" customFormat="1" ht="15.75" customHeight="1" x14ac:dyDescent="0.3">
      <c r="A98" s="15">
        <v>94</v>
      </c>
      <c r="B98" s="49" t="s">
        <v>70</v>
      </c>
      <c r="C98" s="19" t="s">
        <v>0</v>
      </c>
      <c r="D98" s="45">
        <v>38.54</v>
      </c>
    </row>
    <row r="99" spans="1:4" s="20" customFormat="1" ht="15.75" customHeight="1" x14ac:dyDescent="0.3">
      <c r="A99" s="15">
        <v>95</v>
      </c>
      <c r="B99" s="49" t="s">
        <v>71</v>
      </c>
      <c r="C99" s="19" t="s">
        <v>0</v>
      </c>
      <c r="D99" s="45">
        <v>31.12</v>
      </c>
    </row>
    <row r="100" spans="1:4" s="20" customFormat="1" ht="28.8" x14ac:dyDescent="0.3">
      <c r="A100" s="15">
        <v>96</v>
      </c>
      <c r="B100" s="49" t="s">
        <v>76</v>
      </c>
      <c r="C100" s="19" t="s">
        <v>0</v>
      </c>
      <c r="D100" s="45">
        <v>40.159999999999997</v>
      </c>
    </row>
    <row r="101" spans="1:4" s="20" customFormat="1" ht="28.8" x14ac:dyDescent="0.3">
      <c r="A101" s="15">
        <v>97</v>
      </c>
      <c r="B101" s="49" t="s">
        <v>77</v>
      </c>
      <c r="C101" s="19" t="s">
        <v>0</v>
      </c>
      <c r="D101" s="55">
        <v>12.65</v>
      </c>
    </row>
    <row r="102" spans="1:4" ht="28.8" x14ac:dyDescent="0.3">
      <c r="A102" s="15">
        <v>98</v>
      </c>
      <c r="B102" s="49" t="s">
        <v>78</v>
      </c>
      <c r="C102" s="17" t="s">
        <v>0</v>
      </c>
      <c r="D102" s="37">
        <v>64.650000000000006</v>
      </c>
    </row>
    <row r="103" spans="1:4" x14ac:dyDescent="0.3">
      <c r="A103" s="15">
        <v>99</v>
      </c>
      <c r="B103" s="16" t="s">
        <v>158</v>
      </c>
      <c r="C103" s="17" t="s">
        <v>159</v>
      </c>
      <c r="D103" s="37">
        <v>1</v>
      </c>
    </row>
    <row r="104" spans="1:4" x14ac:dyDescent="0.3">
      <c r="A104" s="15">
        <v>100</v>
      </c>
      <c r="B104" s="16" t="s">
        <v>80</v>
      </c>
      <c r="C104" s="17" t="s">
        <v>69</v>
      </c>
      <c r="D104" s="37">
        <v>35.520000000000003</v>
      </c>
    </row>
    <row r="105" spans="1:4" x14ac:dyDescent="0.3">
      <c r="A105" s="15">
        <v>101</v>
      </c>
      <c r="B105" s="16" t="s">
        <v>79</v>
      </c>
      <c r="C105" s="17" t="s">
        <v>69</v>
      </c>
      <c r="D105" s="37">
        <v>2.66</v>
      </c>
    </row>
    <row r="106" spans="1:4" x14ac:dyDescent="0.3">
      <c r="A106" s="15">
        <v>102</v>
      </c>
      <c r="B106" s="16" t="s">
        <v>81</v>
      </c>
      <c r="C106" s="17" t="s">
        <v>69</v>
      </c>
      <c r="D106" s="37">
        <v>15.68</v>
      </c>
    </row>
    <row r="107" spans="1:4" s="14" customFormat="1" x14ac:dyDescent="0.3">
      <c r="A107" s="81" t="s">
        <v>88</v>
      </c>
      <c r="B107" s="81"/>
      <c r="C107" s="81"/>
      <c r="D107" s="44"/>
    </row>
    <row r="108" spans="1:4" ht="28.8" x14ac:dyDescent="0.3">
      <c r="A108" s="15">
        <v>103</v>
      </c>
      <c r="B108" s="16" t="s">
        <v>138</v>
      </c>
      <c r="C108" s="17" t="s">
        <v>39</v>
      </c>
      <c r="D108" s="37">
        <v>1</v>
      </c>
    </row>
    <row r="109" spans="1:4" ht="28.8" x14ac:dyDescent="0.3">
      <c r="A109" s="15">
        <v>104</v>
      </c>
      <c r="B109" s="16" t="s">
        <v>140</v>
      </c>
      <c r="C109" s="17" t="s">
        <v>39</v>
      </c>
      <c r="D109" s="37">
        <v>2</v>
      </c>
    </row>
    <row r="110" spans="1:4" ht="28.8" x14ac:dyDescent="0.3">
      <c r="A110" s="15">
        <v>105</v>
      </c>
      <c r="B110" s="16" t="s">
        <v>139</v>
      </c>
      <c r="C110" s="17" t="s">
        <v>39</v>
      </c>
      <c r="D110" s="37">
        <v>1</v>
      </c>
    </row>
    <row r="111" spans="1:4" ht="28.8" x14ac:dyDescent="0.3">
      <c r="A111" s="15">
        <v>106</v>
      </c>
      <c r="B111" s="16" t="s">
        <v>161</v>
      </c>
      <c r="C111" s="17" t="s">
        <v>39</v>
      </c>
      <c r="D111" s="46">
        <v>1</v>
      </c>
    </row>
    <row r="112" spans="1:4" ht="28.8" x14ac:dyDescent="0.3">
      <c r="A112" s="15">
        <v>107</v>
      </c>
      <c r="B112" s="16" t="s">
        <v>162</v>
      </c>
      <c r="C112" s="17" t="s">
        <v>39</v>
      </c>
      <c r="D112" s="37">
        <v>4</v>
      </c>
    </row>
    <row r="113" spans="1:4" ht="28.8" x14ac:dyDescent="0.3">
      <c r="A113" s="15">
        <v>108</v>
      </c>
      <c r="B113" s="16" t="s">
        <v>163</v>
      </c>
      <c r="C113" s="17" t="s">
        <v>39</v>
      </c>
      <c r="D113" s="37">
        <v>1</v>
      </c>
    </row>
    <row r="114" spans="1:4" ht="28.8" x14ac:dyDescent="0.3">
      <c r="A114" s="15">
        <v>109</v>
      </c>
      <c r="B114" s="16" t="s">
        <v>164</v>
      </c>
      <c r="C114" s="17" t="s">
        <v>39</v>
      </c>
      <c r="D114" s="37">
        <v>2</v>
      </c>
    </row>
    <row r="115" spans="1:4" ht="28.8" x14ac:dyDescent="0.3">
      <c r="A115" s="15">
        <v>110</v>
      </c>
      <c r="B115" s="16" t="s">
        <v>170</v>
      </c>
      <c r="C115" s="17" t="s">
        <v>39</v>
      </c>
      <c r="D115" s="37">
        <v>1</v>
      </c>
    </row>
    <row r="116" spans="1:4" ht="28.8" x14ac:dyDescent="0.3">
      <c r="A116" s="15">
        <v>111</v>
      </c>
      <c r="B116" s="16" t="s">
        <v>165</v>
      </c>
      <c r="C116" s="17" t="s">
        <v>39</v>
      </c>
      <c r="D116" s="37">
        <v>3</v>
      </c>
    </row>
    <row r="117" spans="1:4" ht="28.8" x14ac:dyDescent="0.3">
      <c r="A117" s="15">
        <v>112</v>
      </c>
      <c r="B117" s="16" t="s">
        <v>166</v>
      </c>
      <c r="C117" s="17" t="s">
        <v>39</v>
      </c>
      <c r="D117" s="37">
        <v>1</v>
      </c>
    </row>
    <row r="118" spans="1:4" ht="28.8" x14ac:dyDescent="0.3">
      <c r="A118" s="15">
        <v>113</v>
      </c>
      <c r="B118" s="16" t="s">
        <v>167</v>
      </c>
      <c r="C118" s="17" t="s">
        <v>39</v>
      </c>
      <c r="D118" s="37">
        <v>1</v>
      </c>
    </row>
    <row r="119" spans="1:4" ht="28.8" x14ac:dyDescent="0.3">
      <c r="A119" s="15">
        <v>114</v>
      </c>
      <c r="B119" s="16" t="s">
        <v>168</v>
      </c>
      <c r="C119" s="17" t="s">
        <v>39</v>
      </c>
      <c r="D119" s="37">
        <v>1</v>
      </c>
    </row>
    <row r="120" spans="1:4" x14ac:dyDescent="0.3">
      <c r="A120" s="15">
        <v>115</v>
      </c>
      <c r="B120" s="16" t="s">
        <v>41</v>
      </c>
      <c r="C120" s="17" t="s">
        <v>39</v>
      </c>
      <c r="D120" s="37">
        <v>19</v>
      </c>
    </row>
    <row r="121" spans="1:4" x14ac:dyDescent="0.3">
      <c r="A121" s="15">
        <v>116</v>
      </c>
      <c r="B121" s="16" t="s">
        <v>45</v>
      </c>
      <c r="C121" s="17" t="s">
        <v>39</v>
      </c>
      <c r="D121" s="37">
        <v>19</v>
      </c>
    </row>
    <row r="122" spans="1:4" s="34" customFormat="1" x14ac:dyDescent="0.3">
      <c r="A122" s="15">
        <v>117</v>
      </c>
      <c r="B122" s="39" t="s">
        <v>91</v>
      </c>
      <c r="C122" s="17" t="s">
        <v>39</v>
      </c>
      <c r="D122" s="37">
        <v>6</v>
      </c>
    </row>
    <row r="123" spans="1:4" s="34" customFormat="1" x14ac:dyDescent="0.3">
      <c r="A123" s="15">
        <v>118</v>
      </c>
      <c r="B123" s="39" t="s">
        <v>51</v>
      </c>
      <c r="C123" s="38" t="s">
        <v>39</v>
      </c>
      <c r="D123" s="48">
        <v>19</v>
      </c>
    </row>
    <row r="124" spans="1:4" x14ac:dyDescent="0.3">
      <c r="A124" s="15">
        <v>119</v>
      </c>
      <c r="B124" s="16" t="s">
        <v>42</v>
      </c>
      <c r="C124" s="17" t="s">
        <v>39</v>
      </c>
      <c r="D124" s="37">
        <v>12</v>
      </c>
    </row>
    <row r="125" spans="1:4" x14ac:dyDescent="0.3">
      <c r="A125" s="15">
        <v>120</v>
      </c>
      <c r="B125" s="16" t="s">
        <v>89</v>
      </c>
      <c r="C125" s="17" t="s">
        <v>39</v>
      </c>
      <c r="D125" s="37">
        <v>3</v>
      </c>
    </row>
    <row r="126" spans="1:4" x14ac:dyDescent="0.3">
      <c r="A126" s="15">
        <v>121</v>
      </c>
      <c r="B126" s="16" t="s">
        <v>90</v>
      </c>
      <c r="C126" s="17" t="s">
        <v>39</v>
      </c>
      <c r="D126" s="37">
        <v>3</v>
      </c>
    </row>
    <row r="127" spans="1:4" x14ac:dyDescent="0.3">
      <c r="A127" s="15">
        <v>122</v>
      </c>
      <c r="B127" s="16" t="s">
        <v>157</v>
      </c>
      <c r="C127" s="17" t="s">
        <v>39</v>
      </c>
      <c r="D127" s="37">
        <v>21</v>
      </c>
    </row>
    <row r="128" spans="1:4" x14ac:dyDescent="0.3">
      <c r="A128" s="15">
        <v>123</v>
      </c>
      <c r="B128" s="16" t="s">
        <v>169</v>
      </c>
      <c r="C128" s="17" t="s">
        <v>39</v>
      </c>
      <c r="D128" s="37">
        <v>9</v>
      </c>
    </row>
    <row r="129" spans="1:4" x14ac:dyDescent="0.3">
      <c r="A129" s="15">
        <v>124</v>
      </c>
      <c r="B129" s="16" t="s">
        <v>92</v>
      </c>
      <c r="C129" s="17" t="s">
        <v>39</v>
      </c>
      <c r="D129" s="37">
        <v>3</v>
      </c>
    </row>
    <row r="130" spans="1:4" x14ac:dyDescent="0.3">
      <c r="A130" s="15">
        <v>125</v>
      </c>
      <c r="B130" s="16" t="s">
        <v>93</v>
      </c>
      <c r="C130" s="17" t="s">
        <v>39</v>
      </c>
      <c r="D130" s="37">
        <v>3</v>
      </c>
    </row>
    <row r="131" spans="1:4" x14ac:dyDescent="0.3">
      <c r="A131" s="15">
        <v>126</v>
      </c>
      <c r="B131" s="49" t="s">
        <v>56</v>
      </c>
      <c r="C131" s="17" t="s">
        <v>0</v>
      </c>
      <c r="D131" s="37">
        <v>165.64</v>
      </c>
    </row>
    <row r="132" spans="1:4" x14ac:dyDescent="0.3">
      <c r="A132" s="15">
        <v>127</v>
      </c>
      <c r="B132" s="49" t="s">
        <v>57</v>
      </c>
      <c r="C132" s="17" t="s">
        <v>0</v>
      </c>
      <c r="D132" s="37">
        <v>186.99</v>
      </c>
    </row>
    <row r="133" spans="1:4" x14ac:dyDescent="0.3">
      <c r="A133" s="15">
        <v>128</v>
      </c>
      <c r="B133" s="49" t="s">
        <v>58</v>
      </c>
      <c r="C133" s="17" t="s">
        <v>0</v>
      </c>
      <c r="D133" s="37">
        <v>26.43</v>
      </c>
    </row>
    <row r="134" spans="1:4" x14ac:dyDescent="0.3">
      <c r="A134" s="15">
        <v>129</v>
      </c>
      <c r="B134" s="49" t="s">
        <v>59</v>
      </c>
      <c r="C134" s="17" t="s">
        <v>0</v>
      </c>
      <c r="D134" s="37">
        <v>20.6</v>
      </c>
    </row>
    <row r="135" spans="1:4" x14ac:dyDescent="0.3">
      <c r="A135" s="15">
        <v>130</v>
      </c>
      <c r="B135" s="49" t="s">
        <v>60</v>
      </c>
      <c r="C135" s="19" t="s">
        <v>0</v>
      </c>
      <c r="D135" s="37">
        <v>83.11</v>
      </c>
    </row>
    <row r="136" spans="1:4" x14ac:dyDescent="0.3">
      <c r="A136" s="15">
        <v>131</v>
      </c>
      <c r="B136" s="49" t="s">
        <v>61</v>
      </c>
      <c r="C136" s="19" t="s">
        <v>0</v>
      </c>
      <c r="D136" s="37">
        <v>45.22</v>
      </c>
    </row>
    <row r="137" spans="1:4" x14ac:dyDescent="0.3">
      <c r="A137" s="15">
        <v>132</v>
      </c>
      <c r="B137" s="49" t="s">
        <v>62</v>
      </c>
      <c r="C137" s="19" t="s">
        <v>0</v>
      </c>
      <c r="D137" s="37">
        <v>2.7</v>
      </c>
    </row>
    <row r="138" spans="1:4" x14ac:dyDescent="0.3">
      <c r="A138" s="15">
        <v>133</v>
      </c>
      <c r="B138" s="49" t="s">
        <v>67</v>
      </c>
      <c r="C138" s="19" t="s">
        <v>0</v>
      </c>
      <c r="D138" s="37">
        <v>20.6</v>
      </c>
    </row>
    <row r="139" spans="1:4" x14ac:dyDescent="0.3">
      <c r="A139" s="15">
        <v>134</v>
      </c>
      <c r="B139" s="49" t="s">
        <v>68</v>
      </c>
      <c r="C139" s="19" t="s">
        <v>0</v>
      </c>
      <c r="D139" s="37">
        <v>80.27</v>
      </c>
    </row>
    <row r="140" spans="1:4" x14ac:dyDescent="0.3">
      <c r="A140" s="15">
        <v>135</v>
      </c>
      <c r="B140" s="49" t="s">
        <v>70</v>
      </c>
      <c r="C140" s="19" t="s">
        <v>0</v>
      </c>
      <c r="D140" s="37">
        <v>45.22</v>
      </c>
    </row>
    <row r="141" spans="1:4" x14ac:dyDescent="0.3">
      <c r="A141" s="15">
        <v>136</v>
      </c>
      <c r="B141" s="49" t="s">
        <v>71</v>
      </c>
      <c r="C141" s="19" t="s">
        <v>0</v>
      </c>
      <c r="D141" s="37">
        <v>2.7</v>
      </c>
    </row>
    <row r="142" spans="1:4" ht="28.8" x14ac:dyDescent="0.3">
      <c r="A142" s="15">
        <v>137</v>
      </c>
      <c r="B142" s="49" t="s">
        <v>76</v>
      </c>
      <c r="C142" s="19" t="s">
        <v>0</v>
      </c>
      <c r="D142" s="37">
        <v>165.64</v>
      </c>
    </row>
    <row r="143" spans="1:4" ht="28.8" x14ac:dyDescent="0.3">
      <c r="A143" s="15">
        <v>138</v>
      </c>
      <c r="B143" s="49" t="s">
        <v>77</v>
      </c>
      <c r="C143" s="19" t="s">
        <v>0</v>
      </c>
      <c r="D143" s="37">
        <v>190.11</v>
      </c>
    </row>
    <row r="144" spans="1:4" ht="28.8" x14ac:dyDescent="0.3">
      <c r="A144" s="15">
        <v>139</v>
      </c>
      <c r="B144" s="49" t="s">
        <v>78</v>
      </c>
      <c r="C144" s="17" t="s">
        <v>0</v>
      </c>
      <c r="D144" s="37">
        <v>26.43</v>
      </c>
    </row>
    <row r="145" spans="1:4" x14ac:dyDescent="0.3">
      <c r="A145" s="15">
        <v>140</v>
      </c>
      <c r="B145" s="16" t="s">
        <v>158</v>
      </c>
      <c r="C145" s="17" t="s">
        <v>159</v>
      </c>
      <c r="D145" s="37">
        <v>1</v>
      </c>
    </row>
    <row r="146" spans="1:4" x14ac:dyDescent="0.3">
      <c r="A146" s="15">
        <v>141</v>
      </c>
      <c r="B146" s="16" t="s">
        <v>80</v>
      </c>
      <c r="C146" s="17" t="s">
        <v>69</v>
      </c>
      <c r="D146" s="37">
        <v>17.61</v>
      </c>
    </row>
    <row r="147" spans="1:4" x14ac:dyDescent="0.3">
      <c r="A147" s="15">
        <v>142</v>
      </c>
      <c r="B147" s="16" t="s">
        <v>79</v>
      </c>
      <c r="C147" s="17" t="s">
        <v>69</v>
      </c>
      <c r="D147" s="37">
        <v>1.62</v>
      </c>
    </row>
    <row r="148" spans="1:4" x14ac:dyDescent="0.3">
      <c r="A148" s="15">
        <v>143</v>
      </c>
      <c r="B148" s="16" t="s">
        <v>81</v>
      </c>
      <c r="C148" s="17" t="s">
        <v>69</v>
      </c>
      <c r="D148" s="37">
        <v>9.6</v>
      </c>
    </row>
    <row r="149" spans="1:4" s="14" customFormat="1" x14ac:dyDescent="0.3">
      <c r="A149" s="81" t="s">
        <v>94</v>
      </c>
      <c r="B149" s="81"/>
      <c r="C149" s="81"/>
      <c r="D149" s="44"/>
    </row>
    <row r="150" spans="1:4" ht="28.8" x14ac:dyDescent="0.3">
      <c r="A150" s="15">
        <v>144</v>
      </c>
      <c r="B150" s="16" t="s">
        <v>156</v>
      </c>
      <c r="C150" s="17" t="s">
        <v>39</v>
      </c>
      <c r="D150" s="37">
        <v>14</v>
      </c>
    </row>
    <row r="151" spans="1:4" ht="28.8" x14ac:dyDescent="0.3">
      <c r="A151" s="15">
        <v>145</v>
      </c>
      <c r="B151" s="16" t="s">
        <v>155</v>
      </c>
      <c r="C151" s="17" t="s">
        <v>39</v>
      </c>
      <c r="D151" s="37">
        <v>2</v>
      </c>
    </row>
    <row r="152" spans="1:4" ht="28.8" x14ac:dyDescent="0.3">
      <c r="A152" s="15">
        <v>146</v>
      </c>
      <c r="B152" s="16" t="s">
        <v>154</v>
      </c>
      <c r="C152" s="17" t="s">
        <v>39</v>
      </c>
      <c r="D152" s="37">
        <v>2</v>
      </c>
    </row>
    <row r="153" spans="1:4" ht="28.8" x14ac:dyDescent="0.3">
      <c r="A153" s="15">
        <v>147</v>
      </c>
      <c r="B153" s="16" t="s">
        <v>153</v>
      </c>
      <c r="C153" s="17" t="s">
        <v>39</v>
      </c>
      <c r="D153" s="37">
        <v>29</v>
      </c>
    </row>
    <row r="154" spans="1:4" ht="28.8" x14ac:dyDescent="0.3">
      <c r="A154" s="15">
        <v>148</v>
      </c>
      <c r="B154" s="16" t="s">
        <v>152</v>
      </c>
      <c r="C154" s="17" t="s">
        <v>39</v>
      </c>
      <c r="D154" s="37">
        <v>17</v>
      </c>
    </row>
    <row r="155" spans="1:4" ht="28.8" x14ac:dyDescent="0.3">
      <c r="A155" s="15">
        <v>149</v>
      </c>
      <c r="B155" s="16" t="s">
        <v>151</v>
      </c>
      <c r="C155" s="17" t="s">
        <v>39</v>
      </c>
      <c r="D155" s="37">
        <v>40</v>
      </c>
    </row>
    <row r="156" spans="1:4" ht="28.8" x14ac:dyDescent="0.3">
      <c r="A156" s="15">
        <v>150</v>
      </c>
      <c r="B156" s="16" t="s">
        <v>112</v>
      </c>
      <c r="C156" s="17" t="s">
        <v>39</v>
      </c>
      <c r="D156" s="37">
        <v>29</v>
      </c>
    </row>
    <row r="157" spans="1:4" ht="28.8" x14ac:dyDescent="0.3">
      <c r="A157" s="15">
        <v>151</v>
      </c>
      <c r="B157" s="16" t="s">
        <v>150</v>
      </c>
      <c r="C157" s="17" t="s">
        <v>39</v>
      </c>
      <c r="D157" s="37">
        <v>23</v>
      </c>
    </row>
    <row r="158" spans="1:4" ht="28.8" x14ac:dyDescent="0.3">
      <c r="A158" s="15">
        <v>152</v>
      </c>
      <c r="B158" s="16" t="s">
        <v>149</v>
      </c>
      <c r="C158" s="17" t="s">
        <v>39</v>
      </c>
      <c r="D158" s="37">
        <v>16</v>
      </c>
    </row>
    <row r="159" spans="1:4" ht="28.8" x14ac:dyDescent="0.3">
      <c r="A159" s="15">
        <v>153</v>
      </c>
      <c r="B159" s="16" t="s">
        <v>148</v>
      </c>
      <c r="C159" s="17" t="s">
        <v>39</v>
      </c>
      <c r="D159" s="37">
        <v>6</v>
      </c>
    </row>
    <row r="160" spans="1:4" ht="28.8" x14ac:dyDescent="0.3">
      <c r="A160" s="15">
        <v>154</v>
      </c>
      <c r="B160" s="16" t="s">
        <v>147</v>
      </c>
      <c r="C160" s="17" t="s">
        <v>39</v>
      </c>
      <c r="D160" s="37">
        <v>13</v>
      </c>
    </row>
    <row r="161" spans="1:4" ht="28.8" x14ac:dyDescent="0.3">
      <c r="A161" s="15">
        <v>155</v>
      </c>
      <c r="B161" s="16" t="s">
        <v>146</v>
      </c>
      <c r="C161" s="17" t="s">
        <v>39</v>
      </c>
      <c r="D161" s="37">
        <v>1</v>
      </c>
    </row>
    <row r="162" spans="1:4" ht="28.8" x14ac:dyDescent="0.3">
      <c r="A162" s="15">
        <v>156</v>
      </c>
      <c r="B162" s="16" t="s">
        <v>145</v>
      </c>
      <c r="C162" s="17" t="s">
        <v>39</v>
      </c>
      <c r="D162" s="37">
        <v>27</v>
      </c>
    </row>
    <row r="163" spans="1:4" ht="28.8" x14ac:dyDescent="0.3">
      <c r="A163" s="15">
        <v>157</v>
      </c>
      <c r="B163" s="16" t="s">
        <v>144</v>
      </c>
      <c r="C163" s="17" t="s">
        <v>39</v>
      </c>
      <c r="D163" s="37">
        <v>13</v>
      </c>
    </row>
    <row r="164" spans="1:4" ht="28.8" x14ac:dyDescent="0.3">
      <c r="A164" s="15">
        <v>158</v>
      </c>
      <c r="B164" s="16" t="s">
        <v>138</v>
      </c>
      <c r="C164" s="17" t="s">
        <v>39</v>
      </c>
      <c r="D164" s="37">
        <v>32</v>
      </c>
    </row>
    <row r="165" spans="1:4" ht="28.8" x14ac:dyDescent="0.3">
      <c r="A165" s="15">
        <v>159</v>
      </c>
      <c r="B165" s="16" t="s">
        <v>143</v>
      </c>
      <c r="C165" s="17" t="s">
        <v>39</v>
      </c>
      <c r="D165" s="37">
        <v>14</v>
      </c>
    </row>
    <row r="166" spans="1:4" ht="28.8" x14ac:dyDescent="0.3">
      <c r="A166" s="15">
        <v>160</v>
      </c>
      <c r="B166" s="16" t="s">
        <v>142</v>
      </c>
      <c r="C166" s="17" t="s">
        <v>39</v>
      </c>
      <c r="D166" s="37">
        <v>2</v>
      </c>
    </row>
    <row r="167" spans="1:4" ht="28.8" x14ac:dyDescent="0.3">
      <c r="A167" s="15">
        <v>161</v>
      </c>
      <c r="B167" s="16" t="s">
        <v>140</v>
      </c>
      <c r="C167" s="17" t="s">
        <v>39</v>
      </c>
      <c r="D167" s="37">
        <v>13</v>
      </c>
    </row>
    <row r="168" spans="1:4" ht="28.8" x14ac:dyDescent="0.3">
      <c r="A168" s="15">
        <v>162</v>
      </c>
      <c r="B168" s="16" t="s">
        <v>141</v>
      </c>
      <c r="C168" s="17" t="s">
        <v>39</v>
      </c>
      <c r="D168" s="37">
        <v>1</v>
      </c>
    </row>
    <row r="169" spans="1:4" x14ac:dyDescent="0.3">
      <c r="A169" s="15">
        <v>163</v>
      </c>
      <c r="B169" s="16" t="s">
        <v>41</v>
      </c>
      <c r="C169" s="17" t="s">
        <v>39</v>
      </c>
      <c r="D169" s="37">
        <v>294</v>
      </c>
    </row>
    <row r="170" spans="1:4" x14ac:dyDescent="0.3">
      <c r="A170" s="15">
        <v>164</v>
      </c>
      <c r="B170" s="16" t="s">
        <v>45</v>
      </c>
      <c r="C170" s="17" t="s">
        <v>39</v>
      </c>
      <c r="D170" s="37">
        <v>294</v>
      </c>
    </row>
    <row r="171" spans="1:4" s="34" customFormat="1" x14ac:dyDescent="0.3">
      <c r="A171" s="15">
        <v>165</v>
      </c>
      <c r="B171" s="39" t="s">
        <v>55</v>
      </c>
      <c r="C171" s="17" t="s">
        <v>39</v>
      </c>
      <c r="D171" s="37">
        <v>98</v>
      </c>
    </row>
    <row r="172" spans="1:4" s="34" customFormat="1" x14ac:dyDescent="0.3">
      <c r="A172" s="15">
        <v>166</v>
      </c>
      <c r="B172" s="39" t="s">
        <v>51</v>
      </c>
      <c r="C172" s="38" t="s">
        <v>39</v>
      </c>
      <c r="D172" s="48">
        <v>294</v>
      </c>
    </row>
    <row r="173" spans="1:4" x14ac:dyDescent="0.3">
      <c r="A173" s="15">
        <v>167</v>
      </c>
      <c r="B173" s="16" t="s">
        <v>42</v>
      </c>
      <c r="C173" s="17" t="s">
        <v>39</v>
      </c>
      <c r="D173" s="37">
        <v>4</v>
      </c>
    </row>
    <row r="174" spans="1:4" x14ac:dyDescent="0.3">
      <c r="A174" s="15">
        <v>168</v>
      </c>
      <c r="B174" s="16" t="s">
        <v>53</v>
      </c>
      <c r="C174" s="17" t="s">
        <v>39</v>
      </c>
      <c r="D174" s="37">
        <v>14</v>
      </c>
    </row>
    <row r="175" spans="1:4" x14ac:dyDescent="0.3">
      <c r="A175" s="15">
        <v>169</v>
      </c>
      <c r="B175" s="16" t="s">
        <v>100</v>
      </c>
      <c r="C175" s="17" t="s">
        <v>39</v>
      </c>
      <c r="D175" s="37">
        <v>14</v>
      </c>
    </row>
    <row r="176" spans="1:4" x14ac:dyDescent="0.3">
      <c r="A176" s="15">
        <v>170</v>
      </c>
      <c r="B176" s="16" t="s">
        <v>46</v>
      </c>
      <c r="C176" s="17" t="s">
        <v>39</v>
      </c>
      <c r="D176" s="37">
        <v>4</v>
      </c>
    </row>
    <row r="177" spans="1:4" x14ac:dyDescent="0.3">
      <c r="A177" s="15">
        <v>171</v>
      </c>
      <c r="B177" s="16" t="s">
        <v>47</v>
      </c>
      <c r="C177" s="17" t="s">
        <v>39</v>
      </c>
      <c r="D177" s="37">
        <v>2</v>
      </c>
    </row>
    <row r="178" spans="1:4" x14ac:dyDescent="0.3">
      <c r="A178" s="15">
        <v>172</v>
      </c>
      <c r="B178" s="16" t="s">
        <v>97</v>
      </c>
      <c r="C178" s="17" t="s">
        <v>39</v>
      </c>
      <c r="D178" s="37">
        <v>2</v>
      </c>
    </row>
    <row r="179" spans="1:4" x14ac:dyDescent="0.3">
      <c r="A179" s="15">
        <v>173</v>
      </c>
      <c r="B179" s="16" t="s">
        <v>48</v>
      </c>
      <c r="C179" s="17" t="s">
        <v>39</v>
      </c>
      <c r="D179" s="37">
        <v>4</v>
      </c>
    </row>
    <row r="180" spans="1:4" x14ac:dyDescent="0.3">
      <c r="A180" s="15">
        <v>174</v>
      </c>
      <c r="B180" s="16" t="s">
        <v>95</v>
      </c>
      <c r="C180" s="17" t="s">
        <v>39</v>
      </c>
      <c r="D180" s="37">
        <v>4</v>
      </c>
    </row>
    <row r="181" spans="1:4" x14ac:dyDescent="0.3">
      <c r="A181" s="15">
        <v>175</v>
      </c>
      <c r="B181" s="16" t="s">
        <v>171</v>
      </c>
      <c r="C181" s="17" t="s">
        <v>39</v>
      </c>
      <c r="D181" s="37">
        <v>12</v>
      </c>
    </row>
    <row r="182" spans="1:4" x14ac:dyDescent="0.3">
      <c r="A182" s="15">
        <v>176</v>
      </c>
      <c r="B182" s="16" t="s">
        <v>96</v>
      </c>
      <c r="C182" s="17" t="s">
        <v>39</v>
      </c>
      <c r="D182" s="37">
        <v>4</v>
      </c>
    </row>
    <row r="183" spans="1:4" x14ac:dyDescent="0.3">
      <c r="A183" s="15">
        <v>177</v>
      </c>
      <c r="B183" s="16" t="s">
        <v>98</v>
      </c>
      <c r="C183" s="17" t="s">
        <v>39</v>
      </c>
      <c r="D183" s="37">
        <v>4</v>
      </c>
    </row>
    <row r="184" spans="1:4" x14ac:dyDescent="0.3">
      <c r="A184" s="15">
        <v>178</v>
      </c>
      <c r="B184" s="16" t="s">
        <v>50</v>
      </c>
      <c r="C184" s="17" t="s">
        <v>39</v>
      </c>
      <c r="D184" s="37">
        <v>14</v>
      </c>
    </row>
    <row r="185" spans="1:4" x14ac:dyDescent="0.3">
      <c r="A185" s="15">
        <v>179</v>
      </c>
      <c r="B185" s="16" t="s">
        <v>99</v>
      </c>
      <c r="C185" s="17" t="s">
        <v>39</v>
      </c>
      <c r="D185" s="37">
        <v>6</v>
      </c>
    </row>
    <row r="186" spans="1:4" x14ac:dyDescent="0.3">
      <c r="A186" s="15">
        <v>180</v>
      </c>
      <c r="B186" s="49" t="s">
        <v>56</v>
      </c>
      <c r="C186" s="17" t="s">
        <v>0</v>
      </c>
      <c r="D186" s="37">
        <v>6281.78</v>
      </c>
    </row>
    <row r="187" spans="1:4" x14ac:dyDescent="0.3">
      <c r="A187" s="15">
        <v>181</v>
      </c>
      <c r="B187" s="49" t="s">
        <v>57</v>
      </c>
      <c r="C187" s="17" t="s">
        <v>0</v>
      </c>
      <c r="D187" s="37">
        <v>1957.5</v>
      </c>
    </row>
    <row r="188" spans="1:4" x14ac:dyDescent="0.3">
      <c r="A188" s="15">
        <v>182</v>
      </c>
      <c r="B188" s="49" t="s">
        <v>59</v>
      </c>
      <c r="C188" s="17" t="s">
        <v>0</v>
      </c>
      <c r="D188" s="37">
        <v>1.24</v>
      </c>
    </row>
    <row r="189" spans="1:4" x14ac:dyDescent="0.3">
      <c r="A189" s="15">
        <v>183</v>
      </c>
      <c r="B189" s="49" t="s">
        <v>60</v>
      </c>
      <c r="C189" s="17" t="s">
        <v>0</v>
      </c>
      <c r="D189" s="37">
        <v>15.17</v>
      </c>
    </row>
    <row r="190" spans="1:4" x14ac:dyDescent="0.3">
      <c r="A190" s="15">
        <v>184</v>
      </c>
      <c r="B190" s="49" t="s">
        <v>61</v>
      </c>
      <c r="C190" s="19" t="s">
        <v>0</v>
      </c>
      <c r="D190" s="37">
        <v>26.26</v>
      </c>
    </row>
    <row r="191" spans="1:4" x14ac:dyDescent="0.3">
      <c r="A191" s="15">
        <v>185</v>
      </c>
      <c r="B191" s="49" t="s">
        <v>62</v>
      </c>
      <c r="C191" s="19" t="s">
        <v>0</v>
      </c>
      <c r="D191" s="37">
        <v>12.27</v>
      </c>
    </row>
    <row r="192" spans="1:4" x14ac:dyDescent="0.3">
      <c r="A192" s="15">
        <v>186</v>
      </c>
      <c r="B192" s="49" t="s">
        <v>63</v>
      </c>
      <c r="C192" s="19" t="s">
        <v>0</v>
      </c>
      <c r="D192" s="37">
        <v>18.399999999999999</v>
      </c>
    </row>
    <row r="193" spans="1:4" ht="28.8" x14ac:dyDescent="0.3">
      <c r="A193" s="15">
        <v>187</v>
      </c>
      <c r="B193" s="16" t="s">
        <v>64</v>
      </c>
      <c r="C193" s="19" t="s">
        <v>0</v>
      </c>
      <c r="D193" s="37">
        <v>28.77</v>
      </c>
    </row>
    <row r="194" spans="1:4" ht="28.8" x14ac:dyDescent="0.3">
      <c r="A194" s="15">
        <v>188</v>
      </c>
      <c r="B194" s="16" t="s">
        <v>65</v>
      </c>
      <c r="C194" s="19" t="s">
        <v>0</v>
      </c>
      <c r="D194" s="37">
        <v>181.11</v>
      </c>
    </row>
    <row r="195" spans="1:4" ht="28.8" x14ac:dyDescent="0.3">
      <c r="A195" s="15">
        <v>189</v>
      </c>
      <c r="B195" s="16" t="s">
        <v>101</v>
      </c>
      <c r="C195" s="19" t="s">
        <v>0</v>
      </c>
      <c r="D195" s="37">
        <v>112.17</v>
      </c>
    </row>
    <row r="196" spans="1:4" ht="28.8" x14ac:dyDescent="0.3">
      <c r="A196" s="15">
        <v>190</v>
      </c>
      <c r="B196" s="16" t="s">
        <v>102</v>
      </c>
      <c r="C196" s="19" t="s">
        <v>0</v>
      </c>
      <c r="D196" s="37">
        <v>9.34</v>
      </c>
    </row>
    <row r="197" spans="1:4" x14ac:dyDescent="0.3">
      <c r="A197" s="15">
        <v>191</v>
      </c>
      <c r="B197" s="49" t="s">
        <v>67</v>
      </c>
      <c r="C197" s="19" t="s">
        <v>0</v>
      </c>
      <c r="D197" s="37">
        <v>1.24</v>
      </c>
    </row>
    <row r="198" spans="1:4" x14ac:dyDescent="0.3">
      <c r="A198" s="15">
        <v>192</v>
      </c>
      <c r="B198" s="49" t="s">
        <v>68</v>
      </c>
      <c r="C198" s="19" t="s">
        <v>0</v>
      </c>
      <c r="D198" s="37">
        <v>2.14</v>
      </c>
    </row>
    <row r="199" spans="1:4" x14ac:dyDescent="0.3">
      <c r="A199" s="15">
        <v>193</v>
      </c>
      <c r="B199" s="49" t="s">
        <v>70</v>
      </c>
      <c r="C199" s="19" t="s">
        <v>0</v>
      </c>
      <c r="D199" s="37">
        <v>26.08</v>
      </c>
    </row>
    <row r="200" spans="1:4" x14ac:dyDescent="0.3">
      <c r="A200" s="15">
        <v>194</v>
      </c>
      <c r="B200" s="49" t="s">
        <v>71</v>
      </c>
      <c r="C200" s="19" t="s">
        <v>0</v>
      </c>
      <c r="D200" s="37">
        <v>12.27</v>
      </c>
    </row>
    <row r="201" spans="1:4" x14ac:dyDescent="0.3">
      <c r="A201" s="15">
        <v>195</v>
      </c>
      <c r="B201" s="49" t="s">
        <v>72</v>
      </c>
      <c r="C201" s="19" t="s">
        <v>0</v>
      </c>
      <c r="D201" s="37">
        <v>18.399999999999999</v>
      </c>
    </row>
    <row r="202" spans="1:4" x14ac:dyDescent="0.3">
      <c r="A202" s="15">
        <v>196</v>
      </c>
      <c r="B202" s="49" t="s">
        <v>73</v>
      </c>
      <c r="C202" s="19" t="s">
        <v>0</v>
      </c>
      <c r="D202" s="37">
        <v>28.77</v>
      </c>
    </row>
    <row r="203" spans="1:4" x14ac:dyDescent="0.3">
      <c r="A203" s="15">
        <v>197</v>
      </c>
      <c r="B203" s="49" t="s">
        <v>74</v>
      </c>
      <c r="C203" s="19" t="s">
        <v>0</v>
      </c>
      <c r="D203" s="37">
        <v>181.11</v>
      </c>
    </row>
    <row r="204" spans="1:4" x14ac:dyDescent="0.3">
      <c r="A204" s="15">
        <v>198</v>
      </c>
      <c r="B204" s="49" t="s">
        <v>103</v>
      </c>
      <c r="C204" s="19" t="s">
        <v>0</v>
      </c>
      <c r="D204" s="37">
        <v>112.17</v>
      </c>
    </row>
    <row r="205" spans="1:4" x14ac:dyDescent="0.3">
      <c r="A205" s="15">
        <v>199</v>
      </c>
      <c r="B205" s="49" t="s">
        <v>104</v>
      </c>
      <c r="C205" s="19" t="s">
        <v>0</v>
      </c>
      <c r="D205" s="37">
        <v>9.34</v>
      </c>
    </row>
    <row r="206" spans="1:4" ht="28.8" x14ac:dyDescent="0.3">
      <c r="A206" s="15">
        <v>200</v>
      </c>
      <c r="B206" s="49" t="s">
        <v>76</v>
      </c>
      <c r="C206" s="19" t="s">
        <v>0</v>
      </c>
      <c r="D206" s="37">
        <v>5938</v>
      </c>
    </row>
    <row r="207" spans="1:4" ht="28.8" x14ac:dyDescent="0.3">
      <c r="A207" s="15">
        <v>201</v>
      </c>
      <c r="B207" s="49" t="s">
        <v>77</v>
      </c>
      <c r="C207" s="17" t="s">
        <v>0</v>
      </c>
      <c r="D207" s="37">
        <v>1897.62</v>
      </c>
    </row>
    <row r="208" spans="1:4" x14ac:dyDescent="0.3">
      <c r="A208" s="15">
        <v>202</v>
      </c>
      <c r="B208" s="16" t="s">
        <v>158</v>
      </c>
      <c r="C208" s="17" t="s">
        <v>159</v>
      </c>
      <c r="D208" s="37">
        <v>1</v>
      </c>
    </row>
    <row r="209" spans="1:851" x14ac:dyDescent="0.3">
      <c r="A209" s="15">
        <v>203</v>
      </c>
      <c r="B209" s="16" t="s">
        <v>80</v>
      </c>
      <c r="C209" s="17" t="s">
        <v>69</v>
      </c>
      <c r="D209" s="37">
        <v>163.19999999999999</v>
      </c>
    </row>
    <row r="210" spans="1:851" x14ac:dyDescent="0.3">
      <c r="A210" s="15">
        <v>204</v>
      </c>
      <c r="B210" s="16" t="s">
        <v>79</v>
      </c>
      <c r="C210" s="17" t="s">
        <v>69</v>
      </c>
      <c r="D210" s="37">
        <v>10.98</v>
      </c>
    </row>
    <row r="211" spans="1:851" x14ac:dyDescent="0.3">
      <c r="A211" s="15">
        <v>205</v>
      </c>
      <c r="B211" s="16" t="s">
        <v>81</v>
      </c>
      <c r="C211" s="17" t="s">
        <v>69</v>
      </c>
      <c r="D211" s="37">
        <v>63.68</v>
      </c>
    </row>
    <row r="212" spans="1:851" x14ac:dyDescent="0.3">
      <c r="A212" s="81" t="s">
        <v>105</v>
      </c>
      <c r="B212" s="81"/>
      <c r="C212" s="81"/>
      <c r="D212" s="47"/>
    </row>
    <row r="213" spans="1:851" s="25" customFormat="1" x14ac:dyDescent="0.3">
      <c r="A213" s="15">
        <v>206</v>
      </c>
      <c r="B213" s="23" t="s">
        <v>33</v>
      </c>
      <c r="C213" s="21" t="s">
        <v>32</v>
      </c>
      <c r="D213" s="24">
        <v>1</v>
      </c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30"/>
      <c r="DR213" s="30"/>
      <c r="DS213" s="30"/>
      <c r="DT213" s="30"/>
      <c r="DU213" s="30"/>
      <c r="DV213" s="30"/>
      <c r="DW213" s="30"/>
      <c r="DX213" s="30"/>
      <c r="DY213" s="30"/>
      <c r="DZ213" s="30"/>
      <c r="EA213" s="30"/>
      <c r="EB213" s="30"/>
      <c r="EC213" s="30"/>
      <c r="ED213" s="30"/>
      <c r="EE213" s="30"/>
      <c r="EF213" s="30"/>
      <c r="EG213" s="30"/>
      <c r="EH213" s="30"/>
      <c r="EI213" s="30"/>
      <c r="EJ213" s="30"/>
      <c r="EK213" s="30"/>
      <c r="EL213" s="30"/>
      <c r="EM213" s="30"/>
      <c r="EN213" s="30"/>
      <c r="EO213" s="30"/>
      <c r="EP213" s="30"/>
      <c r="EQ213" s="30"/>
      <c r="ER213" s="30"/>
      <c r="ES213" s="30"/>
      <c r="ET213" s="30"/>
      <c r="EU213" s="30"/>
      <c r="EV213" s="30"/>
      <c r="EW213" s="30"/>
      <c r="EX213" s="30"/>
      <c r="EY213" s="30"/>
      <c r="EZ213" s="30"/>
      <c r="FA213" s="30"/>
      <c r="FB213" s="30"/>
      <c r="FC213" s="30"/>
      <c r="FD213" s="30"/>
      <c r="FE213" s="30"/>
      <c r="FF213" s="30"/>
      <c r="FG213" s="30"/>
      <c r="FH213" s="30"/>
      <c r="FI213" s="30"/>
      <c r="FJ213" s="30"/>
      <c r="FK213" s="30"/>
      <c r="FL213" s="30"/>
      <c r="FM213" s="30"/>
      <c r="FN213" s="30"/>
      <c r="FO213" s="30"/>
      <c r="FP213" s="30"/>
      <c r="FQ213" s="30"/>
      <c r="FR213" s="30"/>
      <c r="FS213" s="30"/>
      <c r="FT213" s="30"/>
      <c r="FU213" s="30"/>
      <c r="FV213" s="30"/>
      <c r="FW213" s="30"/>
      <c r="FX213" s="30"/>
      <c r="FY213" s="30"/>
      <c r="FZ213" s="30"/>
      <c r="GA213" s="30"/>
      <c r="GB213" s="30"/>
      <c r="GC213" s="30"/>
      <c r="GD213" s="30"/>
      <c r="GE213" s="30"/>
      <c r="GF213" s="30"/>
      <c r="GG213" s="30"/>
      <c r="GH213" s="30"/>
      <c r="GI213" s="30"/>
      <c r="GJ213" s="30"/>
      <c r="GK213" s="30"/>
      <c r="GL213" s="30"/>
      <c r="GM213" s="30"/>
      <c r="GN213" s="30"/>
      <c r="GO213" s="30"/>
      <c r="GP213" s="30"/>
      <c r="GQ213" s="30"/>
      <c r="GR213" s="30"/>
      <c r="GS213" s="30"/>
      <c r="GT213" s="30"/>
      <c r="GU213" s="30"/>
      <c r="GV213" s="30"/>
      <c r="GW213" s="30"/>
      <c r="GX213" s="30"/>
      <c r="GY213" s="30"/>
      <c r="GZ213" s="30"/>
      <c r="HA213" s="30"/>
      <c r="HB213" s="30"/>
      <c r="HC213" s="30"/>
      <c r="HD213" s="30"/>
      <c r="HE213" s="30"/>
      <c r="HF213" s="30"/>
      <c r="HG213" s="30"/>
      <c r="HH213" s="30"/>
      <c r="HI213" s="30"/>
      <c r="HJ213" s="30"/>
      <c r="HK213" s="30"/>
      <c r="HL213" s="30"/>
      <c r="HM213" s="30"/>
      <c r="HN213" s="30"/>
      <c r="HO213" s="30"/>
      <c r="HP213" s="30"/>
      <c r="HQ213" s="30"/>
      <c r="HR213" s="30"/>
      <c r="HS213" s="30"/>
      <c r="HT213" s="30"/>
      <c r="HU213" s="30"/>
      <c r="HV213" s="30"/>
      <c r="HW213" s="30"/>
      <c r="HX213" s="30"/>
      <c r="HY213" s="30"/>
      <c r="HZ213" s="30"/>
      <c r="IA213" s="30"/>
      <c r="IB213" s="30"/>
      <c r="IC213" s="30"/>
      <c r="ID213" s="30"/>
      <c r="IE213" s="30"/>
      <c r="IF213" s="30"/>
      <c r="IG213" s="30"/>
      <c r="IH213" s="30"/>
      <c r="II213" s="30"/>
      <c r="IJ213" s="30"/>
      <c r="IK213" s="30"/>
      <c r="IL213" s="30"/>
      <c r="IM213" s="30"/>
      <c r="IN213" s="30"/>
      <c r="IO213" s="30"/>
      <c r="IP213" s="30"/>
      <c r="IQ213" s="30"/>
      <c r="IR213" s="30"/>
      <c r="IS213" s="30"/>
      <c r="IT213" s="30"/>
      <c r="IU213" s="30"/>
      <c r="IV213" s="30"/>
      <c r="IW213" s="30"/>
      <c r="IX213" s="30"/>
      <c r="IY213" s="30"/>
      <c r="IZ213" s="30"/>
      <c r="JA213" s="30"/>
      <c r="JB213" s="30"/>
      <c r="JC213" s="30"/>
      <c r="JD213" s="30"/>
      <c r="JE213" s="30"/>
      <c r="JF213" s="30"/>
      <c r="JG213" s="30"/>
      <c r="JH213" s="30"/>
      <c r="JI213" s="30"/>
      <c r="JJ213" s="30"/>
      <c r="JK213" s="30"/>
      <c r="JL213" s="30"/>
      <c r="JM213" s="30"/>
      <c r="JN213" s="30"/>
      <c r="JO213" s="30"/>
      <c r="JP213" s="30"/>
      <c r="JQ213" s="30"/>
      <c r="JR213" s="30"/>
      <c r="JS213" s="30"/>
      <c r="JT213" s="30"/>
      <c r="JU213" s="30"/>
      <c r="JV213" s="30"/>
      <c r="JW213" s="30"/>
      <c r="JX213" s="30"/>
      <c r="JY213" s="30"/>
      <c r="JZ213" s="30"/>
      <c r="KA213" s="30"/>
      <c r="KB213" s="30"/>
      <c r="KC213" s="30"/>
      <c r="KD213" s="30"/>
      <c r="KE213" s="30"/>
      <c r="KF213" s="30"/>
      <c r="KG213" s="30"/>
      <c r="KH213" s="30"/>
      <c r="KI213" s="30"/>
      <c r="KJ213" s="30"/>
      <c r="KK213" s="30"/>
      <c r="KL213" s="30"/>
      <c r="KM213" s="30"/>
      <c r="KN213" s="30"/>
      <c r="KO213" s="30"/>
      <c r="KP213" s="30"/>
      <c r="KQ213" s="30"/>
      <c r="KR213" s="30"/>
      <c r="KS213" s="30"/>
      <c r="KT213" s="30"/>
      <c r="KU213" s="30"/>
      <c r="KV213" s="30"/>
      <c r="KW213" s="30"/>
      <c r="KX213" s="30"/>
      <c r="KY213" s="30"/>
      <c r="KZ213" s="30"/>
      <c r="LA213" s="30"/>
      <c r="LB213" s="30"/>
      <c r="LC213" s="30"/>
      <c r="LD213" s="30"/>
      <c r="LE213" s="30"/>
      <c r="LF213" s="30"/>
      <c r="LG213" s="30"/>
      <c r="LH213" s="30"/>
      <c r="LI213" s="30"/>
      <c r="LJ213" s="30"/>
      <c r="LK213" s="30"/>
      <c r="LL213" s="30"/>
      <c r="LM213" s="30"/>
      <c r="LN213" s="30"/>
      <c r="LO213" s="30"/>
      <c r="LP213" s="30"/>
      <c r="LQ213" s="30"/>
      <c r="LR213" s="30"/>
      <c r="LS213" s="30"/>
      <c r="LT213" s="30"/>
      <c r="LU213" s="30"/>
      <c r="LV213" s="30"/>
      <c r="LW213" s="30"/>
      <c r="LX213" s="30"/>
      <c r="LY213" s="30"/>
      <c r="LZ213" s="30"/>
      <c r="MA213" s="30"/>
      <c r="MB213" s="30"/>
      <c r="MC213" s="30"/>
      <c r="MD213" s="30"/>
      <c r="ME213" s="30"/>
      <c r="MF213" s="30"/>
      <c r="MG213" s="30"/>
      <c r="MH213" s="30"/>
      <c r="MI213" s="30"/>
      <c r="MJ213" s="30"/>
      <c r="MK213" s="30"/>
      <c r="ML213" s="30"/>
      <c r="MM213" s="30"/>
      <c r="MN213" s="30"/>
      <c r="MO213" s="30"/>
      <c r="MP213" s="30"/>
      <c r="MQ213" s="30"/>
      <c r="MR213" s="30"/>
      <c r="MS213" s="30"/>
      <c r="MT213" s="30"/>
      <c r="MU213" s="30"/>
      <c r="MV213" s="30"/>
      <c r="MW213" s="30"/>
      <c r="MX213" s="30"/>
      <c r="MY213" s="30"/>
      <c r="MZ213" s="30"/>
      <c r="NA213" s="30"/>
      <c r="NB213" s="30"/>
      <c r="NC213" s="30"/>
      <c r="ND213" s="30"/>
      <c r="NE213" s="30"/>
      <c r="NF213" s="30"/>
      <c r="NG213" s="30"/>
      <c r="NH213" s="30"/>
      <c r="NI213" s="30"/>
      <c r="NJ213" s="30"/>
      <c r="NK213" s="30"/>
      <c r="NL213" s="30"/>
      <c r="NM213" s="30"/>
      <c r="NN213" s="30"/>
      <c r="NO213" s="30"/>
      <c r="NP213" s="30"/>
      <c r="NQ213" s="30"/>
      <c r="NR213" s="30"/>
      <c r="NS213" s="30"/>
      <c r="NT213" s="30"/>
      <c r="NU213" s="30"/>
      <c r="NV213" s="30"/>
      <c r="NW213" s="30"/>
      <c r="NX213" s="30"/>
      <c r="NY213" s="30"/>
      <c r="NZ213" s="30"/>
      <c r="OA213" s="30"/>
      <c r="OB213" s="30"/>
      <c r="OC213" s="30"/>
      <c r="OD213" s="30"/>
      <c r="OE213" s="30"/>
      <c r="OF213" s="30"/>
      <c r="OG213" s="30"/>
      <c r="OH213" s="30"/>
      <c r="OI213" s="30"/>
      <c r="OJ213" s="30"/>
      <c r="OK213" s="30"/>
      <c r="OL213" s="30"/>
      <c r="OM213" s="30"/>
      <c r="ON213" s="30"/>
      <c r="OO213" s="30"/>
      <c r="OP213" s="30"/>
      <c r="OQ213" s="30"/>
      <c r="OR213" s="30"/>
      <c r="OS213" s="30"/>
      <c r="OT213" s="30"/>
      <c r="OU213" s="30"/>
      <c r="OV213" s="30"/>
      <c r="OW213" s="30"/>
      <c r="OX213" s="30"/>
      <c r="OY213" s="30"/>
      <c r="OZ213" s="30"/>
      <c r="PA213" s="30"/>
      <c r="PB213" s="30"/>
      <c r="PC213" s="30"/>
      <c r="PD213" s="30"/>
      <c r="PE213" s="30"/>
      <c r="PF213" s="30"/>
      <c r="PG213" s="30"/>
      <c r="PH213" s="30"/>
      <c r="PI213" s="30"/>
      <c r="PJ213" s="30"/>
      <c r="PK213" s="30"/>
      <c r="PL213" s="30"/>
      <c r="PM213" s="30"/>
      <c r="PN213" s="30"/>
      <c r="PO213" s="30"/>
      <c r="PP213" s="30"/>
      <c r="PQ213" s="30"/>
      <c r="PR213" s="30"/>
      <c r="PS213" s="30"/>
      <c r="PT213" s="30"/>
      <c r="PU213" s="30"/>
      <c r="PV213" s="30"/>
      <c r="PW213" s="30"/>
      <c r="PX213" s="30"/>
      <c r="PY213" s="30"/>
      <c r="PZ213" s="30"/>
      <c r="QA213" s="30"/>
      <c r="QB213" s="30"/>
      <c r="QC213" s="30"/>
      <c r="QD213" s="30"/>
      <c r="QE213" s="30"/>
      <c r="QF213" s="30"/>
      <c r="QG213" s="30"/>
      <c r="QH213" s="30"/>
      <c r="QI213" s="30"/>
      <c r="QJ213" s="30"/>
      <c r="QK213" s="30"/>
      <c r="QL213" s="30"/>
      <c r="QM213" s="30"/>
      <c r="QN213" s="30"/>
      <c r="QO213" s="30"/>
      <c r="QP213" s="30"/>
      <c r="QQ213" s="30"/>
      <c r="QR213" s="30"/>
      <c r="QS213" s="30"/>
      <c r="QT213" s="30"/>
      <c r="QU213" s="30"/>
      <c r="QV213" s="30"/>
      <c r="QW213" s="30"/>
      <c r="QX213" s="30"/>
      <c r="QY213" s="30"/>
      <c r="QZ213" s="30"/>
      <c r="RA213" s="30"/>
      <c r="RB213" s="30"/>
      <c r="RC213" s="30"/>
      <c r="RD213" s="30"/>
      <c r="RE213" s="30"/>
      <c r="RF213" s="30"/>
      <c r="RG213" s="30"/>
      <c r="RH213" s="30"/>
      <c r="RI213" s="30"/>
      <c r="RJ213" s="30"/>
      <c r="RK213" s="30"/>
      <c r="RL213" s="30"/>
      <c r="RM213" s="30"/>
      <c r="RN213" s="30"/>
      <c r="RO213" s="30"/>
      <c r="RP213" s="30"/>
      <c r="RQ213" s="30"/>
      <c r="RR213" s="30"/>
      <c r="RS213" s="30"/>
      <c r="RT213" s="30"/>
      <c r="RU213" s="30"/>
      <c r="RV213" s="30"/>
      <c r="RW213" s="30"/>
      <c r="RX213" s="30"/>
      <c r="RY213" s="30"/>
      <c r="RZ213" s="30"/>
      <c r="SA213" s="30"/>
      <c r="SB213" s="30"/>
      <c r="SC213" s="30"/>
      <c r="SD213" s="30"/>
      <c r="SE213" s="30"/>
      <c r="SF213" s="30"/>
      <c r="SG213" s="30"/>
      <c r="SH213" s="30"/>
      <c r="SI213" s="30"/>
      <c r="SJ213" s="30"/>
      <c r="SK213" s="30"/>
      <c r="SL213" s="30"/>
      <c r="SM213" s="30"/>
      <c r="SN213" s="30"/>
      <c r="SO213" s="30"/>
      <c r="SP213" s="30"/>
      <c r="SQ213" s="30"/>
      <c r="SR213" s="30"/>
      <c r="SS213" s="30"/>
      <c r="ST213" s="30"/>
      <c r="SU213" s="30"/>
      <c r="SV213" s="30"/>
      <c r="SW213" s="30"/>
      <c r="SX213" s="30"/>
      <c r="SY213" s="30"/>
      <c r="SZ213" s="30"/>
      <c r="TA213" s="30"/>
      <c r="TB213" s="30"/>
      <c r="TC213" s="30"/>
      <c r="TD213" s="30"/>
      <c r="TE213" s="30"/>
      <c r="TF213" s="30"/>
      <c r="TG213" s="30"/>
      <c r="TH213" s="30"/>
      <c r="TI213" s="30"/>
      <c r="TJ213" s="30"/>
      <c r="TK213" s="30"/>
      <c r="TL213" s="30"/>
      <c r="TM213" s="30"/>
      <c r="TN213" s="30"/>
      <c r="TO213" s="30"/>
      <c r="TP213" s="30"/>
      <c r="TQ213" s="30"/>
      <c r="TR213" s="30"/>
      <c r="TS213" s="30"/>
      <c r="TT213" s="30"/>
      <c r="TU213" s="30"/>
      <c r="TV213" s="30"/>
      <c r="TW213" s="30"/>
      <c r="TX213" s="30"/>
      <c r="TY213" s="30"/>
      <c r="TZ213" s="30"/>
      <c r="UA213" s="30"/>
      <c r="UB213" s="30"/>
      <c r="UC213" s="30"/>
      <c r="UD213" s="30"/>
      <c r="UE213" s="30"/>
      <c r="UF213" s="30"/>
      <c r="UG213" s="30"/>
      <c r="UH213" s="30"/>
      <c r="UI213" s="30"/>
      <c r="UJ213" s="30"/>
      <c r="UK213" s="30"/>
      <c r="UL213" s="30"/>
      <c r="UM213" s="30"/>
      <c r="UN213" s="30"/>
      <c r="UO213" s="30"/>
      <c r="UP213" s="30"/>
      <c r="UQ213" s="30"/>
      <c r="UR213" s="30"/>
      <c r="US213" s="30"/>
      <c r="UT213" s="30"/>
      <c r="UU213" s="30"/>
      <c r="UV213" s="30"/>
      <c r="UW213" s="30"/>
      <c r="UX213" s="30"/>
      <c r="UY213" s="30"/>
      <c r="UZ213" s="30"/>
      <c r="VA213" s="30"/>
      <c r="VB213" s="30"/>
      <c r="VC213" s="30"/>
      <c r="VD213" s="30"/>
      <c r="VE213" s="30"/>
      <c r="VF213" s="30"/>
      <c r="VG213" s="30"/>
      <c r="VH213" s="30"/>
      <c r="VI213" s="30"/>
      <c r="VJ213" s="30"/>
      <c r="VK213" s="30"/>
      <c r="VL213" s="30"/>
      <c r="VM213" s="30"/>
      <c r="VN213" s="30"/>
      <c r="VO213" s="30"/>
      <c r="VP213" s="30"/>
      <c r="VQ213" s="30"/>
      <c r="VR213" s="30"/>
      <c r="VS213" s="30"/>
      <c r="VT213" s="30"/>
      <c r="VU213" s="30"/>
      <c r="VV213" s="30"/>
      <c r="VW213" s="30"/>
      <c r="VX213" s="30"/>
      <c r="VY213" s="30"/>
      <c r="VZ213" s="30"/>
      <c r="WA213" s="30"/>
      <c r="WB213" s="30"/>
      <c r="WC213" s="30"/>
      <c r="WD213" s="30"/>
      <c r="WE213" s="30"/>
      <c r="WF213" s="30"/>
      <c r="WG213" s="30"/>
      <c r="WH213" s="30"/>
      <c r="WI213" s="30"/>
      <c r="WJ213" s="30"/>
      <c r="WK213" s="30"/>
      <c r="WL213" s="30"/>
      <c r="WM213" s="30"/>
      <c r="WN213" s="30"/>
      <c r="WO213" s="30"/>
      <c r="WP213" s="30"/>
      <c r="WQ213" s="30"/>
      <c r="WR213" s="30"/>
      <c r="WS213" s="30"/>
      <c r="WT213" s="30"/>
      <c r="WU213" s="30"/>
      <c r="WV213" s="30"/>
      <c r="WW213" s="30"/>
      <c r="WX213" s="30"/>
      <c r="WY213" s="30"/>
      <c r="WZ213" s="30"/>
      <c r="XA213" s="30"/>
      <c r="XB213" s="30"/>
      <c r="XC213" s="30"/>
      <c r="XD213" s="30"/>
      <c r="XE213" s="30"/>
      <c r="XF213" s="30"/>
      <c r="XG213" s="30"/>
      <c r="XH213" s="30"/>
      <c r="XI213" s="30"/>
      <c r="XJ213" s="30"/>
      <c r="XK213" s="30"/>
      <c r="XL213" s="30"/>
      <c r="XM213" s="30"/>
      <c r="XN213" s="30"/>
      <c r="XO213" s="30"/>
      <c r="XP213" s="30"/>
      <c r="XQ213" s="30"/>
      <c r="XR213" s="30"/>
      <c r="XS213" s="30"/>
      <c r="XT213" s="30"/>
      <c r="XU213" s="30"/>
      <c r="XV213" s="30"/>
      <c r="XW213" s="30"/>
      <c r="XX213" s="30"/>
      <c r="XY213" s="30"/>
      <c r="XZ213" s="30"/>
      <c r="YA213" s="30"/>
      <c r="YB213" s="30"/>
      <c r="YC213" s="30"/>
      <c r="YD213" s="30"/>
      <c r="YE213" s="30"/>
      <c r="YF213" s="30"/>
      <c r="YG213" s="30"/>
      <c r="YH213" s="30"/>
      <c r="YI213" s="30"/>
      <c r="YJ213" s="30"/>
      <c r="YK213" s="30"/>
      <c r="YL213" s="30"/>
      <c r="YM213" s="30"/>
      <c r="YN213" s="30"/>
      <c r="YO213" s="30"/>
      <c r="YP213" s="30"/>
      <c r="YQ213" s="30"/>
      <c r="YR213" s="30"/>
      <c r="YS213" s="30"/>
      <c r="YT213" s="30"/>
      <c r="YU213" s="30"/>
      <c r="YV213" s="30"/>
      <c r="YW213" s="30"/>
      <c r="YX213" s="30"/>
      <c r="YY213" s="30"/>
      <c r="YZ213" s="30"/>
      <c r="ZA213" s="30"/>
      <c r="ZB213" s="30"/>
      <c r="ZC213" s="30"/>
      <c r="ZD213" s="30"/>
      <c r="ZE213" s="30"/>
      <c r="ZF213" s="30"/>
      <c r="ZG213" s="30"/>
      <c r="ZH213" s="30"/>
      <c r="ZI213" s="30"/>
      <c r="ZJ213" s="30"/>
      <c r="ZK213" s="30"/>
      <c r="ZL213" s="30"/>
      <c r="ZM213" s="30"/>
      <c r="ZN213" s="30"/>
      <c r="ZO213" s="30"/>
      <c r="ZP213" s="30"/>
      <c r="ZQ213" s="30"/>
      <c r="ZR213" s="30"/>
      <c r="ZS213" s="30"/>
      <c r="ZT213" s="30"/>
      <c r="ZU213" s="30"/>
      <c r="ZV213" s="30"/>
      <c r="ZW213" s="30"/>
      <c r="ZX213" s="30"/>
      <c r="ZY213" s="30"/>
      <c r="ZZ213" s="30"/>
      <c r="AAA213" s="30"/>
      <c r="AAB213" s="30"/>
      <c r="AAC213" s="30"/>
      <c r="AAD213" s="30"/>
      <c r="AAE213" s="30"/>
      <c r="AAF213" s="30"/>
      <c r="AAG213" s="30"/>
      <c r="AAH213" s="30"/>
      <c r="AAI213" s="30"/>
      <c r="AAJ213" s="30"/>
      <c r="AAK213" s="30"/>
      <c r="AAL213" s="30"/>
      <c r="AAM213" s="30"/>
      <c r="AAN213" s="30"/>
      <c r="AAO213" s="30"/>
      <c r="AAP213" s="30"/>
      <c r="AAQ213" s="30"/>
      <c r="AAR213" s="30"/>
      <c r="AAS213" s="30"/>
      <c r="AAT213" s="30"/>
      <c r="AAU213" s="30"/>
      <c r="AAV213" s="30"/>
      <c r="AAW213" s="30"/>
      <c r="AAX213" s="30"/>
      <c r="AAY213" s="30"/>
      <c r="AAZ213" s="30"/>
      <c r="ABA213" s="30"/>
      <c r="ABB213" s="30"/>
      <c r="ABC213" s="30"/>
      <c r="ABD213" s="30"/>
      <c r="ABE213" s="30"/>
      <c r="ABF213" s="30"/>
      <c r="ABG213" s="30"/>
      <c r="ABH213" s="30"/>
      <c r="ABI213" s="30"/>
      <c r="ABJ213" s="30"/>
      <c r="ABK213" s="30"/>
      <c r="ABL213" s="30"/>
      <c r="ABM213" s="30"/>
      <c r="ABN213" s="30"/>
      <c r="ABO213" s="30"/>
      <c r="ABP213" s="30"/>
      <c r="ABQ213" s="30"/>
      <c r="ABR213" s="30"/>
      <c r="ABS213" s="30"/>
      <c r="ABT213" s="30"/>
      <c r="ABU213" s="30"/>
      <c r="ABV213" s="30"/>
      <c r="ABW213" s="30"/>
      <c r="ABX213" s="30"/>
      <c r="ABY213" s="30"/>
      <c r="ABZ213" s="30"/>
      <c r="ACA213" s="30"/>
      <c r="ACB213" s="30"/>
      <c r="ACC213" s="30"/>
      <c r="ACD213" s="30"/>
      <c r="ACE213" s="30"/>
      <c r="ACF213" s="30"/>
      <c r="ACG213" s="30"/>
      <c r="ACH213" s="30"/>
      <c r="ACI213" s="30"/>
      <c r="ACJ213" s="30"/>
      <c r="ACK213" s="30"/>
      <c r="ACL213" s="30"/>
      <c r="ACM213" s="30"/>
      <c r="ACN213" s="30"/>
      <c r="ACO213" s="30"/>
      <c r="ACP213" s="30"/>
      <c r="ACQ213" s="30"/>
      <c r="ACR213" s="30"/>
      <c r="ACS213" s="30"/>
      <c r="ACT213" s="30"/>
      <c r="ACU213" s="30"/>
      <c r="ACV213" s="30"/>
      <c r="ACW213" s="30"/>
      <c r="ACX213" s="30"/>
      <c r="ACY213" s="30"/>
      <c r="ACZ213" s="30"/>
      <c r="ADA213" s="30"/>
      <c r="ADB213" s="30"/>
      <c r="ADC213" s="30"/>
      <c r="ADD213" s="30"/>
      <c r="ADE213" s="30"/>
      <c r="ADF213" s="30"/>
      <c r="ADG213" s="30"/>
      <c r="ADH213" s="30"/>
      <c r="ADI213" s="30"/>
      <c r="ADJ213" s="30"/>
      <c r="ADK213" s="30"/>
      <c r="ADL213" s="30"/>
      <c r="ADM213" s="30"/>
      <c r="ADN213" s="30"/>
      <c r="ADO213" s="30"/>
      <c r="ADP213" s="30"/>
      <c r="ADQ213" s="30"/>
      <c r="ADR213" s="30"/>
      <c r="ADS213" s="30"/>
      <c r="ADT213" s="30"/>
      <c r="ADU213" s="30"/>
      <c r="ADV213" s="30"/>
      <c r="ADW213" s="30"/>
      <c r="ADX213" s="30"/>
      <c r="ADY213" s="30"/>
      <c r="ADZ213" s="30"/>
      <c r="AEA213" s="30"/>
      <c r="AEB213" s="30"/>
      <c r="AEC213" s="30"/>
      <c r="AED213" s="30"/>
      <c r="AEE213" s="30"/>
      <c r="AEF213" s="30"/>
      <c r="AEG213" s="30"/>
      <c r="AEH213" s="30"/>
      <c r="AEI213" s="30"/>
      <c r="AEJ213" s="30"/>
      <c r="AEK213" s="30"/>
      <c r="AEL213" s="30"/>
      <c r="AEM213" s="30"/>
      <c r="AEN213" s="30"/>
      <c r="AEO213" s="30"/>
      <c r="AEP213" s="30"/>
      <c r="AEQ213" s="30"/>
      <c r="AER213" s="30"/>
      <c r="AES213" s="30"/>
      <c r="AET213" s="30"/>
      <c r="AEU213" s="30"/>
      <c r="AEV213" s="30"/>
      <c r="AEW213" s="30"/>
      <c r="AEX213" s="30"/>
      <c r="AEY213" s="30"/>
      <c r="AEZ213" s="30"/>
      <c r="AFA213" s="30"/>
      <c r="AFB213" s="30"/>
      <c r="AFC213" s="30"/>
      <c r="AFD213" s="30"/>
      <c r="AFE213" s="30"/>
      <c r="AFF213" s="30"/>
      <c r="AFG213" s="30"/>
      <c r="AFH213" s="30"/>
      <c r="AFI213" s="30"/>
      <c r="AFJ213" s="30"/>
      <c r="AFK213" s="30"/>
      <c r="AFL213" s="30"/>
      <c r="AFM213" s="30"/>
      <c r="AFN213" s="30"/>
      <c r="AFO213" s="30"/>
      <c r="AFP213" s="30"/>
      <c r="AFQ213" s="30"/>
      <c r="AFR213" s="30"/>
      <c r="AFS213" s="30"/>
    </row>
    <row r="214" spans="1:851" s="25" customFormat="1" x14ac:dyDescent="0.3">
      <c r="A214" s="15">
        <v>207</v>
      </c>
      <c r="B214" s="23" t="s">
        <v>34</v>
      </c>
      <c r="C214" s="21" t="s">
        <v>32</v>
      </c>
      <c r="D214" s="24">
        <v>1</v>
      </c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  <c r="DX214" s="30"/>
      <c r="DY214" s="30"/>
      <c r="DZ214" s="30"/>
      <c r="EA214" s="30"/>
      <c r="EB214" s="30"/>
      <c r="EC214" s="30"/>
      <c r="ED214" s="30"/>
      <c r="EE214" s="30"/>
      <c r="EF214" s="30"/>
      <c r="EG214" s="30"/>
      <c r="EH214" s="30"/>
      <c r="EI214" s="30"/>
      <c r="EJ214" s="30"/>
      <c r="EK214" s="30"/>
      <c r="EL214" s="30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0"/>
      <c r="EZ214" s="30"/>
      <c r="FA214" s="30"/>
      <c r="FB214" s="30"/>
      <c r="FC214" s="30"/>
      <c r="FD214" s="30"/>
      <c r="FE214" s="30"/>
      <c r="FF214" s="30"/>
      <c r="FG214" s="30"/>
      <c r="FH214" s="30"/>
      <c r="FI214" s="30"/>
      <c r="FJ214" s="30"/>
      <c r="FK214" s="30"/>
      <c r="FL214" s="30"/>
      <c r="FM214" s="30"/>
      <c r="FN214" s="30"/>
      <c r="FO214" s="30"/>
      <c r="FP214" s="30"/>
      <c r="FQ214" s="30"/>
      <c r="FR214" s="30"/>
      <c r="FS214" s="30"/>
      <c r="FT214" s="30"/>
      <c r="FU214" s="30"/>
      <c r="FV214" s="30"/>
      <c r="FW214" s="30"/>
      <c r="FX214" s="30"/>
      <c r="FY214" s="30"/>
      <c r="FZ214" s="30"/>
      <c r="GA214" s="30"/>
      <c r="GB214" s="30"/>
      <c r="GC214" s="30"/>
      <c r="GD214" s="30"/>
      <c r="GE214" s="30"/>
      <c r="GF214" s="30"/>
      <c r="GG214" s="30"/>
      <c r="GH214" s="30"/>
      <c r="GI214" s="30"/>
      <c r="GJ214" s="30"/>
      <c r="GK214" s="30"/>
      <c r="GL214" s="30"/>
      <c r="GM214" s="30"/>
      <c r="GN214" s="30"/>
      <c r="GO214" s="30"/>
      <c r="GP214" s="30"/>
      <c r="GQ214" s="30"/>
      <c r="GR214" s="30"/>
      <c r="GS214" s="30"/>
      <c r="GT214" s="30"/>
      <c r="GU214" s="30"/>
      <c r="GV214" s="30"/>
      <c r="GW214" s="30"/>
      <c r="GX214" s="30"/>
      <c r="GY214" s="30"/>
      <c r="GZ214" s="30"/>
      <c r="HA214" s="30"/>
      <c r="HB214" s="30"/>
      <c r="HC214" s="30"/>
      <c r="HD214" s="30"/>
      <c r="HE214" s="30"/>
      <c r="HF214" s="30"/>
      <c r="HG214" s="30"/>
      <c r="HH214" s="30"/>
      <c r="HI214" s="30"/>
      <c r="HJ214" s="30"/>
      <c r="HK214" s="30"/>
      <c r="HL214" s="30"/>
      <c r="HM214" s="30"/>
      <c r="HN214" s="30"/>
      <c r="HO214" s="30"/>
      <c r="HP214" s="30"/>
      <c r="HQ214" s="30"/>
      <c r="HR214" s="30"/>
      <c r="HS214" s="30"/>
      <c r="HT214" s="30"/>
      <c r="HU214" s="30"/>
      <c r="HV214" s="30"/>
      <c r="HW214" s="30"/>
      <c r="HX214" s="30"/>
      <c r="HY214" s="30"/>
      <c r="HZ214" s="30"/>
      <c r="IA214" s="30"/>
      <c r="IB214" s="30"/>
      <c r="IC214" s="30"/>
      <c r="ID214" s="30"/>
      <c r="IE214" s="30"/>
      <c r="IF214" s="30"/>
      <c r="IG214" s="30"/>
      <c r="IH214" s="30"/>
      <c r="II214" s="30"/>
      <c r="IJ214" s="30"/>
      <c r="IK214" s="30"/>
      <c r="IL214" s="30"/>
      <c r="IM214" s="30"/>
      <c r="IN214" s="30"/>
      <c r="IO214" s="30"/>
      <c r="IP214" s="30"/>
      <c r="IQ214" s="30"/>
      <c r="IR214" s="30"/>
      <c r="IS214" s="30"/>
      <c r="IT214" s="30"/>
      <c r="IU214" s="30"/>
      <c r="IV214" s="30"/>
      <c r="IW214" s="30"/>
      <c r="IX214" s="30"/>
      <c r="IY214" s="30"/>
      <c r="IZ214" s="30"/>
      <c r="JA214" s="30"/>
      <c r="JB214" s="30"/>
      <c r="JC214" s="30"/>
      <c r="JD214" s="30"/>
      <c r="JE214" s="30"/>
      <c r="JF214" s="30"/>
      <c r="JG214" s="30"/>
      <c r="JH214" s="30"/>
      <c r="JI214" s="30"/>
      <c r="JJ214" s="30"/>
      <c r="JK214" s="30"/>
      <c r="JL214" s="30"/>
      <c r="JM214" s="30"/>
      <c r="JN214" s="30"/>
      <c r="JO214" s="30"/>
      <c r="JP214" s="30"/>
      <c r="JQ214" s="30"/>
      <c r="JR214" s="30"/>
      <c r="JS214" s="30"/>
      <c r="JT214" s="30"/>
      <c r="JU214" s="30"/>
      <c r="JV214" s="30"/>
      <c r="JW214" s="30"/>
      <c r="JX214" s="30"/>
      <c r="JY214" s="30"/>
      <c r="JZ214" s="30"/>
      <c r="KA214" s="30"/>
      <c r="KB214" s="30"/>
      <c r="KC214" s="30"/>
      <c r="KD214" s="30"/>
      <c r="KE214" s="30"/>
      <c r="KF214" s="30"/>
      <c r="KG214" s="30"/>
      <c r="KH214" s="30"/>
      <c r="KI214" s="30"/>
      <c r="KJ214" s="30"/>
      <c r="KK214" s="30"/>
      <c r="KL214" s="30"/>
      <c r="KM214" s="30"/>
      <c r="KN214" s="30"/>
      <c r="KO214" s="30"/>
      <c r="KP214" s="30"/>
      <c r="KQ214" s="30"/>
      <c r="KR214" s="30"/>
      <c r="KS214" s="30"/>
      <c r="KT214" s="30"/>
      <c r="KU214" s="30"/>
      <c r="KV214" s="30"/>
      <c r="KW214" s="30"/>
      <c r="KX214" s="30"/>
      <c r="KY214" s="30"/>
      <c r="KZ214" s="30"/>
      <c r="LA214" s="30"/>
      <c r="LB214" s="30"/>
      <c r="LC214" s="30"/>
      <c r="LD214" s="30"/>
      <c r="LE214" s="30"/>
      <c r="LF214" s="30"/>
      <c r="LG214" s="30"/>
      <c r="LH214" s="30"/>
      <c r="LI214" s="30"/>
      <c r="LJ214" s="30"/>
      <c r="LK214" s="30"/>
      <c r="LL214" s="30"/>
      <c r="LM214" s="30"/>
      <c r="LN214" s="30"/>
      <c r="LO214" s="30"/>
      <c r="LP214" s="30"/>
      <c r="LQ214" s="30"/>
      <c r="LR214" s="30"/>
      <c r="LS214" s="30"/>
      <c r="LT214" s="30"/>
      <c r="LU214" s="30"/>
      <c r="LV214" s="30"/>
      <c r="LW214" s="30"/>
      <c r="LX214" s="30"/>
      <c r="LY214" s="30"/>
      <c r="LZ214" s="30"/>
      <c r="MA214" s="30"/>
      <c r="MB214" s="30"/>
      <c r="MC214" s="30"/>
      <c r="MD214" s="30"/>
      <c r="ME214" s="30"/>
      <c r="MF214" s="30"/>
      <c r="MG214" s="30"/>
      <c r="MH214" s="30"/>
      <c r="MI214" s="30"/>
      <c r="MJ214" s="30"/>
      <c r="MK214" s="30"/>
      <c r="ML214" s="30"/>
      <c r="MM214" s="30"/>
      <c r="MN214" s="30"/>
      <c r="MO214" s="30"/>
      <c r="MP214" s="30"/>
      <c r="MQ214" s="30"/>
      <c r="MR214" s="30"/>
      <c r="MS214" s="30"/>
      <c r="MT214" s="30"/>
      <c r="MU214" s="30"/>
      <c r="MV214" s="30"/>
      <c r="MW214" s="30"/>
      <c r="MX214" s="30"/>
      <c r="MY214" s="30"/>
      <c r="MZ214" s="30"/>
      <c r="NA214" s="30"/>
      <c r="NB214" s="30"/>
      <c r="NC214" s="30"/>
      <c r="ND214" s="30"/>
      <c r="NE214" s="30"/>
      <c r="NF214" s="30"/>
      <c r="NG214" s="30"/>
      <c r="NH214" s="30"/>
      <c r="NI214" s="30"/>
      <c r="NJ214" s="30"/>
      <c r="NK214" s="30"/>
      <c r="NL214" s="30"/>
      <c r="NM214" s="30"/>
      <c r="NN214" s="30"/>
      <c r="NO214" s="30"/>
      <c r="NP214" s="30"/>
      <c r="NQ214" s="30"/>
      <c r="NR214" s="30"/>
      <c r="NS214" s="30"/>
      <c r="NT214" s="30"/>
      <c r="NU214" s="30"/>
      <c r="NV214" s="30"/>
      <c r="NW214" s="30"/>
      <c r="NX214" s="30"/>
      <c r="NY214" s="30"/>
      <c r="NZ214" s="30"/>
      <c r="OA214" s="30"/>
      <c r="OB214" s="30"/>
      <c r="OC214" s="30"/>
      <c r="OD214" s="30"/>
      <c r="OE214" s="30"/>
      <c r="OF214" s="30"/>
      <c r="OG214" s="30"/>
      <c r="OH214" s="30"/>
      <c r="OI214" s="30"/>
      <c r="OJ214" s="30"/>
      <c r="OK214" s="30"/>
      <c r="OL214" s="30"/>
      <c r="OM214" s="30"/>
      <c r="ON214" s="30"/>
      <c r="OO214" s="30"/>
      <c r="OP214" s="30"/>
      <c r="OQ214" s="30"/>
      <c r="OR214" s="30"/>
      <c r="OS214" s="30"/>
      <c r="OT214" s="30"/>
      <c r="OU214" s="30"/>
      <c r="OV214" s="30"/>
      <c r="OW214" s="30"/>
      <c r="OX214" s="30"/>
      <c r="OY214" s="30"/>
      <c r="OZ214" s="30"/>
      <c r="PA214" s="30"/>
      <c r="PB214" s="30"/>
      <c r="PC214" s="30"/>
      <c r="PD214" s="30"/>
      <c r="PE214" s="30"/>
      <c r="PF214" s="30"/>
      <c r="PG214" s="30"/>
      <c r="PH214" s="30"/>
      <c r="PI214" s="30"/>
      <c r="PJ214" s="30"/>
      <c r="PK214" s="30"/>
      <c r="PL214" s="30"/>
      <c r="PM214" s="30"/>
      <c r="PN214" s="30"/>
      <c r="PO214" s="30"/>
      <c r="PP214" s="30"/>
      <c r="PQ214" s="30"/>
      <c r="PR214" s="30"/>
      <c r="PS214" s="30"/>
      <c r="PT214" s="30"/>
      <c r="PU214" s="30"/>
      <c r="PV214" s="30"/>
      <c r="PW214" s="30"/>
      <c r="PX214" s="30"/>
      <c r="PY214" s="30"/>
      <c r="PZ214" s="30"/>
      <c r="QA214" s="30"/>
      <c r="QB214" s="30"/>
      <c r="QC214" s="30"/>
      <c r="QD214" s="30"/>
      <c r="QE214" s="30"/>
      <c r="QF214" s="30"/>
      <c r="QG214" s="30"/>
      <c r="QH214" s="30"/>
      <c r="QI214" s="30"/>
      <c r="QJ214" s="30"/>
      <c r="QK214" s="30"/>
      <c r="QL214" s="30"/>
      <c r="QM214" s="30"/>
      <c r="QN214" s="30"/>
      <c r="QO214" s="30"/>
      <c r="QP214" s="30"/>
      <c r="QQ214" s="30"/>
      <c r="QR214" s="30"/>
      <c r="QS214" s="30"/>
      <c r="QT214" s="30"/>
      <c r="QU214" s="30"/>
      <c r="QV214" s="30"/>
      <c r="QW214" s="30"/>
      <c r="QX214" s="30"/>
      <c r="QY214" s="30"/>
      <c r="QZ214" s="30"/>
      <c r="RA214" s="30"/>
      <c r="RB214" s="30"/>
      <c r="RC214" s="30"/>
      <c r="RD214" s="30"/>
      <c r="RE214" s="30"/>
      <c r="RF214" s="30"/>
      <c r="RG214" s="30"/>
      <c r="RH214" s="30"/>
      <c r="RI214" s="30"/>
      <c r="RJ214" s="30"/>
      <c r="RK214" s="30"/>
      <c r="RL214" s="30"/>
      <c r="RM214" s="30"/>
      <c r="RN214" s="30"/>
      <c r="RO214" s="30"/>
      <c r="RP214" s="30"/>
      <c r="RQ214" s="30"/>
      <c r="RR214" s="30"/>
      <c r="RS214" s="30"/>
      <c r="RT214" s="30"/>
      <c r="RU214" s="30"/>
      <c r="RV214" s="30"/>
      <c r="RW214" s="30"/>
      <c r="RX214" s="30"/>
      <c r="RY214" s="30"/>
      <c r="RZ214" s="30"/>
      <c r="SA214" s="30"/>
      <c r="SB214" s="30"/>
      <c r="SC214" s="30"/>
      <c r="SD214" s="30"/>
      <c r="SE214" s="30"/>
      <c r="SF214" s="30"/>
      <c r="SG214" s="30"/>
      <c r="SH214" s="30"/>
      <c r="SI214" s="30"/>
      <c r="SJ214" s="30"/>
      <c r="SK214" s="30"/>
      <c r="SL214" s="30"/>
      <c r="SM214" s="30"/>
      <c r="SN214" s="30"/>
      <c r="SO214" s="30"/>
      <c r="SP214" s="30"/>
      <c r="SQ214" s="30"/>
      <c r="SR214" s="30"/>
      <c r="SS214" s="30"/>
      <c r="ST214" s="30"/>
      <c r="SU214" s="30"/>
      <c r="SV214" s="30"/>
      <c r="SW214" s="30"/>
      <c r="SX214" s="30"/>
      <c r="SY214" s="30"/>
      <c r="SZ214" s="30"/>
      <c r="TA214" s="30"/>
      <c r="TB214" s="30"/>
      <c r="TC214" s="30"/>
      <c r="TD214" s="30"/>
      <c r="TE214" s="30"/>
      <c r="TF214" s="30"/>
      <c r="TG214" s="30"/>
      <c r="TH214" s="30"/>
      <c r="TI214" s="30"/>
      <c r="TJ214" s="30"/>
      <c r="TK214" s="30"/>
      <c r="TL214" s="30"/>
      <c r="TM214" s="30"/>
      <c r="TN214" s="30"/>
      <c r="TO214" s="30"/>
      <c r="TP214" s="30"/>
      <c r="TQ214" s="30"/>
      <c r="TR214" s="30"/>
      <c r="TS214" s="30"/>
      <c r="TT214" s="30"/>
      <c r="TU214" s="30"/>
      <c r="TV214" s="30"/>
      <c r="TW214" s="30"/>
      <c r="TX214" s="30"/>
      <c r="TY214" s="30"/>
      <c r="TZ214" s="30"/>
      <c r="UA214" s="30"/>
      <c r="UB214" s="30"/>
      <c r="UC214" s="30"/>
      <c r="UD214" s="30"/>
      <c r="UE214" s="30"/>
      <c r="UF214" s="30"/>
      <c r="UG214" s="30"/>
      <c r="UH214" s="30"/>
      <c r="UI214" s="30"/>
      <c r="UJ214" s="30"/>
      <c r="UK214" s="30"/>
      <c r="UL214" s="30"/>
      <c r="UM214" s="30"/>
      <c r="UN214" s="30"/>
      <c r="UO214" s="30"/>
      <c r="UP214" s="30"/>
      <c r="UQ214" s="30"/>
      <c r="UR214" s="30"/>
      <c r="US214" s="30"/>
      <c r="UT214" s="30"/>
      <c r="UU214" s="30"/>
      <c r="UV214" s="30"/>
      <c r="UW214" s="30"/>
      <c r="UX214" s="30"/>
      <c r="UY214" s="30"/>
      <c r="UZ214" s="30"/>
      <c r="VA214" s="30"/>
      <c r="VB214" s="30"/>
      <c r="VC214" s="30"/>
      <c r="VD214" s="30"/>
      <c r="VE214" s="30"/>
      <c r="VF214" s="30"/>
      <c r="VG214" s="30"/>
      <c r="VH214" s="30"/>
      <c r="VI214" s="30"/>
      <c r="VJ214" s="30"/>
      <c r="VK214" s="30"/>
      <c r="VL214" s="30"/>
      <c r="VM214" s="30"/>
      <c r="VN214" s="30"/>
      <c r="VO214" s="30"/>
      <c r="VP214" s="30"/>
      <c r="VQ214" s="30"/>
      <c r="VR214" s="30"/>
      <c r="VS214" s="30"/>
      <c r="VT214" s="30"/>
      <c r="VU214" s="30"/>
      <c r="VV214" s="30"/>
      <c r="VW214" s="30"/>
      <c r="VX214" s="30"/>
      <c r="VY214" s="30"/>
      <c r="VZ214" s="30"/>
      <c r="WA214" s="30"/>
      <c r="WB214" s="30"/>
      <c r="WC214" s="30"/>
      <c r="WD214" s="30"/>
      <c r="WE214" s="30"/>
      <c r="WF214" s="30"/>
      <c r="WG214" s="30"/>
      <c r="WH214" s="30"/>
      <c r="WI214" s="30"/>
      <c r="WJ214" s="30"/>
      <c r="WK214" s="30"/>
      <c r="WL214" s="30"/>
      <c r="WM214" s="30"/>
      <c r="WN214" s="30"/>
      <c r="WO214" s="30"/>
      <c r="WP214" s="30"/>
      <c r="WQ214" s="30"/>
      <c r="WR214" s="30"/>
      <c r="WS214" s="30"/>
      <c r="WT214" s="30"/>
      <c r="WU214" s="30"/>
      <c r="WV214" s="30"/>
      <c r="WW214" s="30"/>
      <c r="WX214" s="30"/>
      <c r="WY214" s="30"/>
      <c r="WZ214" s="30"/>
      <c r="XA214" s="30"/>
      <c r="XB214" s="30"/>
      <c r="XC214" s="30"/>
      <c r="XD214" s="30"/>
      <c r="XE214" s="30"/>
      <c r="XF214" s="30"/>
      <c r="XG214" s="30"/>
      <c r="XH214" s="30"/>
      <c r="XI214" s="30"/>
      <c r="XJ214" s="30"/>
      <c r="XK214" s="30"/>
      <c r="XL214" s="30"/>
      <c r="XM214" s="30"/>
      <c r="XN214" s="30"/>
      <c r="XO214" s="30"/>
      <c r="XP214" s="30"/>
      <c r="XQ214" s="30"/>
      <c r="XR214" s="30"/>
      <c r="XS214" s="30"/>
      <c r="XT214" s="30"/>
      <c r="XU214" s="30"/>
      <c r="XV214" s="30"/>
      <c r="XW214" s="30"/>
      <c r="XX214" s="30"/>
      <c r="XY214" s="30"/>
      <c r="XZ214" s="30"/>
      <c r="YA214" s="30"/>
      <c r="YB214" s="30"/>
      <c r="YC214" s="30"/>
      <c r="YD214" s="30"/>
      <c r="YE214" s="30"/>
      <c r="YF214" s="30"/>
      <c r="YG214" s="30"/>
      <c r="YH214" s="30"/>
      <c r="YI214" s="30"/>
      <c r="YJ214" s="30"/>
      <c r="YK214" s="30"/>
      <c r="YL214" s="30"/>
      <c r="YM214" s="30"/>
      <c r="YN214" s="30"/>
      <c r="YO214" s="30"/>
      <c r="YP214" s="30"/>
      <c r="YQ214" s="30"/>
      <c r="YR214" s="30"/>
      <c r="YS214" s="30"/>
      <c r="YT214" s="30"/>
      <c r="YU214" s="30"/>
      <c r="YV214" s="30"/>
      <c r="YW214" s="30"/>
      <c r="YX214" s="30"/>
      <c r="YY214" s="30"/>
      <c r="YZ214" s="30"/>
      <c r="ZA214" s="30"/>
      <c r="ZB214" s="30"/>
      <c r="ZC214" s="30"/>
      <c r="ZD214" s="30"/>
      <c r="ZE214" s="30"/>
      <c r="ZF214" s="30"/>
      <c r="ZG214" s="30"/>
      <c r="ZH214" s="30"/>
      <c r="ZI214" s="30"/>
      <c r="ZJ214" s="30"/>
      <c r="ZK214" s="30"/>
      <c r="ZL214" s="30"/>
      <c r="ZM214" s="30"/>
      <c r="ZN214" s="30"/>
      <c r="ZO214" s="30"/>
      <c r="ZP214" s="30"/>
      <c r="ZQ214" s="30"/>
      <c r="ZR214" s="30"/>
      <c r="ZS214" s="30"/>
      <c r="ZT214" s="30"/>
      <c r="ZU214" s="30"/>
      <c r="ZV214" s="30"/>
      <c r="ZW214" s="30"/>
      <c r="ZX214" s="30"/>
      <c r="ZY214" s="30"/>
      <c r="ZZ214" s="30"/>
      <c r="AAA214" s="30"/>
      <c r="AAB214" s="30"/>
      <c r="AAC214" s="30"/>
      <c r="AAD214" s="30"/>
      <c r="AAE214" s="30"/>
      <c r="AAF214" s="30"/>
      <c r="AAG214" s="30"/>
      <c r="AAH214" s="30"/>
      <c r="AAI214" s="30"/>
      <c r="AAJ214" s="30"/>
      <c r="AAK214" s="30"/>
      <c r="AAL214" s="30"/>
      <c r="AAM214" s="30"/>
      <c r="AAN214" s="30"/>
      <c r="AAO214" s="30"/>
      <c r="AAP214" s="30"/>
      <c r="AAQ214" s="30"/>
      <c r="AAR214" s="30"/>
      <c r="AAS214" s="30"/>
      <c r="AAT214" s="30"/>
      <c r="AAU214" s="30"/>
      <c r="AAV214" s="30"/>
      <c r="AAW214" s="30"/>
      <c r="AAX214" s="30"/>
      <c r="AAY214" s="30"/>
      <c r="AAZ214" s="30"/>
      <c r="ABA214" s="30"/>
      <c r="ABB214" s="30"/>
      <c r="ABC214" s="30"/>
      <c r="ABD214" s="30"/>
      <c r="ABE214" s="30"/>
      <c r="ABF214" s="30"/>
      <c r="ABG214" s="30"/>
      <c r="ABH214" s="30"/>
      <c r="ABI214" s="30"/>
      <c r="ABJ214" s="30"/>
      <c r="ABK214" s="30"/>
      <c r="ABL214" s="30"/>
      <c r="ABM214" s="30"/>
      <c r="ABN214" s="30"/>
      <c r="ABO214" s="30"/>
      <c r="ABP214" s="30"/>
      <c r="ABQ214" s="30"/>
      <c r="ABR214" s="30"/>
      <c r="ABS214" s="30"/>
      <c r="ABT214" s="30"/>
      <c r="ABU214" s="30"/>
      <c r="ABV214" s="30"/>
      <c r="ABW214" s="30"/>
      <c r="ABX214" s="30"/>
      <c r="ABY214" s="30"/>
      <c r="ABZ214" s="30"/>
      <c r="ACA214" s="30"/>
      <c r="ACB214" s="30"/>
      <c r="ACC214" s="30"/>
      <c r="ACD214" s="30"/>
      <c r="ACE214" s="30"/>
      <c r="ACF214" s="30"/>
      <c r="ACG214" s="30"/>
      <c r="ACH214" s="30"/>
      <c r="ACI214" s="30"/>
      <c r="ACJ214" s="30"/>
      <c r="ACK214" s="30"/>
      <c r="ACL214" s="30"/>
      <c r="ACM214" s="30"/>
      <c r="ACN214" s="30"/>
      <c r="ACO214" s="30"/>
      <c r="ACP214" s="30"/>
      <c r="ACQ214" s="30"/>
      <c r="ACR214" s="30"/>
      <c r="ACS214" s="30"/>
      <c r="ACT214" s="30"/>
      <c r="ACU214" s="30"/>
      <c r="ACV214" s="30"/>
      <c r="ACW214" s="30"/>
      <c r="ACX214" s="30"/>
      <c r="ACY214" s="30"/>
      <c r="ACZ214" s="30"/>
      <c r="ADA214" s="30"/>
      <c r="ADB214" s="30"/>
      <c r="ADC214" s="30"/>
      <c r="ADD214" s="30"/>
      <c r="ADE214" s="30"/>
      <c r="ADF214" s="30"/>
      <c r="ADG214" s="30"/>
      <c r="ADH214" s="30"/>
      <c r="ADI214" s="30"/>
      <c r="ADJ214" s="30"/>
      <c r="ADK214" s="30"/>
      <c r="ADL214" s="30"/>
      <c r="ADM214" s="30"/>
      <c r="ADN214" s="30"/>
      <c r="ADO214" s="30"/>
      <c r="ADP214" s="30"/>
      <c r="ADQ214" s="30"/>
      <c r="ADR214" s="30"/>
      <c r="ADS214" s="30"/>
      <c r="ADT214" s="30"/>
      <c r="ADU214" s="30"/>
      <c r="ADV214" s="30"/>
      <c r="ADW214" s="30"/>
      <c r="ADX214" s="30"/>
      <c r="ADY214" s="30"/>
      <c r="ADZ214" s="30"/>
      <c r="AEA214" s="30"/>
      <c r="AEB214" s="30"/>
      <c r="AEC214" s="30"/>
      <c r="AED214" s="30"/>
      <c r="AEE214" s="30"/>
      <c r="AEF214" s="30"/>
      <c r="AEG214" s="30"/>
      <c r="AEH214" s="30"/>
      <c r="AEI214" s="30"/>
      <c r="AEJ214" s="30"/>
      <c r="AEK214" s="30"/>
      <c r="AEL214" s="30"/>
      <c r="AEM214" s="30"/>
      <c r="AEN214" s="30"/>
      <c r="AEO214" s="30"/>
      <c r="AEP214" s="30"/>
      <c r="AEQ214" s="30"/>
      <c r="AER214" s="30"/>
      <c r="AES214" s="30"/>
      <c r="AET214" s="30"/>
      <c r="AEU214" s="30"/>
      <c r="AEV214" s="30"/>
      <c r="AEW214" s="30"/>
      <c r="AEX214" s="30"/>
      <c r="AEY214" s="30"/>
      <c r="AEZ214" s="30"/>
      <c r="AFA214" s="30"/>
      <c r="AFB214" s="30"/>
      <c r="AFC214" s="30"/>
      <c r="AFD214" s="30"/>
      <c r="AFE214" s="30"/>
      <c r="AFF214" s="30"/>
      <c r="AFG214" s="30"/>
      <c r="AFH214" s="30"/>
      <c r="AFI214" s="30"/>
      <c r="AFJ214" s="30"/>
      <c r="AFK214" s="30"/>
      <c r="AFL214" s="30"/>
      <c r="AFM214" s="30"/>
      <c r="AFN214" s="30"/>
      <c r="AFO214" s="30"/>
      <c r="AFP214" s="30"/>
      <c r="AFQ214" s="30"/>
      <c r="AFR214" s="30"/>
      <c r="AFS214" s="30"/>
    </row>
    <row r="215" spans="1:851" x14ac:dyDescent="0.3">
      <c r="A215" s="82" t="s">
        <v>35</v>
      </c>
      <c r="B215" s="82"/>
      <c r="C215" s="82"/>
      <c r="D215" s="82"/>
    </row>
    <row r="217" spans="1:851" x14ac:dyDescent="0.3">
      <c r="A217" s="85" t="s">
        <v>10</v>
      </c>
      <c r="B217" s="85"/>
      <c r="C217" s="85"/>
    </row>
    <row r="218" spans="1:851" x14ac:dyDescent="0.3">
      <c r="A218" s="1" t="s">
        <v>11</v>
      </c>
      <c r="B218" s="1"/>
      <c r="C218" s="4"/>
    </row>
    <row r="219" spans="1:851" x14ac:dyDescent="0.3">
      <c r="A219" s="27" t="s">
        <v>12</v>
      </c>
      <c r="B219" s="1" t="s">
        <v>13</v>
      </c>
      <c r="C219" s="4"/>
      <c r="D219" s="42"/>
    </row>
    <row r="220" spans="1:851" x14ac:dyDescent="0.3">
      <c r="A220" s="27" t="s">
        <v>14</v>
      </c>
      <c r="B220" s="1" t="s">
        <v>15</v>
      </c>
      <c r="C220" s="4"/>
      <c r="D220" s="42"/>
    </row>
    <row r="221" spans="1:851" x14ac:dyDescent="0.3">
      <c r="A221" s="27" t="s">
        <v>16</v>
      </c>
      <c r="B221" s="1" t="s">
        <v>29</v>
      </c>
      <c r="C221" s="4"/>
      <c r="D221" s="42"/>
    </row>
    <row r="222" spans="1:851" x14ac:dyDescent="0.3">
      <c r="A222" s="27" t="s">
        <v>17</v>
      </c>
      <c r="B222" s="1" t="s">
        <v>18</v>
      </c>
      <c r="C222" s="4"/>
      <c r="D222" s="42"/>
    </row>
    <row r="223" spans="1:851" x14ac:dyDescent="0.3">
      <c r="A223" s="27" t="s">
        <v>19</v>
      </c>
      <c r="B223" s="4" t="s">
        <v>20</v>
      </c>
      <c r="C223" s="4"/>
      <c r="D223" s="42"/>
    </row>
    <row r="224" spans="1:851" ht="28.5" customHeight="1" x14ac:dyDescent="0.3">
      <c r="A224" s="27" t="s">
        <v>21</v>
      </c>
      <c r="B224" s="83" t="s">
        <v>27</v>
      </c>
      <c r="C224" s="83"/>
      <c r="D224" s="83"/>
    </row>
    <row r="225" spans="1:4" x14ac:dyDescent="0.3">
      <c r="A225" s="27" t="s">
        <v>22</v>
      </c>
      <c r="B225" s="4" t="s">
        <v>23</v>
      </c>
      <c r="C225" s="4"/>
      <c r="D225" s="42"/>
    </row>
    <row r="226" spans="1:4" x14ac:dyDescent="0.3">
      <c r="A226" s="27" t="s">
        <v>24</v>
      </c>
      <c r="B226" s="4" t="s">
        <v>36</v>
      </c>
      <c r="C226" s="4"/>
      <c r="D226" s="42"/>
    </row>
    <row r="227" spans="1:4" x14ac:dyDescent="0.3">
      <c r="A227" s="27" t="s">
        <v>25</v>
      </c>
      <c r="B227" s="1" t="s">
        <v>26</v>
      </c>
      <c r="C227" s="4"/>
      <c r="D227" s="42"/>
    </row>
    <row r="228" spans="1:4" x14ac:dyDescent="0.3">
      <c r="A228" s="9">
        <v>10</v>
      </c>
      <c r="B228" s="28" t="s">
        <v>173</v>
      </c>
      <c r="C228" s="10"/>
      <c r="D228" s="42"/>
    </row>
    <row r="229" spans="1:4" x14ac:dyDescent="0.3">
      <c r="A229" s="9">
        <v>11</v>
      </c>
      <c r="B229" s="28" t="s">
        <v>30</v>
      </c>
      <c r="C229" s="10"/>
      <c r="D229" s="42"/>
    </row>
    <row r="230" spans="1:4" x14ac:dyDescent="0.3">
      <c r="A230" s="9">
        <v>12</v>
      </c>
      <c r="B230" s="28" t="s">
        <v>28</v>
      </c>
      <c r="C230" s="10"/>
      <c r="D230" s="42"/>
    </row>
    <row r="231" spans="1:4" x14ac:dyDescent="0.3">
      <c r="A231" s="9">
        <v>13</v>
      </c>
      <c r="B231" s="83" t="s">
        <v>37</v>
      </c>
      <c r="C231" s="83"/>
      <c r="D231" s="83"/>
    </row>
  </sheetData>
  <mergeCells count="12">
    <mergeCell ref="B231:D231"/>
    <mergeCell ref="D1:D2"/>
    <mergeCell ref="A215:D215"/>
    <mergeCell ref="A217:C217"/>
    <mergeCell ref="B224:D224"/>
    <mergeCell ref="A66:C66"/>
    <mergeCell ref="A107:C107"/>
    <mergeCell ref="A149:C149"/>
    <mergeCell ref="A212:C212"/>
    <mergeCell ref="C1:C2"/>
    <mergeCell ref="B1:B2"/>
    <mergeCell ref="A1:A2"/>
  </mergeCells>
  <phoneticPr fontId="14" type="noConversion"/>
  <pageMargins left="0.39370078740157483" right="0.19685039370078741" top="0.19685039370078741" bottom="0.19685039370078741" header="0.31496062992125984" footer="0.31496062992125984"/>
  <pageSetup paperSize="9" scale="84" fitToHeight="100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G273"/>
  <sheetViews>
    <sheetView view="pageBreakPreview" zoomScaleNormal="85" zoomScaleSheetLayoutView="100" workbookViewId="0">
      <selection activeCell="B19" sqref="B19"/>
    </sheetView>
  </sheetViews>
  <sheetFormatPr defaultRowHeight="14.4" x14ac:dyDescent="0.3"/>
  <cols>
    <col min="1" max="1" width="4.109375" customWidth="1"/>
    <col min="2" max="2" width="94.6640625" style="11" customWidth="1"/>
    <col min="3" max="3" width="8" style="12" customWidth="1"/>
    <col min="4" max="5" width="9" style="43" hidden="1" customWidth="1"/>
    <col min="6" max="6" width="9" style="43" customWidth="1"/>
  </cols>
  <sheetData>
    <row r="1" spans="1:6" s="1" customFormat="1" ht="13.8" x14ac:dyDescent="0.25">
      <c r="A1" s="3"/>
      <c r="C1" s="4"/>
      <c r="D1" s="42"/>
      <c r="E1" s="42"/>
      <c r="F1" s="42"/>
    </row>
    <row r="2" spans="1:6" s="1" customFormat="1" ht="13.8" x14ac:dyDescent="0.25">
      <c r="A2" s="3"/>
      <c r="C2" s="4"/>
      <c r="D2" s="42"/>
      <c r="E2" s="42"/>
      <c r="F2" s="42"/>
    </row>
    <row r="3" spans="1:6" s="1" customFormat="1" ht="13.8" x14ac:dyDescent="0.25">
      <c r="A3" s="3"/>
      <c r="C3" s="4"/>
      <c r="D3" s="42"/>
      <c r="E3" s="42"/>
      <c r="F3" s="42"/>
    </row>
    <row r="4" spans="1:6" s="1" customFormat="1" ht="56.25" customHeight="1" x14ac:dyDescent="0.25">
      <c r="A4" s="72" t="s">
        <v>31</v>
      </c>
      <c r="B4" s="72"/>
      <c r="C4" s="72"/>
      <c r="D4" s="72"/>
      <c r="E4" s="72"/>
      <c r="F4" s="72"/>
    </row>
    <row r="5" spans="1:6" s="1" customFormat="1" ht="14.4" customHeight="1" x14ac:dyDescent="0.25">
      <c r="A5" s="5"/>
      <c r="B5" s="5"/>
      <c r="C5" s="6"/>
      <c r="D5" s="42"/>
      <c r="E5" s="42"/>
      <c r="F5" s="42"/>
    </row>
    <row r="6" spans="1:6" s="1" customFormat="1" ht="14.4" customHeight="1" x14ac:dyDescent="0.25">
      <c r="A6" s="73" t="s">
        <v>6</v>
      </c>
      <c r="B6" s="73"/>
      <c r="C6" s="73"/>
      <c r="D6" s="73"/>
      <c r="E6" s="73"/>
      <c r="F6" s="73"/>
    </row>
    <row r="7" spans="1:6" s="1" customFormat="1" ht="14.4" customHeight="1" x14ac:dyDescent="0.25">
      <c r="A7" s="74" t="s">
        <v>274</v>
      </c>
      <c r="B7" s="74"/>
      <c r="C7" s="74"/>
      <c r="D7" s="74"/>
      <c r="E7" s="74"/>
      <c r="F7" s="74"/>
    </row>
    <row r="8" spans="1:6" s="1" customFormat="1" ht="14.4" customHeight="1" x14ac:dyDescent="0.25">
      <c r="A8" s="7"/>
      <c r="B8" s="7"/>
      <c r="C8" s="8"/>
      <c r="D8" s="42"/>
      <c r="E8" s="42"/>
      <c r="F8" s="42"/>
    </row>
    <row r="9" spans="1:6" s="1" customFormat="1" ht="14.4" customHeight="1" x14ac:dyDescent="0.25">
      <c r="A9" s="9"/>
      <c r="B9" s="29"/>
      <c r="C9" s="10"/>
      <c r="D9" s="42"/>
      <c r="E9" s="42"/>
      <c r="F9" s="42"/>
    </row>
    <row r="10" spans="1:6" s="1" customFormat="1" ht="13.2" customHeight="1" x14ac:dyDescent="0.25">
      <c r="A10" s="3"/>
      <c r="B10" s="9" t="s">
        <v>7</v>
      </c>
      <c r="C10" s="4"/>
      <c r="D10" s="42"/>
      <c r="E10" s="42"/>
      <c r="F10" s="42"/>
    </row>
    <row r="12" spans="1:6" x14ac:dyDescent="0.3">
      <c r="B12" s="11" t="s">
        <v>275</v>
      </c>
    </row>
    <row r="14" spans="1:6" ht="15" customHeight="1" x14ac:dyDescent="0.3">
      <c r="A14" s="75" t="s">
        <v>1</v>
      </c>
      <c r="B14" s="75" t="s">
        <v>2</v>
      </c>
      <c r="C14" s="76" t="s">
        <v>5</v>
      </c>
      <c r="D14" s="77" t="s">
        <v>38</v>
      </c>
      <c r="E14" s="78"/>
      <c r="F14" s="79"/>
    </row>
    <row r="15" spans="1:6" s="13" customFormat="1" x14ac:dyDescent="0.3">
      <c r="A15" s="75"/>
      <c r="B15" s="75"/>
      <c r="C15" s="76"/>
      <c r="D15" s="53" t="s">
        <v>276</v>
      </c>
      <c r="E15" s="53" t="s">
        <v>277</v>
      </c>
      <c r="F15" s="53" t="s">
        <v>176</v>
      </c>
    </row>
    <row r="16" spans="1:6" s="14" customFormat="1" x14ac:dyDescent="0.3">
      <c r="A16" s="32" t="s">
        <v>40</v>
      </c>
      <c r="B16" s="32"/>
      <c r="C16" s="32"/>
      <c r="D16" s="44"/>
      <c r="E16" s="44"/>
      <c r="F16" s="44"/>
    </row>
    <row r="17" spans="1:6" ht="28.8" x14ac:dyDescent="0.3">
      <c r="A17" s="15">
        <v>1</v>
      </c>
      <c r="B17" s="16" t="s">
        <v>156</v>
      </c>
      <c r="C17" s="17" t="s">
        <v>39</v>
      </c>
      <c r="D17" s="37"/>
      <c r="E17" s="37">
        <v>1</v>
      </c>
      <c r="F17" s="37">
        <f>D17+E17</f>
        <v>1</v>
      </c>
    </row>
    <row r="18" spans="1:6" ht="28.8" x14ac:dyDescent="0.3">
      <c r="A18" s="15">
        <v>2</v>
      </c>
      <c r="B18" s="16" t="s">
        <v>278</v>
      </c>
      <c r="C18" s="17" t="s">
        <v>39</v>
      </c>
      <c r="D18" s="37">
        <v>7</v>
      </c>
      <c r="E18" s="37">
        <v>10</v>
      </c>
      <c r="F18" s="37">
        <f t="shared" ref="F18:F71" si="0">D18+E18</f>
        <v>17</v>
      </c>
    </row>
    <row r="19" spans="1:6" ht="28.8" x14ac:dyDescent="0.3">
      <c r="A19" s="15">
        <v>3</v>
      </c>
      <c r="B19" s="16" t="s">
        <v>154</v>
      </c>
      <c r="C19" s="17" t="s">
        <v>39</v>
      </c>
      <c r="D19" s="37"/>
      <c r="E19" s="37">
        <v>14</v>
      </c>
      <c r="F19" s="37">
        <f t="shared" si="0"/>
        <v>14</v>
      </c>
    </row>
    <row r="20" spans="1:6" ht="28.8" x14ac:dyDescent="0.3">
      <c r="A20" s="15">
        <v>4</v>
      </c>
      <c r="B20" s="16" t="s">
        <v>153</v>
      </c>
      <c r="C20" s="17" t="s">
        <v>39</v>
      </c>
      <c r="D20" s="37">
        <v>7</v>
      </c>
      <c r="E20" s="37">
        <v>125</v>
      </c>
      <c r="F20" s="37">
        <f t="shared" si="0"/>
        <v>132</v>
      </c>
    </row>
    <row r="21" spans="1:6" ht="28.8" x14ac:dyDescent="0.3">
      <c r="A21" s="15">
        <v>5</v>
      </c>
      <c r="B21" s="16" t="s">
        <v>152</v>
      </c>
      <c r="C21" s="17" t="s">
        <v>39</v>
      </c>
      <c r="D21" s="37">
        <v>12</v>
      </c>
      <c r="E21" s="37">
        <v>31</v>
      </c>
      <c r="F21" s="37">
        <f t="shared" si="0"/>
        <v>43</v>
      </c>
    </row>
    <row r="22" spans="1:6" ht="28.8" x14ac:dyDescent="0.3">
      <c r="A22" s="15">
        <v>6</v>
      </c>
      <c r="B22" s="16" t="s">
        <v>151</v>
      </c>
      <c r="C22" s="17" t="s">
        <v>39</v>
      </c>
      <c r="D22" s="37">
        <v>2</v>
      </c>
      <c r="E22" s="37">
        <v>19</v>
      </c>
      <c r="F22" s="37">
        <f t="shared" si="0"/>
        <v>21</v>
      </c>
    </row>
    <row r="23" spans="1:6" ht="28.8" x14ac:dyDescent="0.3">
      <c r="A23" s="15">
        <v>7</v>
      </c>
      <c r="B23" s="16" t="s">
        <v>112</v>
      </c>
      <c r="C23" s="17" t="s">
        <v>39</v>
      </c>
      <c r="D23" s="37">
        <v>6</v>
      </c>
      <c r="E23" s="37">
        <v>20</v>
      </c>
      <c r="F23" s="37">
        <f t="shared" si="0"/>
        <v>26</v>
      </c>
    </row>
    <row r="24" spans="1:6" ht="28.8" x14ac:dyDescent="0.3">
      <c r="A24" s="15">
        <v>8</v>
      </c>
      <c r="B24" s="16" t="s">
        <v>150</v>
      </c>
      <c r="C24" s="17" t="s">
        <v>39</v>
      </c>
      <c r="D24" s="37">
        <v>7</v>
      </c>
      <c r="E24" s="37">
        <v>1</v>
      </c>
      <c r="F24" s="37">
        <f t="shared" si="0"/>
        <v>8</v>
      </c>
    </row>
    <row r="25" spans="1:6" ht="28.8" x14ac:dyDescent="0.3">
      <c r="A25" s="15">
        <v>9</v>
      </c>
      <c r="B25" s="16" t="s">
        <v>149</v>
      </c>
      <c r="C25" s="17" t="s">
        <v>39</v>
      </c>
      <c r="D25" s="37">
        <v>7</v>
      </c>
      <c r="E25" s="37"/>
      <c r="F25" s="37">
        <f t="shared" si="0"/>
        <v>7</v>
      </c>
    </row>
    <row r="26" spans="1:6" ht="28.8" x14ac:dyDescent="0.3">
      <c r="A26" s="15">
        <v>10</v>
      </c>
      <c r="B26" s="16" t="s">
        <v>148</v>
      </c>
      <c r="C26" s="17" t="s">
        <v>39</v>
      </c>
      <c r="D26" s="37"/>
      <c r="E26" s="37">
        <v>12</v>
      </c>
      <c r="F26" s="37">
        <f t="shared" si="0"/>
        <v>12</v>
      </c>
    </row>
    <row r="27" spans="1:6" ht="28.8" x14ac:dyDescent="0.3">
      <c r="A27" s="15">
        <v>11</v>
      </c>
      <c r="B27" s="16" t="s">
        <v>279</v>
      </c>
      <c r="C27" s="17" t="s">
        <v>39</v>
      </c>
      <c r="D27" s="37">
        <v>1</v>
      </c>
      <c r="E27" s="37"/>
      <c r="F27" s="37">
        <f t="shared" si="0"/>
        <v>1</v>
      </c>
    </row>
    <row r="28" spans="1:6" ht="28.8" x14ac:dyDescent="0.3">
      <c r="A28" s="15">
        <v>12</v>
      </c>
      <c r="B28" s="16" t="s">
        <v>280</v>
      </c>
      <c r="C28" s="17" t="s">
        <v>39</v>
      </c>
      <c r="D28" s="37">
        <v>7</v>
      </c>
      <c r="E28" s="37"/>
      <c r="F28" s="37">
        <f t="shared" si="0"/>
        <v>7</v>
      </c>
    </row>
    <row r="29" spans="1:6" ht="28.8" x14ac:dyDescent="0.3">
      <c r="A29" s="15">
        <v>13</v>
      </c>
      <c r="B29" s="16" t="s">
        <v>144</v>
      </c>
      <c r="C29" s="17" t="s">
        <v>39</v>
      </c>
      <c r="D29" s="37">
        <v>6</v>
      </c>
      <c r="E29" s="37">
        <v>36</v>
      </c>
      <c r="F29" s="37">
        <f t="shared" si="0"/>
        <v>42</v>
      </c>
    </row>
    <row r="30" spans="1:6" ht="28.8" x14ac:dyDescent="0.3">
      <c r="A30" s="15">
        <v>14</v>
      </c>
      <c r="B30" s="16" t="s">
        <v>138</v>
      </c>
      <c r="C30" s="17" t="s">
        <v>39</v>
      </c>
      <c r="D30" s="37">
        <v>7</v>
      </c>
      <c r="E30" s="37"/>
      <c r="F30" s="37">
        <f t="shared" si="0"/>
        <v>7</v>
      </c>
    </row>
    <row r="31" spans="1:6" ht="28.8" x14ac:dyDescent="0.3">
      <c r="A31" s="15">
        <v>15</v>
      </c>
      <c r="B31" s="16" t="s">
        <v>143</v>
      </c>
      <c r="C31" s="17" t="s">
        <v>39</v>
      </c>
      <c r="D31" s="37">
        <v>7</v>
      </c>
      <c r="E31" s="37"/>
      <c r="F31" s="37">
        <f t="shared" si="0"/>
        <v>7</v>
      </c>
    </row>
    <row r="32" spans="1:6" ht="28.8" x14ac:dyDescent="0.3">
      <c r="A32" s="15">
        <v>16</v>
      </c>
      <c r="B32" s="16" t="s">
        <v>142</v>
      </c>
      <c r="C32" s="17" t="s">
        <v>39</v>
      </c>
      <c r="D32" s="37">
        <v>1</v>
      </c>
      <c r="E32" s="37">
        <v>12</v>
      </c>
      <c r="F32" s="37">
        <f t="shared" si="0"/>
        <v>13</v>
      </c>
    </row>
    <row r="33" spans="1:6" ht="28.8" x14ac:dyDescent="0.3">
      <c r="A33" s="15">
        <v>17</v>
      </c>
      <c r="B33" s="16" t="s">
        <v>140</v>
      </c>
      <c r="C33" s="17" t="s">
        <v>39</v>
      </c>
      <c r="D33" s="37">
        <v>5</v>
      </c>
      <c r="E33" s="37"/>
      <c r="F33" s="37">
        <f t="shared" si="0"/>
        <v>5</v>
      </c>
    </row>
    <row r="34" spans="1:6" ht="28.8" x14ac:dyDescent="0.3">
      <c r="A34" s="15">
        <v>18</v>
      </c>
      <c r="B34" s="16" t="s">
        <v>139</v>
      </c>
      <c r="C34" s="17" t="s">
        <v>39</v>
      </c>
      <c r="D34" s="37">
        <v>2</v>
      </c>
      <c r="E34" s="37"/>
      <c r="F34" s="37">
        <f t="shared" si="0"/>
        <v>2</v>
      </c>
    </row>
    <row r="35" spans="1:6" ht="28.8" x14ac:dyDescent="0.3">
      <c r="A35" s="15">
        <v>19</v>
      </c>
      <c r="B35" s="16" t="s">
        <v>141</v>
      </c>
      <c r="C35" s="17" t="s">
        <v>39</v>
      </c>
      <c r="D35" s="37"/>
      <c r="E35" s="37">
        <v>12</v>
      </c>
      <c r="F35" s="37">
        <f t="shared" si="0"/>
        <v>12</v>
      </c>
    </row>
    <row r="36" spans="1:6" hidden="1" x14ac:dyDescent="0.3">
      <c r="A36" s="15">
        <v>20</v>
      </c>
      <c r="B36" s="58" t="s">
        <v>41</v>
      </c>
      <c r="C36" s="17" t="s">
        <v>39</v>
      </c>
      <c r="D36" s="37"/>
      <c r="E36" s="37">
        <v>377</v>
      </c>
      <c r="F36" s="37">
        <f>D36+E36</f>
        <v>377</v>
      </c>
    </row>
    <row r="37" spans="1:6" hidden="1" x14ac:dyDescent="0.3">
      <c r="A37" s="15">
        <v>21</v>
      </c>
      <c r="B37" s="58" t="s">
        <v>45</v>
      </c>
      <c r="C37" s="17" t="s">
        <v>39</v>
      </c>
      <c r="D37" s="37"/>
      <c r="E37" s="37">
        <v>377</v>
      </c>
      <c r="F37" s="37">
        <f>D37+E37</f>
        <v>377</v>
      </c>
    </row>
    <row r="38" spans="1:6" s="34" customFormat="1" hidden="1" x14ac:dyDescent="0.3">
      <c r="A38" s="15">
        <v>22</v>
      </c>
      <c r="B38" s="39" t="s">
        <v>55</v>
      </c>
      <c r="C38" s="17" t="s">
        <v>39</v>
      </c>
      <c r="D38" s="41"/>
      <c r="E38" s="22">
        <v>107</v>
      </c>
      <c r="F38" s="37">
        <f>D38+E38</f>
        <v>107</v>
      </c>
    </row>
    <row r="39" spans="1:6" hidden="1" x14ac:dyDescent="0.3">
      <c r="A39" s="15">
        <v>23</v>
      </c>
      <c r="B39" s="16" t="s">
        <v>42</v>
      </c>
      <c r="C39" s="17" t="s">
        <v>39</v>
      </c>
      <c r="D39" s="37">
        <v>2</v>
      </c>
      <c r="E39" s="37">
        <v>2</v>
      </c>
      <c r="F39" s="37">
        <f t="shared" si="0"/>
        <v>4</v>
      </c>
    </row>
    <row r="40" spans="1:6" hidden="1" x14ac:dyDescent="0.3">
      <c r="A40" s="15">
        <v>24</v>
      </c>
      <c r="B40" s="16" t="s">
        <v>281</v>
      </c>
      <c r="C40" s="17" t="s">
        <v>39</v>
      </c>
      <c r="D40" s="37">
        <v>7</v>
      </c>
      <c r="E40" s="37"/>
      <c r="F40" s="37">
        <f>D40+E40</f>
        <v>7</v>
      </c>
    </row>
    <row r="41" spans="1:6" ht="28.8" hidden="1" x14ac:dyDescent="0.3">
      <c r="A41" s="15">
        <v>25</v>
      </c>
      <c r="B41" s="16" t="s">
        <v>282</v>
      </c>
      <c r="C41" s="17" t="s">
        <v>39</v>
      </c>
      <c r="D41" s="37"/>
      <c r="E41" s="37">
        <v>24</v>
      </c>
      <c r="F41" s="37">
        <f>D41+E41</f>
        <v>24</v>
      </c>
    </row>
    <row r="42" spans="1:6" hidden="1" x14ac:dyDescent="0.3">
      <c r="A42" s="15">
        <v>26</v>
      </c>
      <c r="B42" s="16" t="s">
        <v>184</v>
      </c>
      <c r="C42" s="17" t="s">
        <v>39</v>
      </c>
      <c r="D42" s="37">
        <v>2</v>
      </c>
      <c r="E42" s="37">
        <v>6</v>
      </c>
      <c r="F42" s="37">
        <f t="shared" si="0"/>
        <v>8</v>
      </c>
    </row>
    <row r="43" spans="1:6" hidden="1" x14ac:dyDescent="0.3">
      <c r="A43" s="15">
        <v>27</v>
      </c>
      <c r="B43" s="16" t="s">
        <v>185</v>
      </c>
      <c r="C43" s="17" t="s">
        <v>39</v>
      </c>
      <c r="D43" s="37">
        <v>2</v>
      </c>
      <c r="E43" s="37">
        <v>4</v>
      </c>
      <c r="F43" s="37">
        <f t="shared" si="0"/>
        <v>6</v>
      </c>
    </row>
    <row r="44" spans="1:6" hidden="1" x14ac:dyDescent="0.3">
      <c r="A44" s="15">
        <v>28</v>
      </c>
      <c r="B44" s="16" t="s">
        <v>283</v>
      </c>
      <c r="C44" s="17" t="s">
        <v>39</v>
      </c>
      <c r="D44" s="37">
        <v>2</v>
      </c>
      <c r="E44" s="37"/>
      <c r="F44" s="37">
        <f t="shared" si="0"/>
        <v>2</v>
      </c>
    </row>
    <row r="45" spans="1:6" hidden="1" x14ac:dyDescent="0.3">
      <c r="A45" s="15">
        <v>29</v>
      </c>
      <c r="B45" s="16" t="s">
        <v>56</v>
      </c>
      <c r="C45" s="17" t="s">
        <v>0</v>
      </c>
      <c r="D45" s="22">
        <v>1769.6</v>
      </c>
      <c r="E45" s="22">
        <v>4671.3</v>
      </c>
      <c r="F45" s="37">
        <f t="shared" si="0"/>
        <v>6440.9</v>
      </c>
    </row>
    <row r="46" spans="1:6" hidden="1" x14ac:dyDescent="0.3">
      <c r="A46" s="15">
        <v>30</v>
      </c>
      <c r="B46" s="16" t="s">
        <v>57</v>
      </c>
      <c r="C46" s="17" t="s">
        <v>0</v>
      </c>
      <c r="D46" s="22">
        <v>781</v>
      </c>
      <c r="E46" s="22">
        <v>1297.8</v>
      </c>
      <c r="F46" s="37">
        <f t="shared" si="0"/>
        <v>2078.8000000000002</v>
      </c>
    </row>
    <row r="47" spans="1:6" hidden="1" x14ac:dyDescent="0.3">
      <c r="A47" s="15">
        <v>31</v>
      </c>
      <c r="B47" s="16" t="s">
        <v>59</v>
      </c>
      <c r="C47" s="17" t="s">
        <v>0</v>
      </c>
      <c r="D47" s="37">
        <v>0.5</v>
      </c>
      <c r="E47" s="37">
        <v>1.1000000000000001</v>
      </c>
      <c r="F47" s="37">
        <f t="shared" si="0"/>
        <v>1.6</v>
      </c>
    </row>
    <row r="48" spans="1:6" hidden="1" x14ac:dyDescent="0.3">
      <c r="A48" s="15">
        <v>32</v>
      </c>
      <c r="B48" s="16" t="s">
        <v>60</v>
      </c>
      <c r="C48" s="17" t="s">
        <v>0</v>
      </c>
      <c r="D48" s="37">
        <v>2</v>
      </c>
      <c r="E48" s="37">
        <v>24</v>
      </c>
      <c r="F48" s="37">
        <f t="shared" si="0"/>
        <v>26</v>
      </c>
    </row>
    <row r="49" spans="1:6" s="34" customFormat="1" hidden="1" x14ac:dyDescent="0.3">
      <c r="A49" s="15">
        <v>33</v>
      </c>
      <c r="B49" s="16" t="s">
        <v>61</v>
      </c>
      <c r="C49" s="17" t="s">
        <v>0</v>
      </c>
      <c r="D49" s="37">
        <v>6.8</v>
      </c>
      <c r="E49" s="37"/>
      <c r="F49" s="37">
        <f t="shared" si="0"/>
        <v>6.8</v>
      </c>
    </row>
    <row r="50" spans="1:6" hidden="1" x14ac:dyDescent="0.3">
      <c r="A50" s="15">
        <v>34</v>
      </c>
      <c r="B50" s="16" t="s">
        <v>62</v>
      </c>
      <c r="C50" s="17" t="s">
        <v>0</v>
      </c>
      <c r="D50" s="37">
        <v>6</v>
      </c>
      <c r="E50" s="37">
        <v>30.8</v>
      </c>
      <c r="F50" s="37">
        <f t="shared" si="0"/>
        <v>36.799999999999997</v>
      </c>
    </row>
    <row r="51" spans="1:6" hidden="1" x14ac:dyDescent="0.3">
      <c r="A51" s="15">
        <v>35</v>
      </c>
      <c r="B51" s="16" t="s">
        <v>63</v>
      </c>
      <c r="C51" s="17" t="s">
        <v>0</v>
      </c>
      <c r="D51" s="37">
        <v>6</v>
      </c>
      <c r="E51" s="37">
        <v>24</v>
      </c>
      <c r="F51" s="37">
        <f t="shared" si="0"/>
        <v>30</v>
      </c>
    </row>
    <row r="52" spans="1:6" ht="28.8" hidden="1" x14ac:dyDescent="0.3">
      <c r="A52" s="15">
        <v>36</v>
      </c>
      <c r="B52" s="16" t="s">
        <v>64</v>
      </c>
      <c r="C52" s="17" t="s">
        <v>0</v>
      </c>
      <c r="D52" s="37">
        <v>18.600000000000001</v>
      </c>
      <c r="E52" s="37">
        <v>37.200000000000003</v>
      </c>
      <c r="F52" s="37">
        <f t="shared" si="0"/>
        <v>55.800000000000004</v>
      </c>
    </row>
    <row r="53" spans="1:6" ht="28.8" hidden="1" x14ac:dyDescent="0.3">
      <c r="A53" s="15">
        <v>37</v>
      </c>
      <c r="B53" s="16" t="s">
        <v>65</v>
      </c>
      <c r="C53" s="17" t="s">
        <v>0</v>
      </c>
      <c r="D53" s="37">
        <v>48.9</v>
      </c>
      <c r="E53" s="37">
        <v>115</v>
      </c>
      <c r="F53" s="37">
        <f t="shared" si="0"/>
        <v>163.9</v>
      </c>
    </row>
    <row r="54" spans="1:6" ht="28.8" hidden="1" x14ac:dyDescent="0.3">
      <c r="A54" s="15">
        <v>38</v>
      </c>
      <c r="B54" s="16" t="s">
        <v>101</v>
      </c>
      <c r="C54" s="17" t="s">
        <v>0</v>
      </c>
      <c r="D54" s="37"/>
      <c r="E54" s="37">
        <v>16.2</v>
      </c>
      <c r="F54" s="37">
        <f t="shared" si="0"/>
        <v>16.2</v>
      </c>
    </row>
    <row r="55" spans="1:6" hidden="1" x14ac:dyDescent="0.3">
      <c r="A55" s="15">
        <v>39</v>
      </c>
      <c r="B55" s="35" t="s">
        <v>67</v>
      </c>
      <c r="C55" s="17" t="s">
        <v>0</v>
      </c>
      <c r="D55" s="37">
        <v>0.5</v>
      </c>
      <c r="E55" s="37">
        <v>0.9</v>
      </c>
      <c r="F55" s="37">
        <f t="shared" si="0"/>
        <v>1.4</v>
      </c>
    </row>
    <row r="56" spans="1:6" hidden="1" x14ac:dyDescent="0.3">
      <c r="A56" s="15">
        <v>40</v>
      </c>
      <c r="B56" s="36" t="s">
        <v>68</v>
      </c>
      <c r="C56" s="17" t="s">
        <v>0</v>
      </c>
      <c r="D56" s="37">
        <v>2</v>
      </c>
      <c r="E56" s="37">
        <v>21.5</v>
      </c>
      <c r="F56" s="37">
        <f t="shared" si="0"/>
        <v>23.5</v>
      </c>
    </row>
    <row r="57" spans="1:6" hidden="1" x14ac:dyDescent="0.3">
      <c r="A57" s="15">
        <v>41</v>
      </c>
      <c r="B57" s="36" t="s">
        <v>70</v>
      </c>
      <c r="C57" s="17" t="s">
        <v>0</v>
      </c>
      <c r="D57" s="37">
        <v>6.8</v>
      </c>
      <c r="E57" s="37"/>
      <c r="F57" s="37">
        <f t="shared" si="0"/>
        <v>6.8</v>
      </c>
    </row>
    <row r="58" spans="1:6" hidden="1" x14ac:dyDescent="0.3">
      <c r="A58" s="15">
        <v>42</v>
      </c>
      <c r="B58" s="36" t="s">
        <v>71</v>
      </c>
      <c r="C58" s="17" t="s">
        <v>0</v>
      </c>
      <c r="D58" s="37">
        <v>6</v>
      </c>
      <c r="E58" s="37">
        <v>30.8</v>
      </c>
      <c r="F58" s="37">
        <f t="shared" si="0"/>
        <v>36.799999999999997</v>
      </c>
    </row>
    <row r="59" spans="1:6" hidden="1" x14ac:dyDescent="0.3">
      <c r="A59" s="15">
        <v>43</v>
      </c>
      <c r="B59" s="36" t="s">
        <v>72</v>
      </c>
      <c r="C59" s="17" t="s">
        <v>0</v>
      </c>
      <c r="D59" s="37">
        <v>6</v>
      </c>
      <c r="E59" s="37">
        <v>24</v>
      </c>
      <c r="F59" s="37">
        <f t="shared" si="0"/>
        <v>30</v>
      </c>
    </row>
    <row r="60" spans="1:6" hidden="1" x14ac:dyDescent="0.3">
      <c r="A60" s="15">
        <v>44</v>
      </c>
      <c r="B60" s="36" t="s">
        <v>190</v>
      </c>
      <c r="C60" s="17" t="s">
        <v>0</v>
      </c>
      <c r="D60" s="37">
        <v>18.600000000000001</v>
      </c>
      <c r="E60" s="37">
        <v>37.200000000000003</v>
      </c>
      <c r="F60" s="37">
        <f t="shared" si="0"/>
        <v>55.800000000000004</v>
      </c>
    </row>
    <row r="61" spans="1:6" hidden="1" x14ac:dyDescent="0.3">
      <c r="A61" s="15">
        <v>45</v>
      </c>
      <c r="B61" s="36" t="s">
        <v>191</v>
      </c>
      <c r="C61" s="17" t="s">
        <v>0</v>
      </c>
      <c r="D61" s="37">
        <v>48.9</v>
      </c>
      <c r="E61" s="37">
        <v>115</v>
      </c>
      <c r="F61" s="37">
        <f t="shared" si="0"/>
        <v>163.9</v>
      </c>
    </row>
    <row r="62" spans="1:6" hidden="1" x14ac:dyDescent="0.3">
      <c r="A62" s="15">
        <v>46</v>
      </c>
      <c r="B62" s="36" t="s">
        <v>262</v>
      </c>
      <c r="C62" s="17" t="s">
        <v>0</v>
      </c>
      <c r="D62" s="37"/>
      <c r="E62" s="37">
        <v>16.2</v>
      </c>
      <c r="F62" s="37">
        <f t="shared" si="0"/>
        <v>16.2</v>
      </c>
    </row>
    <row r="63" spans="1:6" ht="28.8" hidden="1" x14ac:dyDescent="0.3">
      <c r="A63" s="15">
        <v>47</v>
      </c>
      <c r="B63" s="16" t="s">
        <v>284</v>
      </c>
      <c r="C63" s="17" t="s">
        <v>0</v>
      </c>
      <c r="D63" s="37">
        <v>1561.6</v>
      </c>
      <c r="E63" s="37">
        <v>4321.3</v>
      </c>
      <c r="F63" s="37">
        <f t="shared" si="0"/>
        <v>5882.9</v>
      </c>
    </row>
    <row r="64" spans="1:6" ht="28.8" hidden="1" x14ac:dyDescent="0.3">
      <c r="A64" s="15">
        <v>48</v>
      </c>
      <c r="B64" s="16" t="s">
        <v>285</v>
      </c>
      <c r="C64" s="17" t="s">
        <v>0</v>
      </c>
      <c r="D64" s="37">
        <v>760</v>
      </c>
      <c r="E64" s="37">
        <v>1297.8</v>
      </c>
      <c r="F64" s="37">
        <f t="shared" si="0"/>
        <v>2057.8000000000002</v>
      </c>
    </row>
    <row r="65" spans="1:6" ht="28.8" hidden="1" x14ac:dyDescent="0.3">
      <c r="A65" s="15">
        <v>49</v>
      </c>
      <c r="B65" s="16" t="s">
        <v>286</v>
      </c>
      <c r="C65" s="17" t="s">
        <v>0</v>
      </c>
      <c r="D65" s="37">
        <v>208</v>
      </c>
      <c r="E65" s="37">
        <v>349.8</v>
      </c>
      <c r="F65" s="37">
        <f t="shared" si="0"/>
        <v>557.79999999999995</v>
      </c>
    </row>
    <row r="66" spans="1:6" ht="28.8" hidden="1" x14ac:dyDescent="0.3">
      <c r="A66" s="15">
        <v>50</v>
      </c>
      <c r="B66" s="16" t="s">
        <v>287</v>
      </c>
      <c r="C66" s="17" t="s">
        <v>0</v>
      </c>
      <c r="D66" s="37">
        <v>21</v>
      </c>
      <c r="E66" s="37"/>
      <c r="F66" s="37">
        <f t="shared" si="0"/>
        <v>21</v>
      </c>
    </row>
    <row r="67" spans="1:6" hidden="1" x14ac:dyDescent="0.3">
      <c r="A67" s="15">
        <v>51</v>
      </c>
      <c r="B67" s="16" t="s">
        <v>158</v>
      </c>
      <c r="C67" s="17" t="s">
        <v>159</v>
      </c>
      <c r="D67" s="37">
        <v>1</v>
      </c>
      <c r="E67" s="37"/>
      <c r="F67" s="37">
        <f t="shared" si="0"/>
        <v>1</v>
      </c>
    </row>
    <row r="68" spans="1:6" hidden="1" x14ac:dyDescent="0.3">
      <c r="A68" s="15">
        <v>52</v>
      </c>
      <c r="B68" s="16" t="s">
        <v>158</v>
      </c>
      <c r="C68" s="17" t="s">
        <v>159</v>
      </c>
      <c r="D68" s="37"/>
      <c r="E68" s="37">
        <v>1</v>
      </c>
      <c r="F68" s="37">
        <f t="shared" si="0"/>
        <v>1</v>
      </c>
    </row>
    <row r="69" spans="1:6" hidden="1" x14ac:dyDescent="0.3">
      <c r="A69" s="15">
        <v>53</v>
      </c>
      <c r="B69" s="16" t="s">
        <v>80</v>
      </c>
      <c r="C69" s="17" t="s">
        <v>69</v>
      </c>
      <c r="D69" s="37">
        <v>24.27</v>
      </c>
      <c r="E69" s="37">
        <v>65.83</v>
      </c>
      <c r="F69" s="37">
        <f>D69+E69</f>
        <v>90.1</v>
      </c>
    </row>
    <row r="70" spans="1:6" hidden="1" x14ac:dyDescent="0.3">
      <c r="A70" s="15">
        <v>54</v>
      </c>
      <c r="B70" s="16" t="s">
        <v>79</v>
      </c>
      <c r="C70" s="17" t="s">
        <v>69</v>
      </c>
      <c r="D70" s="37">
        <v>2.4700000000000002</v>
      </c>
      <c r="E70" s="37">
        <v>6.32</v>
      </c>
      <c r="F70" s="37">
        <f t="shared" si="0"/>
        <v>8.7900000000000009</v>
      </c>
    </row>
    <row r="71" spans="1:6" hidden="1" x14ac:dyDescent="0.3">
      <c r="A71" s="15">
        <v>55</v>
      </c>
      <c r="B71" s="16" t="s">
        <v>81</v>
      </c>
      <c r="C71" s="17" t="s">
        <v>69</v>
      </c>
      <c r="D71" s="37">
        <v>5.3</v>
      </c>
      <c r="E71" s="37">
        <v>13.54</v>
      </c>
      <c r="F71" s="37">
        <f t="shared" si="0"/>
        <v>18.84</v>
      </c>
    </row>
    <row r="72" spans="1:6" s="14" customFormat="1" hidden="1" x14ac:dyDescent="0.3">
      <c r="A72" s="81" t="s">
        <v>82</v>
      </c>
      <c r="B72" s="81"/>
      <c r="C72" s="81"/>
      <c r="D72" s="44"/>
      <c r="E72" s="44"/>
      <c r="F72" s="44"/>
    </row>
    <row r="73" spans="1:6" ht="28.8" x14ac:dyDescent="0.3">
      <c r="A73" s="15">
        <v>56</v>
      </c>
      <c r="B73" s="16" t="s">
        <v>288</v>
      </c>
      <c r="C73" s="17" t="s">
        <v>39</v>
      </c>
      <c r="D73" s="37"/>
      <c r="E73" s="37">
        <v>1</v>
      </c>
      <c r="F73" s="37">
        <f t="shared" ref="F73:F124" si="1">D73+E73</f>
        <v>1</v>
      </c>
    </row>
    <row r="74" spans="1:6" ht="28.8" x14ac:dyDescent="0.3">
      <c r="A74" s="15">
        <v>57</v>
      </c>
      <c r="B74" s="16" t="s">
        <v>289</v>
      </c>
      <c r="C74" s="17" t="s">
        <v>39</v>
      </c>
      <c r="D74" s="37">
        <v>1</v>
      </c>
      <c r="E74" s="37">
        <v>1</v>
      </c>
      <c r="F74" s="37">
        <f t="shared" si="1"/>
        <v>2</v>
      </c>
    </row>
    <row r="75" spans="1:6" ht="28.8" x14ac:dyDescent="0.3">
      <c r="A75" s="15">
        <v>58</v>
      </c>
      <c r="B75" s="16" t="s">
        <v>290</v>
      </c>
      <c r="C75" s="17" t="s">
        <v>39</v>
      </c>
      <c r="D75" s="37">
        <v>3</v>
      </c>
      <c r="E75" s="37">
        <v>2</v>
      </c>
      <c r="F75" s="37">
        <f t="shared" si="1"/>
        <v>5</v>
      </c>
    </row>
    <row r="76" spans="1:6" ht="28.8" x14ac:dyDescent="0.3">
      <c r="A76" s="15">
        <v>59</v>
      </c>
      <c r="B76" s="16" t="s">
        <v>291</v>
      </c>
      <c r="C76" s="17" t="s">
        <v>39</v>
      </c>
      <c r="D76" s="37"/>
      <c r="E76" s="37">
        <v>1</v>
      </c>
      <c r="F76" s="37">
        <f t="shared" si="1"/>
        <v>1</v>
      </c>
    </row>
    <row r="77" spans="1:6" ht="28.8" x14ac:dyDescent="0.3">
      <c r="A77" s="15">
        <v>60</v>
      </c>
      <c r="B77" s="16" t="s">
        <v>292</v>
      </c>
      <c r="C77" s="17" t="s">
        <v>39</v>
      </c>
      <c r="D77" s="37">
        <v>1</v>
      </c>
      <c r="E77" s="37">
        <v>2</v>
      </c>
      <c r="F77" s="37">
        <f t="shared" si="1"/>
        <v>3</v>
      </c>
    </row>
    <row r="78" spans="1:6" ht="28.8" x14ac:dyDescent="0.3">
      <c r="A78" s="15">
        <v>61</v>
      </c>
      <c r="B78" s="16" t="s">
        <v>293</v>
      </c>
      <c r="C78" s="17" t="s">
        <v>39</v>
      </c>
      <c r="D78" s="37"/>
      <c r="E78" s="37">
        <v>1</v>
      </c>
      <c r="F78" s="37">
        <f t="shared" si="1"/>
        <v>1</v>
      </c>
    </row>
    <row r="79" spans="1:6" ht="28.8" x14ac:dyDescent="0.3">
      <c r="A79" s="15">
        <v>62</v>
      </c>
      <c r="B79" s="16" t="s">
        <v>294</v>
      </c>
      <c r="C79" s="17" t="s">
        <v>39</v>
      </c>
      <c r="D79" s="37">
        <v>1</v>
      </c>
      <c r="E79" s="37">
        <v>1</v>
      </c>
      <c r="F79" s="37">
        <f t="shared" si="1"/>
        <v>2</v>
      </c>
    </row>
    <row r="80" spans="1:6" ht="28.8" x14ac:dyDescent="0.3">
      <c r="A80" s="15">
        <v>63</v>
      </c>
      <c r="B80" s="16" t="s">
        <v>295</v>
      </c>
      <c r="C80" s="17" t="s">
        <v>39</v>
      </c>
      <c r="D80" s="37"/>
      <c r="E80" s="37">
        <v>1</v>
      </c>
      <c r="F80" s="37">
        <f t="shared" si="1"/>
        <v>1</v>
      </c>
    </row>
    <row r="81" spans="1:6" ht="28.8" x14ac:dyDescent="0.3">
      <c r="A81" s="15">
        <v>64</v>
      </c>
      <c r="B81" s="16" t="s">
        <v>296</v>
      </c>
      <c r="C81" s="17" t="s">
        <v>39</v>
      </c>
      <c r="D81" s="37">
        <v>1</v>
      </c>
      <c r="E81" s="37"/>
      <c r="F81" s="37">
        <f t="shared" si="1"/>
        <v>1</v>
      </c>
    </row>
    <row r="82" spans="1:6" ht="28.8" x14ac:dyDescent="0.3">
      <c r="A82" s="15">
        <v>65</v>
      </c>
      <c r="B82" s="16" t="s">
        <v>297</v>
      </c>
      <c r="C82" s="17" t="s">
        <v>39</v>
      </c>
      <c r="D82" s="37"/>
      <c r="E82" s="37">
        <v>1</v>
      </c>
      <c r="F82" s="37">
        <f t="shared" si="1"/>
        <v>1</v>
      </c>
    </row>
    <row r="83" spans="1:6" ht="28.8" x14ac:dyDescent="0.3">
      <c r="A83" s="15">
        <v>66</v>
      </c>
      <c r="B83" s="16" t="s">
        <v>298</v>
      </c>
      <c r="C83" s="17" t="s">
        <v>39</v>
      </c>
      <c r="D83" s="37"/>
      <c r="E83" s="37">
        <v>2</v>
      </c>
      <c r="F83" s="37">
        <f t="shared" si="1"/>
        <v>2</v>
      </c>
    </row>
    <row r="84" spans="1:6" ht="28.8" x14ac:dyDescent="0.3">
      <c r="A84" s="15">
        <v>67</v>
      </c>
      <c r="B84" s="16" t="s">
        <v>202</v>
      </c>
      <c r="C84" s="17" t="s">
        <v>39</v>
      </c>
      <c r="D84" s="37">
        <v>1</v>
      </c>
      <c r="E84" s="37"/>
      <c r="F84" s="37">
        <f t="shared" si="1"/>
        <v>1</v>
      </c>
    </row>
    <row r="85" spans="1:6" ht="28.8" x14ac:dyDescent="0.3">
      <c r="A85" s="15">
        <v>68</v>
      </c>
      <c r="B85" s="16" t="s">
        <v>299</v>
      </c>
      <c r="C85" s="17" t="s">
        <v>39</v>
      </c>
      <c r="D85" s="37">
        <v>1</v>
      </c>
      <c r="E85" s="37"/>
      <c r="F85" s="37">
        <f t="shared" si="1"/>
        <v>1</v>
      </c>
    </row>
    <row r="86" spans="1:6" ht="28.8" x14ac:dyDescent="0.3">
      <c r="A86" s="15">
        <v>69</v>
      </c>
      <c r="B86" s="16" t="s">
        <v>300</v>
      </c>
      <c r="C86" s="17" t="s">
        <v>39</v>
      </c>
      <c r="D86" s="37"/>
      <c r="E86" s="37"/>
      <c r="F86" s="37">
        <f t="shared" si="1"/>
        <v>0</v>
      </c>
    </row>
    <row r="87" spans="1:6" ht="28.8" x14ac:dyDescent="0.3">
      <c r="A87" s="15">
        <v>70</v>
      </c>
      <c r="B87" s="16" t="s">
        <v>301</v>
      </c>
      <c r="C87" s="17" t="s">
        <v>39</v>
      </c>
      <c r="D87" s="37"/>
      <c r="E87" s="37">
        <v>1</v>
      </c>
      <c r="F87" s="37">
        <f t="shared" si="1"/>
        <v>1</v>
      </c>
    </row>
    <row r="88" spans="1:6" ht="28.8" x14ac:dyDescent="0.3">
      <c r="A88" s="15">
        <v>71</v>
      </c>
      <c r="B88" s="16" t="s">
        <v>302</v>
      </c>
      <c r="C88" s="17" t="s">
        <v>39</v>
      </c>
      <c r="D88" s="37">
        <v>1</v>
      </c>
      <c r="E88" s="37"/>
      <c r="F88" s="37">
        <f t="shared" si="1"/>
        <v>1</v>
      </c>
    </row>
    <row r="89" spans="1:6" ht="28.8" x14ac:dyDescent="0.3">
      <c r="A89" s="15">
        <v>72</v>
      </c>
      <c r="B89" s="16" t="s">
        <v>303</v>
      </c>
      <c r="C89" s="17" t="s">
        <v>39</v>
      </c>
      <c r="D89" s="37">
        <v>2</v>
      </c>
      <c r="E89" s="37"/>
      <c r="F89" s="37">
        <f t="shared" si="1"/>
        <v>2</v>
      </c>
    </row>
    <row r="90" spans="1:6" ht="28.8" x14ac:dyDescent="0.3">
      <c r="A90" s="15">
        <v>73</v>
      </c>
      <c r="B90" s="16" t="s">
        <v>304</v>
      </c>
      <c r="C90" s="17" t="s">
        <v>39</v>
      </c>
      <c r="D90" s="37">
        <v>1</v>
      </c>
      <c r="E90" s="37"/>
      <c r="F90" s="37">
        <f t="shared" si="1"/>
        <v>1</v>
      </c>
    </row>
    <row r="91" spans="1:6" s="61" customFormat="1" ht="15.75" hidden="1" customHeight="1" x14ac:dyDescent="0.3">
      <c r="A91" s="15">
        <v>74</v>
      </c>
      <c r="B91" s="60" t="s">
        <v>211</v>
      </c>
      <c r="C91" s="17" t="s">
        <v>39</v>
      </c>
      <c r="D91" s="37"/>
      <c r="E91" s="37">
        <v>10</v>
      </c>
      <c r="F91" s="37">
        <f>D91+E91</f>
        <v>10</v>
      </c>
    </row>
    <row r="92" spans="1:6" s="20" customFormat="1" ht="15.75" hidden="1" customHeight="1" x14ac:dyDescent="0.3">
      <c r="A92" s="15">
        <v>75</v>
      </c>
      <c r="B92" s="60" t="s">
        <v>45</v>
      </c>
      <c r="C92" s="17" t="s">
        <v>39</v>
      </c>
      <c r="D92" s="62"/>
      <c r="E92" s="37">
        <v>10</v>
      </c>
      <c r="F92" s="37">
        <f>D92+E92</f>
        <v>10</v>
      </c>
    </row>
    <row r="93" spans="1:6" s="52" customFormat="1" ht="15.75" hidden="1" customHeight="1" x14ac:dyDescent="0.3">
      <c r="A93" s="15">
        <v>76</v>
      </c>
      <c r="B93" s="50" t="s">
        <v>87</v>
      </c>
      <c r="C93" s="17" t="s">
        <v>39</v>
      </c>
      <c r="D93" s="48"/>
      <c r="E93" s="48">
        <v>10</v>
      </c>
      <c r="F93" s="48">
        <f>D93+E93</f>
        <v>10</v>
      </c>
    </row>
    <row r="94" spans="1:6" s="20" customFormat="1" ht="15.75" hidden="1" customHeight="1" x14ac:dyDescent="0.3">
      <c r="A94" s="15">
        <v>77</v>
      </c>
      <c r="B94" s="60" t="s">
        <v>42</v>
      </c>
      <c r="C94" s="17" t="s">
        <v>39</v>
      </c>
      <c r="D94" s="62"/>
      <c r="E94" s="37">
        <v>5</v>
      </c>
      <c r="F94" s="37">
        <f>D94+E94</f>
        <v>5</v>
      </c>
    </row>
    <row r="95" spans="1:6" s="20" customFormat="1" ht="15.75" hidden="1" customHeight="1" x14ac:dyDescent="0.3">
      <c r="A95" s="15">
        <v>78</v>
      </c>
      <c r="B95" s="16" t="s">
        <v>234</v>
      </c>
      <c r="C95" s="17" t="s">
        <v>39</v>
      </c>
      <c r="D95" s="45">
        <v>1</v>
      </c>
      <c r="E95" s="37">
        <v>3</v>
      </c>
      <c r="F95" s="37">
        <f t="shared" si="1"/>
        <v>4</v>
      </c>
    </row>
    <row r="96" spans="1:6" s="20" customFormat="1" ht="15.75" hidden="1" customHeight="1" x14ac:dyDescent="0.3">
      <c r="A96" s="15">
        <v>79</v>
      </c>
      <c r="B96" s="16" t="s">
        <v>305</v>
      </c>
      <c r="C96" s="17" t="s">
        <v>39</v>
      </c>
      <c r="D96" s="45">
        <v>1</v>
      </c>
      <c r="E96" s="37"/>
      <c r="F96" s="37">
        <f t="shared" si="1"/>
        <v>1</v>
      </c>
    </row>
    <row r="97" spans="1:6" s="20" customFormat="1" hidden="1" x14ac:dyDescent="0.3">
      <c r="A97" s="15">
        <v>80</v>
      </c>
      <c r="B97" s="54" t="s">
        <v>306</v>
      </c>
      <c r="C97" s="17" t="s">
        <v>39</v>
      </c>
      <c r="D97" s="45">
        <v>1</v>
      </c>
      <c r="E97" s="37"/>
      <c r="F97" s="37">
        <f t="shared" si="1"/>
        <v>1</v>
      </c>
    </row>
    <row r="98" spans="1:6" s="20" customFormat="1" hidden="1" x14ac:dyDescent="0.3">
      <c r="A98" s="15">
        <v>81</v>
      </c>
      <c r="B98" s="54" t="s">
        <v>236</v>
      </c>
      <c r="C98" s="17" t="s">
        <v>39</v>
      </c>
      <c r="D98" s="45">
        <v>1</v>
      </c>
      <c r="E98" s="37">
        <v>3</v>
      </c>
      <c r="F98" s="37">
        <f t="shared" si="1"/>
        <v>4</v>
      </c>
    </row>
    <row r="99" spans="1:6" s="20" customFormat="1" ht="28.8" hidden="1" x14ac:dyDescent="0.3">
      <c r="A99" s="15">
        <v>82</v>
      </c>
      <c r="B99" s="54" t="s">
        <v>212</v>
      </c>
      <c r="C99" s="17" t="s">
        <v>39</v>
      </c>
      <c r="D99" s="45">
        <v>7</v>
      </c>
      <c r="E99" s="37">
        <v>10</v>
      </c>
      <c r="F99" s="37">
        <f t="shared" si="1"/>
        <v>17</v>
      </c>
    </row>
    <row r="100" spans="1:6" s="20" customFormat="1" hidden="1" x14ac:dyDescent="0.3">
      <c r="A100" s="15">
        <v>83</v>
      </c>
      <c r="B100" s="54" t="s">
        <v>213</v>
      </c>
      <c r="C100" s="17" t="s">
        <v>39</v>
      </c>
      <c r="D100" s="45">
        <v>7</v>
      </c>
      <c r="E100" s="37">
        <v>10</v>
      </c>
      <c r="F100" s="37">
        <f t="shared" si="1"/>
        <v>17</v>
      </c>
    </row>
    <row r="101" spans="1:6" s="20" customFormat="1" hidden="1" x14ac:dyDescent="0.3">
      <c r="A101" s="15">
        <v>84</v>
      </c>
      <c r="B101" s="54" t="s">
        <v>214</v>
      </c>
      <c r="C101" s="17" t="s">
        <v>39</v>
      </c>
      <c r="D101" s="45">
        <v>11</v>
      </c>
      <c r="E101" s="37">
        <v>29</v>
      </c>
      <c r="F101" s="37">
        <f t="shared" si="1"/>
        <v>40</v>
      </c>
    </row>
    <row r="102" spans="1:6" s="20" customFormat="1" hidden="1" x14ac:dyDescent="0.3">
      <c r="A102" s="15">
        <v>85</v>
      </c>
      <c r="B102" s="60" t="s">
        <v>215</v>
      </c>
      <c r="C102" s="17" t="s">
        <v>39</v>
      </c>
      <c r="D102" s="45">
        <v>4</v>
      </c>
      <c r="E102" s="37">
        <v>2</v>
      </c>
      <c r="F102" s="37">
        <f t="shared" si="1"/>
        <v>6</v>
      </c>
    </row>
    <row r="103" spans="1:6" s="20" customFormat="1" ht="15.75" hidden="1" customHeight="1" x14ac:dyDescent="0.3">
      <c r="A103" s="15">
        <v>86</v>
      </c>
      <c r="B103" s="54" t="s">
        <v>56</v>
      </c>
      <c r="C103" s="17" t="s">
        <v>0</v>
      </c>
      <c r="D103" s="45">
        <v>54.5</v>
      </c>
      <c r="E103" s="37">
        <v>85.8</v>
      </c>
      <c r="F103" s="37">
        <f t="shared" si="1"/>
        <v>140.30000000000001</v>
      </c>
    </row>
    <row r="104" spans="1:6" s="20" customFormat="1" ht="15.75" hidden="1" customHeight="1" x14ac:dyDescent="0.3">
      <c r="A104" s="15">
        <v>87</v>
      </c>
      <c r="B104" s="54" t="s">
        <v>57</v>
      </c>
      <c r="C104" s="17" t="s">
        <v>0</v>
      </c>
      <c r="D104" s="45">
        <v>28.8</v>
      </c>
      <c r="E104" s="37">
        <v>34.5</v>
      </c>
      <c r="F104" s="37">
        <f t="shared" si="1"/>
        <v>63.3</v>
      </c>
    </row>
    <row r="105" spans="1:6" s="20" customFormat="1" ht="15.75" hidden="1" customHeight="1" x14ac:dyDescent="0.3">
      <c r="A105" s="15">
        <v>88</v>
      </c>
      <c r="B105" s="54" t="s">
        <v>58</v>
      </c>
      <c r="C105" s="17" t="s">
        <v>0</v>
      </c>
      <c r="D105" s="45">
        <v>21.3</v>
      </c>
      <c r="E105" s="37">
        <v>27.4</v>
      </c>
      <c r="F105" s="37">
        <f t="shared" si="1"/>
        <v>48.7</v>
      </c>
    </row>
    <row r="106" spans="1:6" s="20" customFormat="1" ht="15.75" hidden="1" customHeight="1" x14ac:dyDescent="0.3">
      <c r="A106" s="15">
        <v>89</v>
      </c>
      <c r="B106" s="54" t="s">
        <v>59</v>
      </c>
      <c r="C106" s="17" t="s">
        <v>0</v>
      </c>
      <c r="D106" s="45">
        <v>77.2</v>
      </c>
      <c r="E106" s="37">
        <v>147.80000000000001</v>
      </c>
      <c r="F106" s="37">
        <f t="shared" si="1"/>
        <v>225</v>
      </c>
    </row>
    <row r="107" spans="1:6" s="20" customFormat="1" ht="15.75" hidden="1" customHeight="1" x14ac:dyDescent="0.3">
      <c r="A107" s="15">
        <v>90</v>
      </c>
      <c r="B107" s="54" t="s">
        <v>60</v>
      </c>
      <c r="C107" s="19" t="s">
        <v>0</v>
      </c>
      <c r="D107" s="45">
        <v>19</v>
      </c>
      <c r="E107" s="37">
        <v>2.1</v>
      </c>
      <c r="F107" s="37">
        <f t="shared" si="1"/>
        <v>21.1</v>
      </c>
    </row>
    <row r="108" spans="1:6" s="20" customFormat="1" ht="15.75" hidden="1" customHeight="1" x14ac:dyDescent="0.3">
      <c r="A108" s="15">
        <v>91</v>
      </c>
      <c r="B108" s="54" t="s">
        <v>61</v>
      </c>
      <c r="C108" s="19" t="s">
        <v>0</v>
      </c>
      <c r="D108" s="45">
        <v>21.8</v>
      </c>
      <c r="E108" s="37">
        <v>2.4</v>
      </c>
      <c r="F108" s="37">
        <f t="shared" si="1"/>
        <v>24.2</v>
      </c>
    </row>
    <row r="109" spans="1:6" s="20" customFormat="1" ht="15.75" hidden="1" customHeight="1" x14ac:dyDescent="0.3">
      <c r="A109" s="15">
        <v>92</v>
      </c>
      <c r="B109" s="54" t="s">
        <v>62</v>
      </c>
      <c r="C109" s="19" t="s">
        <v>0</v>
      </c>
      <c r="D109" s="45">
        <v>26.7</v>
      </c>
      <c r="E109" s="37">
        <v>43.1</v>
      </c>
      <c r="F109" s="37">
        <f t="shared" si="1"/>
        <v>69.8</v>
      </c>
    </row>
    <row r="110" spans="1:6" s="20" customFormat="1" ht="15.75" hidden="1" customHeight="1" x14ac:dyDescent="0.3">
      <c r="A110" s="15">
        <v>93</v>
      </c>
      <c r="B110" s="54" t="s">
        <v>63</v>
      </c>
      <c r="C110" s="19" t="s">
        <v>0</v>
      </c>
      <c r="D110" s="45"/>
      <c r="E110" s="37">
        <v>26</v>
      </c>
      <c r="F110" s="37">
        <f t="shared" si="1"/>
        <v>26</v>
      </c>
    </row>
    <row r="111" spans="1:6" s="20" customFormat="1" ht="15.75" hidden="1" customHeight="1" x14ac:dyDescent="0.3">
      <c r="A111" s="15">
        <v>94</v>
      </c>
      <c r="B111" s="54" t="s">
        <v>67</v>
      </c>
      <c r="C111" s="19" t="s">
        <v>0</v>
      </c>
      <c r="D111" s="45">
        <v>76.5</v>
      </c>
      <c r="E111" s="37">
        <v>142.6</v>
      </c>
      <c r="F111" s="37">
        <f t="shared" si="1"/>
        <v>219.1</v>
      </c>
    </row>
    <row r="112" spans="1:6" s="20" customFormat="1" ht="15.75" hidden="1" customHeight="1" x14ac:dyDescent="0.3">
      <c r="A112" s="15">
        <v>95</v>
      </c>
      <c r="B112" s="54" t="s">
        <v>218</v>
      </c>
      <c r="C112" s="19" t="s">
        <v>0</v>
      </c>
      <c r="D112" s="45"/>
      <c r="E112" s="37">
        <v>0.3</v>
      </c>
      <c r="F112" s="37">
        <f t="shared" si="1"/>
        <v>0.3</v>
      </c>
    </row>
    <row r="113" spans="1:6" s="20" customFormat="1" ht="15.75" hidden="1" customHeight="1" x14ac:dyDescent="0.3">
      <c r="A113" s="15">
        <v>96</v>
      </c>
      <c r="B113" s="54" t="s">
        <v>68</v>
      </c>
      <c r="C113" s="19" t="s">
        <v>0</v>
      </c>
      <c r="D113" s="45">
        <v>19</v>
      </c>
      <c r="E113" s="37">
        <v>2</v>
      </c>
      <c r="F113" s="37">
        <f t="shared" si="1"/>
        <v>21</v>
      </c>
    </row>
    <row r="114" spans="1:6" s="20" customFormat="1" ht="15.75" hidden="1" customHeight="1" x14ac:dyDescent="0.3">
      <c r="A114" s="15">
        <v>97</v>
      </c>
      <c r="B114" s="54" t="s">
        <v>70</v>
      </c>
      <c r="C114" s="19" t="s">
        <v>0</v>
      </c>
      <c r="D114" s="45">
        <v>21.8</v>
      </c>
      <c r="E114" s="37">
        <v>2.4</v>
      </c>
      <c r="F114" s="37">
        <f t="shared" si="1"/>
        <v>24.2</v>
      </c>
    </row>
    <row r="115" spans="1:6" s="20" customFormat="1" ht="15.75" hidden="1" customHeight="1" x14ac:dyDescent="0.3">
      <c r="A115" s="15">
        <v>98</v>
      </c>
      <c r="B115" s="54" t="s">
        <v>71</v>
      </c>
      <c r="C115" s="19" t="s">
        <v>0</v>
      </c>
      <c r="D115" s="45">
        <v>26.7</v>
      </c>
      <c r="E115" s="37">
        <v>37.5</v>
      </c>
      <c r="F115" s="37">
        <f t="shared" si="1"/>
        <v>64.2</v>
      </c>
    </row>
    <row r="116" spans="1:6" s="20" customFormat="1" ht="15.75" hidden="1" customHeight="1" x14ac:dyDescent="0.3">
      <c r="A116" s="15">
        <v>99</v>
      </c>
      <c r="B116" s="54" t="s">
        <v>72</v>
      </c>
      <c r="C116" s="19" t="s">
        <v>0</v>
      </c>
      <c r="D116" s="45"/>
      <c r="E116" s="37">
        <v>26</v>
      </c>
      <c r="F116" s="37">
        <f t="shared" si="1"/>
        <v>26</v>
      </c>
    </row>
    <row r="117" spans="1:6" s="20" customFormat="1" ht="28.8" hidden="1" x14ac:dyDescent="0.3">
      <c r="A117" s="15">
        <v>100</v>
      </c>
      <c r="B117" s="54" t="s">
        <v>286</v>
      </c>
      <c r="C117" s="19" t="s">
        <v>0</v>
      </c>
      <c r="D117" s="45">
        <v>54.5</v>
      </c>
      <c r="E117" s="37">
        <v>85.2</v>
      </c>
      <c r="F117" s="37">
        <f t="shared" si="1"/>
        <v>139.69999999999999</v>
      </c>
    </row>
    <row r="118" spans="1:6" s="20" customFormat="1" ht="28.8" hidden="1" x14ac:dyDescent="0.3">
      <c r="A118" s="15">
        <v>101</v>
      </c>
      <c r="B118" s="54" t="s">
        <v>287</v>
      </c>
      <c r="C118" s="19" t="s">
        <v>0</v>
      </c>
      <c r="D118" s="55">
        <v>28</v>
      </c>
      <c r="E118" s="37">
        <v>34.5</v>
      </c>
      <c r="F118" s="37">
        <f t="shared" si="1"/>
        <v>62.5</v>
      </c>
    </row>
    <row r="119" spans="1:6" ht="28.8" hidden="1" x14ac:dyDescent="0.3">
      <c r="A119" s="15">
        <v>102</v>
      </c>
      <c r="B119" s="54" t="s">
        <v>307</v>
      </c>
      <c r="C119" s="17" t="s">
        <v>0</v>
      </c>
      <c r="D119" s="37">
        <v>21.3</v>
      </c>
      <c r="E119" s="37">
        <v>27.4</v>
      </c>
      <c r="F119" s="37">
        <f t="shared" si="1"/>
        <v>48.7</v>
      </c>
    </row>
    <row r="120" spans="1:6" hidden="1" x14ac:dyDescent="0.3">
      <c r="A120" s="15">
        <v>103</v>
      </c>
      <c r="B120" s="16" t="s">
        <v>158</v>
      </c>
      <c r="C120" s="17" t="s">
        <v>159</v>
      </c>
      <c r="D120" s="37">
        <v>1</v>
      </c>
      <c r="E120" s="37"/>
      <c r="F120" s="37">
        <f t="shared" si="1"/>
        <v>1</v>
      </c>
    </row>
    <row r="121" spans="1:6" hidden="1" x14ac:dyDescent="0.3">
      <c r="A121" s="15">
        <v>104</v>
      </c>
      <c r="B121" s="16" t="s">
        <v>158</v>
      </c>
      <c r="C121" s="17" t="s">
        <v>159</v>
      </c>
      <c r="D121" s="37"/>
      <c r="E121" s="37">
        <v>1</v>
      </c>
      <c r="F121" s="37">
        <f t="shared" si="1"/>
        <v>1</v>
      </c>
    </row>
    <row r="122" spans="1:6" hidden="1" x14ac:dyDescent="0.3">
      <c r="A122" s="15">
        <v>105</v>
      </c>
      <c r="B122" s="16" t="s">
        <v>80</v>
      </c>
      <c r="C122" s="17" t="s">
        <v>69</v>
      </c>
      <c r="D122" s="37">
        <v>16.649999999999999</v>
      </c>
      <c r="E122" s="37">
        <v>27.13</v>
      </c>
      <c r="F122" s="37">
        <f>D122+E122</f>
        <v>43.78</v>
      </c>
    </row>
    <row r="123" spans="1:6" hidden="1" x14ac:dyDescent="0.3">
      <c r="A123" s="15">
        <v>106</v>
      </c>
      <c r="B123" s="16" t="s">
        <v>79</v>
      </c>
      <c r="C123" s="17" t="s">
        <v>69</v>
      </c>
      <c r="D123" s="37">
        <v>1.53</v>
      </c>
      <c r="E123" s="37">
        <v>2.65</v>
      </c>
      <c r="F123" s="37">
        <f t="shared" si="1"/>
        <v>4.18</v>
      </c>
    </row>
    <row r="124" spans="1:6" hidden="1" x14ac:dyDescent="0.3">
      <c r="A124" s="15">
        <v>107</v>
      </c>
      <c r="B124" s="16" t="s">
        <v>81</v>
      </c>
      <c r="C124" s="17" t="s">
        <v>69</v>
      </c>
      <c r="D124" s="37">
        <v>3.29</v>
      </c>
      <c r="E124" s="37">
        <v>5.68</v>
      </c>
      <c r="F124" s="37">
        <f t="shared" si="1"/>
        <v>8.9699999999999989</v>
      </c>
    </row>
    <row r="125" spans="1:6" s="14" customFormat="1" hidden="1" x14ac:dyDescent="0.3">
      <c r="A125" s="81" t="s">
        <v>221</v>
      </c>
      <c r="B125" s="81"/>
      <c r="C125" s="81"/>
      <c r="D125" s="44"/>
      <c r="E125" s="44"/>
      <c r="F125" s="44"/>
    </row>
    <row r="126" spans="1:6" ht="28.8" x14ac:dyDescent="0.3">
      <c r="A126" s="15">
        <v>108</v>
      </c>
      <c r="B126" s="16" t="s">
        <v>308</v>
      </c>
      <c r="C126" s="17" t="s">
        <v>39</v>
      </c>
      <c r="D126" s="37"/>
      <c r="E126" s="37">
        <v>1</v>
      </c>
      <c r="F126" s="37">
        <f t="shared" ref="F126:F156" si="2">D126+E126</f>
        <v>1</v>
      </c>
    </row>
    <row r="127" spans="1:6" ht="28.8" x14ac:dyDescent="0.3">
      <c r="A127" s="15">
        <v>109</v>
      </c>
      <c r="B127" s="16" t="s">
        <v>309</v>
      </c>
      <c r="C127" s="17" t="s">
        <v>39</v>
      </c>
      <c r="D127" s="37"/>
      <c r="E127" s="37">
        <v>7</v>
      </c>
      <c r="F127" s="37">
        <f t="shared" si="2"/>
        <v>7</v>
      </c>
    </row>
    <row r="128" spans="1:6" ht="28.8" x14ac:dyDescent="0.3">
      <c r="A128" s="15">
        <v>110</v>
      </c>
      <c r="B128" s="16" t="s">
        <v>310</v>
      </c>
      <c r="C128" s="17" t="s">
        <v>39</v>
      </c>
      <c r="D128" s="37"/>
      <c r="E128" s="37">
        <v>3</v>
      </c>
      <c r="F128" s="37">
        <f t="shared" si="2"/>
        <v>3</v>
      </c>
    </row>
    <row r="129" spans="1:6" ht="28.8" x14ac:dyDescent="0.3">
      <c r="A129" s="15">
        <v>111</v>
      </c>
      <c r="B129" s="16" t="s">
        <v>311</v>
      </c>
      <c r="C129" s="17" t="s">
        <v>39</v>
      </c>
      <c r="D129" s="37"/>
      <c r="E129" s="37">
        <v>1</v>
      </c>
      <c r="F129" s="37">
        <f t="shared" si="2"/>
        <v>1</v>
      </c>
    </row>
    <row r="130" spans="1:6" ht="28.8" x14ac:dyDescent="0.3">
      <c r="A130" s="15">
        <v>112</v>
      </c>
      <c r="B130" s="16" t="s">
        <v>312</v>
      </c>
      <c r="C130" s="17" t="s">
        <v>39</v>
      </c>
      <c r="D130" s="37">
        <v>5</v>
      </c>
      <c r="E130" s="37"/>
      <c r="F130" s="37">
        <f t="shared" si="2"/>
        <v>5</v>
      </c>
    </row>
    <row r="131" spans="1:6" ht="28.8" x14ac:dyDescent="0.3">
      <c r="A131" s="15">
        <v>113</v>
      </c>
      <c r="B131" s="16" t="s">
        <v>313</v>
      </c>
      <c r="C131" s="17" t="s">
        <v>39</v>
      </c>
      <c r="D131" s="37">
        <v>1</v>
      </c>
      <c r="E131" s="37"/>
      <c r="F131" s="37">
        <f t="shared" si="2"/>
        <v>1</v>
      </c>
    </row>
    <row r="132" spans="1:6" ht="28.8" x14ac:dyDescent="0.3">
      <c r="A132" s="15">
        <v>114</v>
      </c>
      <c r="B132" s="16" t="s">
        <v>314</v>
      </c>
      <c r="C132" s="17" t="s">
        <v>39</v>
      </c>
      <c r="D132" s="37"/>
      <c r="E132" s="37">
        <v>1</v>
      </c>
      <c r="F132" s="37">
        <f t="shared" si="2"/>
        <v>1</v>
      </c>
    </row>
    <row r="133" spans="1:6" ht="28.8" x14ac:dyDescent="0.3">
      <c r="A133" s="15">
        <v>115</v>
      </c>
      <c r="B133" s="16" t="s">
        <v>315</v>
      </c>
      <c r="C133" s="17" t="s">
        <v>39</v>
      </c>
      <c r="D133" s="37">
        <v>7</v>
      </c>
      <c r="E133" s="37">
        <v>12</v>
      </c>
      <c r="F133" s="37">
        <f t="shared" si="2"/>
        <v>19</v>
      </c>
    </row>
    <row r="134" spans="1:6" ht="28.8" x14ac:dyDescent="0.3">
      <c r="A134" s="15">
        <v>116</v>
      </c>
      <c r="B134" s="16" t="s">
        <v>316</v>
      </c>
      <c r="C134" s="17" t="s">
        <v>39</v>
      </c>
      <c r="D134" s="46">
        <v>1</v>
      </c>
      <c r="E134" s="46">
        <v>1</v>
      </c>
      <c r="F134" s="37">
        <f t="shared" si="2"/>
        <v>2</v>
      </c>
    </row>
    <row r="135" spans="1:6" hidden="1" x14ac:dyDescent="0.3">
      <c r="A135" s="15">
        <v>117</v>
      </c>
      <c r="B135" s="16" t="s">
        <v>41</v>
      </c>
      <c r="C135" s="17" t="s">
        <v>39</v>
      </c>
      <c r="D135" s="37"/>
      <c r="E135" s="37"/>
      <c r="F135" s="37">
        <f t="shared" si="2"/>
        <v>0</v>
      </c>
    </row>
    <row r="136" spans="1:6" hidden="1" x14ac:dyDescent="0.3">
      <c r="A136" s="15">
        <v>118</v>
      </c>
      <c r="B136" s="16" t="s">
        <v>42</v>
      </c>
      <c r="C136" s="17" t="s">
        <v>39</v>
      </c>
      <c r="D136" s="37">
        <v>2</v>
      </c>
      <c r="E136" s="37">
        <v>2</v>
      </c>
      <c r="F136" s="37">
        <f t="shared" si="2"/>
        <v>4</v>
      </c>
    </row>
    <row r="137" spans="1:6" hidden="1" x14ac:dyDescent="0.3">
      <c r="A137" s="15">
        <v>119</v>
      </c>
      <c r="B137" s="16" t="s">
        <v>234</v>
      </c>
      <c r="C137" s="17" t="s">
        <v>39</v>
      </c>
      <c r="D137" s="37">
        <v>2</v>
      </c>
      <c r="E137" s="37">
        <v>2</v>
      </c>
      <c r="F137" s="37">
        <f t="shared" si="2"/>
        <v>4</v>
      </c>
    </row>
    <row r="138" spans="1:6" hidden="1" x14ac:dyDescent="0.3">
      <c r="A138" s="15">
        <v>120</v>
      </c>
      <c r="B138" s="16" t="s">
        <v>236</v>
      </c>
      <c r="C138" s="17" t="s">
        <v>39</v>
      </c>
      <c r="D138" s="37">
        <v>2</v>
      </c>
      <c r="E138" s="37">
        <v>2</v>
      </c>
      <c r="F138" s="37">
        <f t="shared" si="2"/>
        <v>4</v>
      </c>
    </row>
    <row r="139" spans="1:6" ht="28.8" hidden="1" x14ac:dyDescent="0.3">
      <c r="A139" s="15">
        <v>121</v>
      </c>
      <c r="B139" s="16" t="s">
        <v>212</v>
      </c>
      <c r="C139" s="17" t="s">
        <v>39</v>
      </c>
      <c r="D139" s="37">
        <v>14</v>
      </c>
      <c r="E139" s="37">
        <v>26</v>
      </c>
      <c r="F139" s="37">
        <f t="shared" si="2"/>
        <v>40</v>
      </c>
    </row>
    <row r="140" spans="1:6" hidden="1" x14ac:dyDescent="0.3">
      <c r="A140" s="15">
        <v>122</v>
      </c>
      <c r="B140" s="16" t="s">
        <v>213</v>
      </c>
      <c r="C140" s="17" t="s">
        <v>39</v>
      </c>
      <c r="D140" s="37">
        <v>14</v>
      </c>
      <c r="E140" s="37">
        <v>26</v>
      </c>
      <c r="F140" s="37">
        <f t="shared" si="2"/>
        <v>40</v>
      </c>
    </row>
    <row r="141" spans="1:6" hidden="1" x14ac:dyDescent="0.3">
      <c r="A141" s="15">
        <v>123</v>
      </c>
      <c r="B141" s="16" t="s">
        <v>214</v>
      </c>
      <c r="C141" s="17" t="s">
        <v>39</v>
      </c>
      <c r="D141" s="37">
        <v>4</v>
      </c>
      <c r="E141" s="37">
        <v>6</v>
      </c>
      <c r="F141" s="37">
        <f t="shared" si="2"/>
        <v>10</v>
      </c>
    </row>
    <row r="142" spans="1:6" hidden="1" x14ac:dyDescent="0.3">
      <c r="A142" s="15">
        <v>124</v>
      </c>
      <c r="B142" s="16" t="s">
        <v>215</v>
      </c>
      <c r="C142" s="17" t="s">
        <v>39</v>
      </c>
      <c r="D142" s="37">
        <v>2</v>
      </c>
      <c r="E142" s="37">
        <v>4</v>
      </c>
      <c r="F142" s="37">
        <f t="shared" si="2"/>
        <v>6</v>
      </c>
    </row>
    <row r="143" spans="1:6" hidden="1" x14ac:dyDescent="0.3">
      <c r="A143" s="15">
        <v>125</v>
      </c>
      <c r="B143" s="54" t="s">
        <v>59</v>
      </c>
      <c r="C143" s="17" t="s">
        <v>0</v>
      </c>
      <c r="D143" s="37">
        <v>112.2</v>
      </c>
      <c r="E143" s="37">
        <v>83.5</v>
      </c>
      <c r="F143" s="37">
        <f t="shared" si="2"/>
        <v>195.7</v>
      </c>
    </row>
    <row r="144" spans="1:6" hidden="1" x14ac:dyDescent="0.3">
      <c r="A144" s="15">
        <v>126</v>
      </c>
      <c r="B144" s="54" t="s">
        <v>60</v>
      </c>
      <c r="C144" s="19" t="s">
        <v>0</v>
      </c>
      <c r="D144" s="37">
        <v>54.2</v>
      </c>
      <c r="E144" s="37">
        <v>146.9</v>
      </c>
      <c r="F144" s="37">
        <f t="shared" si="2"/>
        <v>201.10000000000002</v>
      </c>
    </row>
    <row r="145" spans="1:6" s="20" customFormat="1" hidden="1" x14ac:dyDescent="0.3">
      <c r="A145" s="15">
        <v>127</v>
      </c>
      <c r="B145" s="54" t="s">
        <v>61</v>
      </c>
      <c r="C145" s="19" t="s">
        <v>0</v>
      </c>
      <c r="D145" s="45"/>
      <c r="E145" s="45">
        <v>17.399999999999999</v>
      </c>
      <c r="F145" s="37">
        <f t="shared" si="2"/>
        <v>17.399999999999999</v>
      </c>
    </row>
    <row r="146" spans="1:6" s="20" customFormat="1" hidden="1" x14ac:dyDescent="0.3">
      <c r="A146" s="15">
        <v>128</v>
      </c>
      <c r="B146" s="54" t="s">
        <v>62</v>
      </c>
      <c r="C146" s="19" t="s">
        <v>0</v>
      </c>
      <c r="D146" s="45"/>
      <c r="E146" s="45">
        <v>30.8</v>
      </c>
      <c r="F146" s="37">
        <f t="shared" si="2"/>
        <v>30.8</v>
      </c>
    </row>
    <row r="147" spans="1:6" hidden="1" x14ac:dyDescent="0.3">
      <c r="A147" s="15">
        <v>129</v>
      </c>
      <c r="B147" s="54" t="s">
        <v>67</v>
      </c>
      <c r="C147" s="19" t="s">
        <v>0</v>
      </c>
      <c r="D147" s="37">
        <v>36.5</v>
      </c>
      <c r="E147" s="37">
        <v>22.9</v>
      </c>
      <c r="F147" s="37">
        <f t="shared" si="2"/>
        <v>59.4</v>
      </c>
    </row>
    <row r="148" spans="1:6" hidden="1" x14ac:dyDescent="0.3">
      <c r="A148" s="15">
        <v>130</v>
      </c>
      <c r="B148" s="54" t="s">
        <v>68</v>
      </c>
      <c r="C148" s="19" t="s">
        <v>0</v>
      </c>
      <c r="D148" s="37">
        <v>46.2</v>
      </c>
      <c r="E148" s="37">
        <v>104.3</v>
      </c>
      <c r="F148" s="37">
        <f t="shared" si="2"/>
        <v>150.5</v>
      </c>
    </row>
    <row r="149" spans="1:6" s="20" customFormat="1" hidden="1" x14ac:dyDescent="0.3">
      <c r="A149" s="15">
        <v>131</v>
      </c>
      <c r="B149" s="54" t="s">
        <v>71</v>
      </c>
      <c r="C149" s="19" t="s">
        <v>0</v>
      </c>
      <c r="D149" s="45"/>
      <c r="E149" s="45">
        <v>30.8</v>
      </c>
      <c r="F149" s="37">
        <f t="shared" si="2"/>
        <v>30.8</v>
      </c>
    </row>
    <row r="150" spans="1:6" s="20" customFormat="1" hidden="1" x14ac:dyDescent="0.3">
      <c r="A150" s="15">
        <v>132</v>
      </c>
      <c r="B150" s="54" t="s">
        <v>317</v>
      </c>
      <c r="C150" s="19" t="s">
        <v>0</v>
      </c>
      <c r="D150" s="45"/>
      <c r="E150" s="45">
        <v>17</v>
      </c>
      <c r="F150" s="37">
        <f t="shared" si="2"/>
        <v>17</v>
      </c>
    </row>
    <row r="151" spans="1:6" s="20" customFormat="1" hidden="1" x14ac:dyDescent="0.3">
      <c r="A151" s="15">
        <v>133</v>
      </c>
      <c r="B151" s="54" t="s">
        <v>318</v>
      </c>
      <c r="C151" s="19" t="s">
        <v>0</v>
      </c>
      <c r="D151" s="45"/>
      <c r="E151" s="45">
        <v>17.399999999999999</v>
      </c>
      <c r="F151" s="37">
        <f t="shared" si="2"/>
        <v>17.399999999999999</v>
      </c>
    </row>
    <row r="152" spans="1:6" hidden="1" x14ac:dyDescent="0.3">
      <c r="A152" s="15">
        <v>134</v>
      </c>
      <c r="B152" s="16" t="s">
        <v>158</v>
      </c>
      <c r="C152" s="17" t="s">
        <v>159</v>
      </c>
      <c r="D152" s="37">
        <v>1</v>
      </c>
      <c r="E152" s="37"/>
      <c r="F152" s="37">
        <f t="shared" si="2"/>
        <v>1</v>
      </c>
    </row>
    <row r="153" spans="1:6" hidden="1" x14ac:dyDescent="0.3">
      <c r="A153" s="15">
        <v>135</v>
      </c>
      <c r="B153" s="16" t="s">
        <v>158</v>
      </c>
      <c r="C153" s="17" t="s">
        <v>159</v>
      </c>
      <c r="D153" s="37"/>
      <c r="E153" s="37">
        <v>1</v>
      </c>
      <c r="F153" s="37">
        <f t="shared" si="2"/>
        <v>1</v>
      </c>
    </row>
    <row r="154" spans="1:6" hidden="1" x14ac:dyDescent="0.3">
      <c r="A154" s="15">
        <v>136</v>
      </c>
      <c r="B154" s="16" t="s">
        <v>80</v>
      </c>
      <c r="C154" s="17" t="s">
        <v>69</v>
      </c>
      <c r="D154" s="37">
        <v>22.44</v>
      </c>
      <c r="E154" s="37">
        <v>23.3</v>
      </c>
      <c r="F154" s="37">
        <f>D154+E154</f>
        <v>45.74</v>
      </c>
    </row>
    <row r="155" spans="1:6" hidden="1" x14ac:dyDescent="0.3">
      <c r="A155" s="15">
        <v>137</v>
      </c>
      <c r="B155" s="16" t="s">
        <v>79</v>
      </c>
      <c r="C155" s="17" t="s">
        <v>69</v>
      </c>
      <c r="D155" s="37">
        <v>1.69</v>
      </c>
      <c r="E155" s="37">
        <v>2.46</v>
      </c>
      <c r="F155" s="37">
        <f t="shared" si="2"/>
        <v>4.1500000000000004</v>
      </c>
    </row>
    <row r="156" spans="1:6" hidden="1" x14ac:dyDescent="0.3">
      <c r="A156" s="15">
        <v>138</v>
      </c>
      <c r="B156" s="16" t="s">
        <v>81</v>
      </c>
      <c r="C156" s="17" t="s">
        <v>69</v>
      </c>
      <c r="D156" s="37">
        <v>3.61</v>
      </c>
      <c r="E156" s="37">
        <v>5.28</v>
      </c>
      <c r="F156" s="37">
        <f t="shared" si="2"/>
        <v>8.89</v>
      </c>
    </row>
    <row r="157" spans="1:6" s="14" customFormat="1" hidden="1" x14ac:dyDescent="0.3">
      <c r="A157" s="81" t="s">
        <v>88</v>
      </c>
      <c r="B157" s="81"/>
      <c r="C157" s="81"/>
      <c r="D157" s="44"/>
      <c r="E157" s="44"/>
      <c r="F157" s="44"/>
    </row>
    <row r="158" spans="1:6" ht="28.8" x14ac:dyDescent="0.3">
      <c r="A158" s="15">
        <v>139</v>
      </c>
      <c r="B158" s="16" t="s">
        <v>241</v>
      </c>
      <c r="C158" s="17" t="s">
        <v>39</v>
      </c>
      <c r="D158" s="37"/>
      <c r="E158" s="37">
        <v>1</v>
      </c>
      <c r="F158" s="37">
        <f t="shared" ref="F158:F202" si="3">D158+E158</f>
        <v>1</v>
      </c>
    </row>
    <row r="159" spans="1:6" ht="28.8" x14ac:dyDescent="0.3">
      <c r="A159" s="15">
        <v>140</v>
      </c>
      <c r="B159" s="16" t="s">
        <v>319</v>
      </c>
      <c r="C159" s="17" t="s">
        <v>39</v>
      </c>
      <c r="D159" s="37"/>
      <c r="E159" s="37">
        <v>2</v>
      </c>
      <c r="F159" s="37">
        <f t="shared" si="3"/>
        <v>2</v>
      </c>
    </row>
    <row r="160" spans="1:6" ht="28.8" x14ac:dyDescent="0.3">
      <c r="A160" s="15">
        <v>141</v>
      </c>
      <c r="B160" s="16" t="s">
        <v>320</v>
      </c>
      <c r="C160" s="17" t="s">
        <v>39</v>
      </c>
      <c r="D160" s="37">
        <v>1</v>
      </c>
      <c r="E160" s="37"/>
      <c r="F160" s="37">
        <f t="shared" si="3"/>
        <v>1</v>
      </c>
    </row>
    <row r="161" spans="1:6" ht="28.8" x14ac:dyDescent="0.3">
      <c r="A161" s="15">
        <v>142</v>
      </c>
      <c r="B161" s="16" t="s">
        <v>321</v>
      </c>
      <c r="C161" s="17" t="s">
        <v>39</v>
      </c>
      <c r="D161" s="37"/>
      <c r="E161" s="37">
        <v>1</v>
      </c>
      <c r="F161" s="37">
        <f t="shared" si="3"/>
        <v>1</v>
      </c>
    </row>
    <row r="162" spans="1:6" ht="28.8" x14ac:dyDescent="0.3">
      <c r="A162" s="15">
        <v>143</v>
      </c>
      <c r="B162" s="16" t="s">
        <v>322</v>
      </c>
      <c r="C162" s="17" t="s">
        <v>39</v>
      </c>
      <c r="D162" s="37">
        <v>3</v>
      </c>
      <c r="E162" s="37">
        <v>8</v>
      </c>
      <c r="F162" s="37">
        <f t="shared" si="3"/>
        <v>11</v>
      </c>
    </row>
    <row r="163" spans="1:6" ht="28.8" x14ac:dyDescent="0.3">
      <c r="A163" s="15">
        <v>144</v>
      </c>
      <c r="B163" s="16" t="s">
        <v>323</v>
      </c>
      <c r="C163" s="17" t="s">
        <v>39</v>
      </c>
      <c r="D163" s="37"/>
      <c r="E163" s="37">
        <v>2</v>
      </c>
      <c r="F163" s="37">
        <f t="shared" si="3"/>
        <v>2</v>
      </c>
    </row>
    <row r="164" spans="1:6" ht="28.8" x14ac:dyDescent="0.3">
      <c r="A164" s="15">
        <v>145</v>
      </c>
      <c r="B164" s="16" t="s">
        <v>324</v>
      </c>
      <c r="C164" s="17" t="s">
        <v>39</v>
      </c>
      <c r="D164" s="37"/>
      <c r="E164" s="37">
        <v>1</v>
      </c>
      <c r="F164" s="37">
        <f t="shared" si="3"/>
        <v>1</v>
      </c>
    </row>
    <row r="165" spans="1:6" ht="28.8" x14ac:dyDescent="0.3">
      <c r="A165" s="15">
        <v>146</v>
      </c>
      <c r="B165" s="16" t="s">
        <v>325</v>
      </c>
      <c r="C165" s="17" t="s">
        <v>39</v>
      </c>
      <c r="D165" s="37"/>
      <c r="E165" s="37">
        <v>1</v>
      </c>
      <c r="F165" s="37">
        <f t="shared" si="3"/>
        <v>1</v>
      </c>
    </row>
    <row r="166" spans="1:6" ht="28.8" x14ac:dyDescent="0.3">
      <c r="A166" s="15">
        <v>147</v>
      </c>
      <c r="B166" s="16" t="s">
        <v>326</v>
      </c>
      <c r="C166" s="17" t="s">
        <v>39</v>
      </c>
      <c r="D166" s="37"/>
      <c r="E166" s="37">
        <v>2</v>
      </c>
      <c r="F166" s="37">
        <f t="shared" si="3"/>
        <v>2</v>
      </c>
    </row>
    <row r="167" spans="1:6" ht="28.8" x14ac:dyDescent="0.3">
      <c r="A167" s="15">
        <v>148</v>
      </c>
      <c r="B167" s="16" t="s">
        <v>327</v>
      </c>
      <c r="C167" s="17" t="s">
        <v>39</v>
      </c>
      <c r="D167" s="37">
        <v>2</v>
      </c>
      <c r="E167" s="37">
        <v>2</v>
      </c>
      <c r="F167" s="37">
        <f t="shared" si="3"/>
        <v>4</v>
      </c>
    </row>
    <row r="168" spans="1:6" ht="28.8" x14ac:dyDescent="0.3">
      <c r="A168" s="15">
        <v>149</v>
      </c>
      <c r="B168" s="16" t="s">
        <v>325</v>
      </c>
      <c r="C168" s="17" t="s">
        <v>39</v>
      </c>
      <c r="D168" s="37"/>
      <c r="E168" s="37">
        <v>1</v>
      </c>
      <c r="F168" s="37">
        <f t="shared" si="3"/>
        <v>1</v>
      </c>
    </row>
    <row r="169" spans="1:6" hidden="1" x14ac:dyDescent="0.3">
      <c r="A169" s="15">
        <v>150</v>
      </c>
      <c r="B169" s="16" t="s">
        <v>211</v>
      </c>
      <c r="C169" s="17" t="s">
        <v>39</v>
      </c>
      <c r="D169" s="37"/>
      <c r="E169" s="37">
        <v>27</v>
      </c>
      <c r="F169" s="37">
        <f>D169+E169</f>
        <v>27</v>
      </c>
    </row>
    <row r="170" spans="1:6" hidden="1" x14ac:dyDescent="0.3">
      <c r="A170" s="15">
        <v>151</v>
      </c>
      <c r="B170" s="16" t="s">
        <v>45</v>
      </c>
      <c r="C170" s="17" t="s">
        <v>39</v>
      </c>
      <c r="D170" s="37"/>
      <c r="E170" s="37">
        <v>27</v>
      </c>
      <c r="F170" s="37">
        <f>D170+E170</f>
        <v>27</v>
      </c>
    </row>
    <row r="171" spans="1:6" s="34" customFormat="1" hidden="1" x14ac:dyDescent="0.3">
      <c r="A171" s="15">
        <v>152</v>
      </c>
      <c r="B171" s="39" t="s">
        <v>328</v>
      </c>
      <c r="C171" s="38" t="s">
        <v>39</v>
      </c>
      <c r="D171" s="48">
        <v>3</v>
      </c>
      <c r="E171" s="48">
        <v>3</v>
      </c>
      <c r="F171" s="48">
        <f>D171+E171</f>
        <v>6</v>
      </c>
    </row>
    <row r="172" spans="1:6" hidden="1" x14ac:dyDescent="0.3">
      <c r="A172" s="15">
        <v>153</v>
      </c>
      <c r="B172" s="16" t="s">
        <v>42</v>
      </c>
      <c r="C172" s="17" t="s">
        <v>39</v>
      </c>
      <c r="D172" s="37">
        <v>6</v>
      </c>
      <c r="E172" s="37">
        <v>6</v>
      </c>
      <c r="F172" s="37">
        <f t="shared" si="3"/>
        <v>12</v>
      </c>
    </row>
    <row r="173" spans="1:6" hidden="1" x14ac:dyDescent="0.3">
      <c r="A173" s="15">
        <v>154</v>
      </c>
      <c r="B173" s="16" t="s">
        <v>234</v>
      </c>
      <c r="C173" s="17" t="s">
        <v>39</v>
      </c>
      <c r="D173" s="37">
        <v>3</v>
      </c>
      <c r="E173" s="37">
        <v>2</v>
      </c>
      <c r="F173" s="37">
        <f t="shared" si="3"/>
        <v>5</v>
      </c>
    </row>
    <row r="174" spans="1:6" hidden="1" x14ac:dyDescent="0.3">
      <c r="A174" s="15">
        <v>155</v>
      </c>
      <c r="B174" s="16" t="s">
        <v>306</v>
      </c>
      <c r="C174" s="17" t="s">
        <v>39</v>
      </c>
      <c r="D174" s="37">
        <v>1</v>
      </c>
      <c r="E174" s="37">
        <v>2</v>
      </c>
      <c r="F174" s="37">
        <f t="shared" si="3"/>
        <v>3</v>
      </c>
    </row>
    <row r="175" spans="1:6" hidden="1" x14ac:dyDescent="0.3">
      <c r="A175" s="15">
        <v>156</v>
      </c>
      <c r="B175" s="16" t="s">
        <v>236</v>
      </c>
      <c r="C175" s="17" t="s">
        <v>39</v>
      </c>
      <c r="D175" s="37">
        <v>2</v>
      </c>
      <c r="E175" s="37"/>
      <c r="F175" s="37">
        <f t="shared" si="3"/>
        <v>2</v>
      </c>
    </row>
    <row r="176" spans="1:6" hidden="1" x14ac:dyDescent="0.3">
      <c r="A176" s="15">
        <v>157</v>
      </c>
      <c r="B176" s="16" t="s">
        <v>214</v>
      </c>
      <c r="C176" s="17" t="s">
        <v>39</v>
      </c>
      <c r="D176" s="37">
        <v>22</v>
      </c>
      <c r="E176" s="37">
        <v>18</v>
      </c>
      <c r="F176" s="37">
        <f t="shared" si="3"/>
        <v>40</v>
      </c>
    </row>
    <row r="177" spans="1:6" hidden="1" x14ac:dyDescent="0.3">
      <c r="A177" s="15">
        <v>158</v>
      </c>
      <c r="B177" s="16" t="s">
        <v>215</v>
      </c>
      <c r="C177" s="17" t="s">
        <v>39</v>
      </c>
      <c r="D177" s="37">
        <v>5</v>
      </c>
      <c r="E177" s="37">
        <v>5</v>
      </c>
      <c r="F177" s="37">
        <f t="shared" si="3"/>
        <v>10</v>
      </c>
    </row>
    <row r="178" spans="1:6" hidden="1" x14ac:dyDescent="0.3">
      <c r="A178" s="15">
        <v>159</v>
      </c>
      <c r="B178" s="16" t="s">
        <v>249</v>
      </c>
      <c r="C178" s="17" t="s">
        <v>39</v>
      </c>
      <c r="D178" s="37">
        <v>2</v>
      </c>
      <c r="E178" s="37">
        <v>2</v>
      </c>
      <c r="F178" s="37">
        <f t="shared" si="3"/>
        <v>4</v>
      </c>
    </row>
    <row r="179" spans="1:6" hidden="1" x14ac:dyDescent="0.3">
      <c r="A179" s="15">
        <v>160</v>
      </c>
      <c r="B179" s="16" t="s">
        <v>250</v>
      </c>
      <c r="C179" s="17" t="s">
        <v>39</v>
      </c>
      <c r="D179" s="37">
        <v>1</v>
      </c>
      <c r="E179" s="37">
        <v>1</v>
      </c>
      <c r="F179" s="37">
        <f t="shared" si="3"/>
        <v>2</v>
      </c>
    </row>
    <row r="180" spans="1:6" hidden="1" x14ac:dyDescent="0.3">
      <c r="A180" s="15">
        <v>161</v>
      </c>
      <c r="B180" s="16" t="s">
        <v>251</v>
      </c>
      <c r="C180" s="17" t="s">
        <v>39</v>
      </c>
      <c r="D180" s="37">
        <v>2</v>
      </c>
      <c r="E180" s="37">
        <v>2</v>
      </c>
      <c r="F180" s="37">
        <f t="shared" si="3"/>
        <v>4</v>
      </c>
    </row>
    <row r="181" spans="1:6" hidden="1" x14ac:dyDescent="0.3">
      <c r="A181" s="15">
        <v>162</v>
      </c>
      <c r="B181" s="16" t="s">
        <v>252</v>
      </c>
      <c r="C181" s="17" t="s">
        <v>39</v>
      </c>
      <c r="D181" s="37">
        <v>1</v>
      </c>
      <c r="E181" s="37">
        <v>1</v>
      </c>
      <c r="F181" s="37">
        <f t="shared" si="3"/>
        <v>2</v>
      </c>
    </row>
    <row r="182" spans="1:6" hidden="1" x14ac:dyDescent="0.3">
      <c r="A182" s="15">
        <v>163</v>
      </c>
      <c r="B182" s="54" t="s">
        <v>56</v>
      </c>
      <c r="C182" s="17" t="s">
        <v>0</v>
      </c>
      <c r="D182" s="37">
        <v>87</v>
      </c>
      <c r="E182" s="37">
        <v>133.30000000000001</v>
      </c>
      <c r="F182" s="37">
        <f t="shared" si="3"/>
        <v>220.3</v>
      </c>
    </row>
    <row r="183" spans="1:6" hidden="1" x14ac:dyDescent="0.3">
      <c r="A183" s="15">
        <v>164</v>
      </c>
      <c r="B183" s="54" t="s">
        <v>57</v>
      </c>
      <c r="C183" s="17" t="s">
        <v>0</v>
      </c>
      <c r="D183" s="37">
        <v>18.2</v>
      </c>
      <c r="E183" s="37">
        <v>74.3</v>
      </c>
      <c r="F183" s="37">
        <f t="shared" si="3"/>
        <v>92.5</v>
      </c>
    </row>
    <row r="184" spans="1:6" hidden="1" x14ac:dyDescent="0.3">
      <c r="A184" s="15">
        <v>165</v>
      </c>
      <c r="B184" s="54" t="s">
        <v>58</v>
      </c>
      <c r="C184" s="17" t="s">
        <v>0</v>
      </c>
      <c r="D184" s="37">
        <v>30.7</v>
      </c>
      <c r="E184" s="37">
        <v>60.2</v>
      </c>
      <c r="F184" s="37">
        <f t="shared" si="3"/>
        <v>90.9</v>
      </c>
    </row>
    <row r="185" spans="1:6" hidden="1" x14ac:dyDescent="0.3">
      <c r="A185" s="15">
        <v>166</v>
      </c>
      <c r="B185" s="54" t="s">
        <v>217</v>
      </c>
      <c r="C185" s="17" t="s">
        <v>0</v>
      </c>
      <c r="D185" s="37"/>
      <c r="E185" s="37">
        <v>9.5</v>
      </c>
      <c r="F185" s="37">
        <f t="shared" si="3"/>
        <v>9.5</v>
      </c>
    </row>
    <row r="186" spans="1:6" hidden="1" x14ac:dyDescent="0.3">
      <c r="A186" s="15">
        <v>167</v>
      </c>
      <c r="B186" s="54" t="s">
        <v>59</v>
      </c>
      <c r="C186" s="17" t="s">
        <v>0</v>
      </c>
      <c r="D186" s="37">
        <v>15</v>
      </c>
      <c r="E186" s="37">
        <v>19.3</v>
      </c>
      <c r="F186" s="37">
        <f t="shared" si="3"/>
        <v>34.299999999999997</v>
      </c>
    </row>
    <row r="187" spans="1:6" hidden="1" x14ac:dyDescent="0.3">
      <c r="A187" s="15">
        <v>168</v>
      </c>
      <c r="B187" s="54" t="s">
        <v>60</v>
      </c>
      <c r="C187" s="17" t="s">
        <v>0</v>
      </c>
      <c r="D187" s="37">
        <v>44.2</v>
      </c>
      <c r="E187" s="37">
        <v>7.8</v>
      </c>
      <c r="F187" s="37">
        <f t="shared" si="3"/>
        <v>52</v>
      </c>
    </row>
    <row r="188" spans="1:6" hidden="1" x14ac:dyDescent="0.3">
      <c r="A188" s="15">
        <v>169</v>
      </c>
      <c r="B188" s="54" t="s">
        <v>61</v>
      </c>
      <c r="C188" s="19" t="s">
        <v>0</v>
      </c>
      <c r="D188" s="37">
        <v>16.2</v>
      </c>
      <c r="E188" s="37">
        <v>16.7</v>
      </c>
      <c r="F188" s="37">
        <f t="shared" si="3"/>
        <v>32.9</v>
      </c>
    </row>
    <row r="189" spans="1:6" hidden="1" x14ac:dyDescent="0.3">
      <c r="A189" s="15">
        <v>170</v>
      </c>
      <c r="B189" s="54" t="s">
        <v>62</v>
      </c>
      <c r="C189" s="19" t="s">
        <v>0</v>
      </c>
      <c r="D189" s="37"/>
      <c r="E189" s="37">
        <v>55.1</v>
      </c>
      <c r="F189" s="37">
        <f t="shared" si="3"/>
        <v>55.1</v>
      </c>
    </row>
    <row r="190" spans="1:6" hidden="1" x14ac:dyDescent="0.3">
      <c r="A190" s="15">
        <v>171</v>
      </c>
      <c r="B190" s="54" t="s">
        <v>67</v>
      </c>
      <c r="C190" s="19" t="s">
        <v>0</v>
      </c>
      <c r="D190" s="37">
        <v>15</v>
      </c>
      <c r="E190" s="37">
        <v>14.1</v>
      </c>
      <c r="F190" s="37">
        <f t="shared" si="3"/>
        <v>29.1</v>
      </c>
    </row>
    <row r="191" spans="1:6" hidden="1" x14ac:dyDescent="0.3">
      <c r="A191" s="15">
        <v>172</v>
      </c>
      <c r="B191" s="54" t="s">
        <v>68</v>
      </c>
      <c r="C191" s="19" t="s">
        <v>0</v>
      </c>
      <c r="D191" s="37">
        <v>44.1</v>
      </c>
      <c r="E191" s="37">
        <v>7.8</v>
      </c>
      <c r="F191" s="37">
        <f t="shared" si="3"/>
        <v>51.9</v>
      </c>
    </row>
    <row r="192" spans="1:6" hidden="1" x14ac:dyDescent="0.3">
      <c r="A192" s="15">
        <v>173</v>
      </c>
      <c r="B192" s="54" t="s">
        <v>70</v>
      </c>
      <c r="C192" s="19" t="s">
        <v>0</v>
      </c>
      <c r="D192" s="37">
        <v>16.2</v>
      </c>
      <c r="E192" s="37"/>
      <c r="F192" s="37">
        <f t="shared" si="3"/>
        <v>16.2</v>
      </c>
    </row>
    <row r="193" spans="1:7" hidden="1" x14ac:dyDescent="0.3">
      <c r="A193" s="15">
        <v>174</v>
      </c>
      <c r="B193" s="54" t="s">
        <v>71</v>
      </c>
      <c r="C193" s="19" t="s">
        <v>0</v>
      </c>
      <c r="D193" s="37"/>
      <c r="E193" s="37">
        <v>17.899999999999999</v>
      </c>
      <c r="F193" s="37">
        <f t="shared" si="3"/>
        <v>17.899999999999999</v>
      </c>
    </row>
    <row r="194" spans="1:7" hidden="1" x14ac:dyDescent="0.3">
      <c r="A194" s="15">
        <v>175</v>
      </c>
      <c r="B194" s="54" t="s">
        <v>329</v>
      </c>
      <c r="C194" s="19" t="s">
        <v>0</v>
      </c>
      <c r="D194" s="37"/>
      <c r="E194" s="37">
        <v>3.5</v>
      </c>
      <c r="F194" s="37">
        <f t="shared" si="3"/>
        <v>3.5</v>
      </c>
    </row>
    <row r="195" spans="1:7" hidden="1" x14ac:dyDescent="0.3">
      <c r="A195" s="15">
        <v>176</v>
      </c>
      <c r="B195" s="54" t="s">
        <v>318</v>
      </c>
      <c r="C195" s="19" t="s">
        <v>0</v>
      </c>
      <c r="D195" s="37"/>
      <c r="E195" s="37">
        <v>16.7</v>
      </c>
      <c r="F195" s="37">
        <f t="shared" si="3"/>
        <v>16.7</v>
      </c>
    </row>
    <row r="196" spans="1:7" hidden="1" x14ac:dyDescent="0.3">
      <c r="A196" s="15">
        <v>177</v>
      </c>
      <c r="B196" s="54" t="s">
        <v>330</v>
      </c>
      <c r="C196" s="19" t="s">
        <v>0</v>
      </c>
      <c r="D196" s="37"/>
      <c r="E196" s="37">
        <v>35</v>
      </c>
      <c r="F196" s="37">
        <f t="shared" si="3"/>
        <v>35</v>
      </c>
    </row>
    <row r="197" spans="1:7" ht="28.8" hidden="1" x14ac:dyDescent="0.3">
      <c r="A197" s="15">
        <v>178</v>
      </c>
      <c r="B197" s="54" t="s">
        <v>331</v>
      </c>
      <c r="C197" s="19" t="s">
        <v>0</v>
      </c>
      <c r="D197" s="37">
        <v>87</v>
      </c>
      <c r="E197" s="37">
        <v>133.30000000000001</v>
      </c>
      <c r="F197" s="37">
        <f t="shared" si="3"/>
        <v>220.3</v>
      </c>
    </row>
    <row r="198" spans="1:7" ht="28.8" hidden="1" x14ac:dyDescent="0.3">
      <c r="A198" s="15">
        <v>179</v>
      </c>
      <c r="B198" s="54" t="s">
        <v>332</v>
      </c>
      <c r="C198" s="17" t="s">
        <v>0</v>
      </c>
      <c r="D198" s="37">
        <v>18.100000000000001</v>
      </c>
      <c r="E198" s="37">
        <v>74.3</v>
      </c>
      <c r="F198" s="37">
        <f t="shared" si="3"/>
        <v>92.4</v>
      </c>
    </row>
    <row r="199" spans="1:7" ht="28.8" hidden="1" x14ac:dyDescent="0.3">
      <c r="A199" s="15">
        <v>180</v>
      </c>
      <c r="B199" s="54" t="s">
        <v>333</v>
      </c>
      <c r="C199" s="17" t="s">
        <v>0</v>
      </c>
      <c r="D199" s="37">
        <v>30.7</v>
      </c>
      <c r="E199" s="37">
        <v>60.2</v>
      </c>
      <c r="F199" s="37">
        <f t="shared" si="3"/>
        <v>90.9</v>
      </c>
    </row>
    <row r="200" spans="1:7" ht="28.8" hidden="1" x14ac:dyDescent="0.3">
      <c r="A200" s="15">
        <v>181</v>
      </c>
      <c r="B200" s="54" t="s">
        <v>334</v>
      </c>
      <c r="C200" s="17" t="s">
        <v>0</v>
      </c>
      <c r="D200" s="37"/>
      <c r="E200" s="37">
        <v>9.5</v>
      </c>
      <c r="F200" s="37">
        <f t="shared" si="3"/>
        <v>9.5</v>
      </c>
    </row>
    <row r="201" spans="1:7" hidden="1" x14ac:dyDescent="0.3">
      <c r="A201" s="15">
        <v>182</v>
      </c>
      <c r="B201" s="16" t="s">
        <v>158</v>
      </c>
      <c r="C201" s="17" t="s">
        <v>159</v>
      </c>
      <c r="D201" s="37">
        <v>1</v>
      </c>
      <c r="E201" s="37"/>
      <c r="F201" s="37">
        <f t="shared" si="3"/>
        <v>1</v>
      </c>
    </row>
    <row r="202" spans="1:7" hidden="1" x14ac:dyDescent="0.3">
      <c r="A202" s="15">
        <v>183</v>
      </c>
      <c r="B202" s="16" t="s">
        <v>158</v>
      </c>
      <c r="C202" s="17" t="s">
        <v>159</v>
      </c>
      <c r="D202" s="37"/>
      <c r="E202" s="37">
        <v>1</v>
      </c>
      <c r="F202" s="37">
        <f t="shared" si="3"/>
        <v>1</v>
      </c>
    </row>
    <row r="203" spans="1:7" hidden="1" x14ac:dyDescent="0.3">
      <c r="A203" s="15">
        <v>184</v>
      </c>
      <c r="B203" s="16" t="s">
        <v>80</v>
      </c>
      <c r="C203" s="17" t="s">
        <v>69</v>
      </c>
      <c r="D203" s="37">
        <v>8.66</v>
      </c>
      <c r="E203" s="37">
        <v>10.19</v>
      </c>
      <c r="F203" s="37">
        <f>D203+E203</f>
        <v>18.850000000000001</v>
      </c>
    </row>
    <row r="204" spans="1:7" hidden="1" x14ac:dyDescent="0.3">
      <c r="A204" s="15">
        <v>185</v>
      </c>
      <c r="B204" s="16" t="s">
        <v>79</v>
      </c>
      <c r="C204" s="17" t="s">
        <v>69</v>
      </c>
      <c r="D204" s="37">
        <v>0.9</v>
      </c>
      <c r="E204" s="37">
        <v>1.55</v>
      </c>
      <c r="F204" s="37">
        <f t="shared" ref="F204:F205" si="4">D204+E204</f>
        <v>2.4500000000000002</v>
      </c>
    </row>
    <row r="205" spans="1:7" hidden="1" x14ac:dyDescent="0.3">
      <c r="A205" s="15">
        <v>186</v>
      </c>
      <c r="B205" s="16" t="s">
        <v>81</v>
      </c>
      <c r="C205" s="17" t="s">
        <v>69</v>
      </c>
      <c r="D205" s="37">
        <v>1.92</v>
      </c>
      <c r="E205" s="37">
        <v>3.32</v>
      </c>
      <c r="F205" s="37">
        <f t="shared" si="4"/>
        <v>5.24</v>
      </c>
    </row>
    <row r="206" spans="1:7" s="14" customFormat="1" hidden="1" x14ac:dyDescent="0.3">
      <c r="A206" s="81" t="s">
        <v>94</v>
      </c>
      <c r="B206" s="81"/>
      <c r="C206" s="81"/>
      <c r="D206" s="44"/>
      <c r="E206" s="44"/>
      <c r="F206" s="44"/>
    </row>
    <row r="207" spans="1:7" s="20" customFormat="1" ht="28.8" x14ac:dyDescent="0.3">
      <c r="A207" s="63">
        <v>187</v>
      </c>
      <c r="B207" s="54" t="s">
        <v>156</v>
      </c>
      <c r="C207" s="17" t="s">
        <v>39</v>
      </c>
      <c r="D207" s="45"/>
      <c r="E207" s="45">
        <v>14</v>
      </c>
      <c r="F207" s="37">
        <f t="shared" ref="F207:F253" si="5">D207+E207</f>
        <v>14</v>
      </c>
      <c r="G207"/>
    </row>
    <row r="208" spans="1:7" s="20" customFormat="1" ht="28.8" x14ac:dyDescent="0.3">
      <c r="A208" s="63">
        <v>188</v>
      </c>
      <c r="B208" s="54" t="s">
        <v>154</v>
      </c>
      <c r="C208" s="17" t="s">
        <v>39</v>
      </c>
      <c r="D208" s="45"/>
      <c r="E208" s="45">
        <v>27</v>
      </c>
      <c r="F208" s="37">
        <f t="shared" si="5"/>
        <v>27</v>
      </c>
      <c r="G208"/>
    </row>
    <row r="209" spans="1:7" s="20" customFormat="1" ht="28.8" x14ac:dyDescent="0.3">
      <c r="A209" s="63">
        <v>189</v>
      </c>
      <c r="B209" s="54" t="s">
        <v>153</v>
      </c>
      <c r="C209" s="17" t="s">
        <v>39</v>
      </c>
      <c r="D209" s="45"/>
      <c r="E209" s="45">
        <v>84</v>
      </c>
      <c r="F209" s="37">
        <f t="shared" si="5"/>
        <v>84</v>
      </c>
      <c r="G209"/>
    </row>
    <row r="210" spans="1:7" s="20" customFormat="1" ht="28.8" x14ac:dyDescent="0.3">
      <c r="A210" s="63">
        <v>190</v>
      </c>
      <c r="B210" s="54" t="s">
        <v>152</v>
      </c>
      <c r="C210" s="17" t="s">
        <v>39</v>
      </c>
      <c r="D210" s="45"/>
      <c r="E210" s="45">
        <v>78</v>
      </c>
      <c r="F210" s="37">
        <f t="shared" si="5"/>
        <v>78</v>
      </c>
      <c r="G210"/>
    </row>
    <row r="211" spans="1:7" s="20" customFormat="1" ht="28.8" x14ac:dyDescent="0.3">
      <c r="A211" s="63">
        <v>191</v>
      </c>
      <c r="B211" s="54" t="s">
        <v>151</v>
      </c>
      <c r="C211" s="17" t="s">
        <v>39</v>
      </c>
      <c r="D211" s="45"/>
      <c r="E211" s="45">
        <v>18</v>
      </c>
      <c r="F211" s="37">
        <f t="shared" si="5"/>
        <v>18</v>
      </c>
      <c r="G211"/>
    </row>
    <row r="212" spans="1:7" s="20" customFormat="1" ht="28.8" x14ac:dyDescent="0.3">
      <c r="A212" s="63">
        <v>192</v>
      </c>
      <c r="B212" s="54" t="s">
        <v>112</v>
      </c>
      <c r="C212" s="17" t="s">
        <v>39</v>
      </c>
      <c r="D212" s="45"/>
      <c r="E212" s="45">
        <v>1</v>
      </c>
      <c r="F212" s="37">
        <f t="shared" si="5"/>
        <v>1</v>
      </c>
      <c r="G212"/>
    </row>
    <row r="213" spans="1:7" s="20" customFormat="1" ht="28.8" x14ac:dyDescent="0.3">
      <c r="A213" s="63">
        <v>193</v>
      </c>
      <c r="B213" s="54" t="s">
        <v>150</v>
      </c>
      <c r="C213" s="17" t="s">
        <v>39</v>
      </c>
      <c r="D213" s="45"/>
      <c r="E213" s="45">
        <v>13</v>
      </c>
      <c r="F213" s="37">
        <f t="shared" si="5"/>
        <v>13</v>
      </c>
      <c r="G213"/>
    </row>
    <row r="214" spans="1:7" s="20" customFormat="1" ht="28.8" x14ac:dyDescent="0.3">
      <c r="A214" s="63">
        <v>194</v>
      </c>
      <c r="B214" s="54" t="s">
        <v>148</v>
      </c>
      <c r="C214" s="17" t="s">
        <v>39</v>
      </c>
      <c r="D214" s="45"/>
      <c r="E214" s="45">
        <v>1</v>
      </c>
      <c r="F214" s="37">
        <f t="shared" si="5"/>
        <v>1</v>
      </c>
      <c r="G214"/>
    </row>
    <row r="215" spans="1:7" s="20" customFormat="1" ht="28.8" x14ac:dyDescent="0.3">
      <c r="A215" s="63">
        <v>195</v>
      </c>
      <c r="B215" s="54" t="s">
        <v>147</v>
      </c>
      <c r="C215" s="17" t="s">
        <v>39</v>
      </c>
      <c r="D215" s="45"/>
      <c r="E215" s="45">
        <v>14</v>
      </c>
      <c r="F215" s="37">
        <f t="shared" si="5"/>
        <v>14</v>
      </c>
      <c r="G215"/>
    </row>
    <row r="216" spans="1:7" s="20" customFormat="1" ht="28.8" x14ac:dyDescent="0.3">
      <c r="A216" s="63">
        <v>196</v>
      </c>
      <c r="B216" s="54" t="s">
        <v>280</v>
      </c>
      <c r="C216" s="17" t="s">
        <v>39</v>
      </c>
      <c r="D216" s="45"/>
      <c r="E216" s="45">
        <v>1</v>
      </c>
      <c r="F216" s="37">
        <f t="shared" si="5"/>
        <v>1</v>
      </c>
      <c r="G216"/>
    </row>
    <row r="217" spans="1:7" s="20" customFormat="1" ht="28.8" x14ac:dyDescent="0.3">
      <c r="A217" s="63">
        <v>197</v>
      </c>
      <c r="B217" s="54" t="s">
        <v>144</v>
      </c>
      <c r="C217" s="17" t="s">
        <v>39</v>
      </c>
      <c r="D217" s="45"/>
      <c r="E217" s="45">
        <v>28</v>
      </c>
      <c r="F217" s="37">
        <f t="shared" si="5"/>
        <v>28</v>
      </c>
      <c r="G217"/>
    </row>
    <row r="218" spans="1:7" s="20" customFormat="1" ht="28.8" x14ac:dyDescent="0.3">
      <c r="A218" s="63">
        <v>198</v>
      </c>
      <c r="B218" s="54" t="s">
        <v>143</v>
      </c>
      <c r="C218" s="17" t="s">
        <v>39</v>
      </c>
      <c r="D218" s="45"/>
      <c r="E218" s="45">
        <v>14</v>
      </c>
      <c r="F218" s="37">
        <f t="shared" si="5"/>
        <v>14</v>
      </c>
      <c r="G218"/>
    </row>
    <row r="219" spans="1:7" s="20" customFormat="1" ht="28.8" x14ac:dyDescent="0.3">
      <c r="A219" s="63">
        <v>199</v>
      </c>
      <c r="B219" s="54" t="s">
        <v>142</v>
      </c>
      <c r="C219" s="17" t="s">
        <v>39</v>
      </c>
      <c r="D219" s="45"/>
      <c r="E219" s="45">
        <v>1</v>
      </c>
      <c r="F219" s="37">
        <f t="shared" si="5"/>
        <v>1</v>
      </c>
      <c r="G219"/>
    </row>
    <row r="220" spans="1:7" s="20" customFormat="1" ht="28.8" x14ac:dyDescent="0.3">
      <c r="A220" s="63">
        <v>200</v>
      </c>
      <c r="B220" s="54" t="s">
        <v>140</v>
      </c>
      <c r="C220" s="17" t="s">
        <v>39</v>
      </c>
      <c r="D220" s="45"/>
      <c r="E220" s="45">
        <v>13</v>
      </c>
      <c r="F220" s="37">
        <f t="shared" si="5"/>
        <v>13</v>
      </c>
      <c r="G220"/>
    </row>
    <row r="221" spans="1:7" s="20" customFormat="1" ht="28.8" x14ac:dyDescent="0.3">
      <c r="A221" s="63">
        <v>201</v>
      </c>
      <c r="B221" s="54" t="s">
        <v>139</v>
      </c>
      <c r="C221" s="17" t="s">
        <v>39</v>
      </c>
      <c r="D221" s="45"/>
      <c r="E221" s="45">
        <v>1</v>
      </c>
      <c r="F221" s="37">
        <f t="shared" si="5"/>
        <v>1</v>
      </c>
      <c r="G221"/>
    </row>
    <row r="222" spans="1:7" s="20" customFormat="1" ht="28.8" x14ac:dyDescent="0.3">
      <c r="A222" s="63">
        <v>202</v>
      </c>
      <c r="B222" s="54" t="s">
        <v>335</v>
      </c>
      <c r="C222" s="17" t="s">
        <v>39</v>
      </c>
      <c r="D222" s="62"/>
      <c r="E222" s="45">
        <v>14</v>
      </c>
      <c r="F222" s="37">
        <f t="shared" si="5"/>
        <v>14</v>
      </c>
      <c r="G222"/>
    </row>
    <row r="223" spans="1:7" s="20" customFormat="1" hidden="1" x14ac:dyDescent="0.3">
      <c r="A223" s="63">
        <v>203</v>
      </c>
      <c r="B223" s="54" t="s">
        <v>211</v>
      </c>
      <c r="C223" s="17" t="s">
        <v>39</v>
      </c>
      <c r="D223" s="45"/>
      <c r="E223" s="45">
        <v>322</v>
      </c>
      <c r="F223" s="37">
        <f>D223+E223</f>
        <v>322</v>
      </c>
      <c r="G223"/>
    </row>
    <row r="224" spans="1:7" s="20" customFormat="1" hidden="1" x14ac:dyDescent="0.3">
      <c r="A224" s="63">
        <v>204</v>
      </c>
      <c r="B224" s="54" t="s">
        <v>45</v>
      </c>
      <c r="C224" s="17" t="s">
        <v>39</v>
      </c>
      <c r="D224" s="62"/>
      <c r="E224" s="45">
        <v>322</v>
      </c>
      <c r="F224" s="37">
        <f>D224+E224</f>
        <v>322</v>
      </c>
      <c r="G224"/>
    </row>
    <row r="225" spans="1:7" s="20" customFormat="1" hidden="1" x14ac:dyDescent="0.3">
      <c r="A225" s="63">
        <v>205</v>
      </c>
      <c r="B225" s="64" t="s">
        <v>55</v>
      </c>
      <c r="C225" s="17" t="s">
        <v>39</v>
      </c>
      <c r="D225" s="45"/>
      <c r="E225" s="45">
        <v>84</v>
      </c>
      <c r="F225" s="37">
        <f>D225+E225</f>
        <v>84</v>
      </c>
      <c r="G225"/>
    </row>
    <row r="226" spans="1:7" s="52" customFormat="1" hidden="1" x14ac:dyDescent="0.3">
      <c r="A226" s="63">
        <v>206</v>
      </c>
      <c r="B226" s="50" t="s">
        <v>51</v>
      </c>
      <c r="C226" s="38" t="s">
        <v>39</v>
      </c>
      <c r="D226" s="51"/>
      <c r="E226" s="51">
        <v>322</v>
      </c>
      <c r="F226" s="37">
        <f>D226+E226</f>
        <v>322</v>
      </c>
      <c r="G226"/>
    </row>
    <row r="227" spans="1:7" s="20" customFormat="1" hidden="1" x14ac:dyDescent="0.3">
      <c r="A227" s="63">
        <v>207</v>
      </c>
      <c r="B227" s="54" t="s">
        <v>253</v>
      </c>
      <c r="C227" s="17" t="s">
        <v>39</v>
      </c>
      <c r="D227" s="62"/>
      <c r="E227" s="45">
        <v>2</v>
      </c>
      <c r="F227" s="37">
        <f t="shared" si="5"/>
        <v>2</v>
      </c>
      <c r="G227"/>
    </row>
    <row r="228" spans="1:7" s="20" customFormat="1" ht="28.8" hidden="1" x14ac:dyDescent="0.3">
      <c r="A228" s="63">
        <v>208</v>
      </c>
      <c r="B228" s="54" t="s">
        <v>282</v>
      </c>
      <c r="C228" s="17" t="s">
        <v>39</v>
      </c>
      <c r="D228" s="45"/>
      <c r="E228" s="45">
        <v>28</v>
      </c>
      <c r="F228" s="37">
        <f>D228+E228</f>
        <v>28</v>
      </c>
      <c r="G228"/>
    </row>
    <row r="229" spans="1:7" s="20" customFormat="1" hidden="1" x14ac:dyDescent="0.3">
      <c r="A229" s="63">
        <v>209</v>
      </c>
      <c r="B229" s="54" t="s">
        <v>214</v>
      </c>
      <c r="C229" s="17" t="s">
        <v>39</v>
      </c>
      <c r="D229" s="62"/>
      <c r="E229" s="45">
        <v>6</v>
      </c>
      <c r="F229" s="37">
        <f t="shared" si="5"/>
        <v>6</v>
      </c>
      <c r="G229"/>
    </row>
    <row r="230" spans="1:7" s="20" customFormat="1" hidden="1" x14ac:dyDescent="0.3">
      <c r="A230" s="63">
        <v>210</v>
      </c>
      <c r="B230" s="54" t="s">
        <v>336</v>
      </c>
      <c r="C230" s="17" t="s">
        <v>39</v>
      </c>
      <c r="D230" s="62"/>
      <c r="E230" s="45">
        <v>4</v>
      </c>
      <c r="F230" s="37">
        <f t="shared" si="5"/>
        <v>4</v>
      </c>
      <c r="G230"/>
    </row>
    <row r="231" spans="1:7" s="20" customFormat="1" hidden="1" x14ac:dyDescent="0.3">
      <c r="A231" s="63">
        <v>211</v>
      </c>
      <c r="B231" s="54" t="s">
        <v>283</v>
      </c>
      <c r="C231" s="17" t="s">
        <v>39</v>
      </c>
      <c r="D231" s="45"/>
      <c r="E231" s="45">
        <v>4</v>
      </c>
      <c r="F231" s="37">
        <f t="shared" si="5"/>
        <v>4</v>
      </c>
      <c r="G231"/>
    </row>
    <row r="232" spans="1:7" s="20" customFormat="1" hidden="1" x14ac:dyDescent="0.3">
      <c r="A232" s="63">
        <v>212</v>
      </c>
      <c r="B232" s="54" t="s">
        <v>258</v>
      </c>
      <c r="C232" s="17" t="s">
        <v>0</v>
      </c>
      <c r="D232" s="45"/>
      <c r="E232" s="45">
        <v>4722.2</v>
      </c>
      <c r="F232" s="37">
        <f t="shared" si="5"/>
        <v>4722.2</v>
      </c>
      <c r="G232"/>
    </row>
    <row r="233" spans="1:7" s="20" customFormat="1" hidden="1" x14ac:dyDescent="0.3">
      <c r="A233" s="63">
        <v>213</v>
      </c>
      <c r="B233" s="54" t="s">
        <v>259</v>
      </c>
      <c r="C233" s="17" t="s">
        <v>0</v>
      </c>
      <c r="D233" s="45"/>
      <c r="E233" s="45">
        <v>2021.3</v>
      </c>
      <c r="F233" s="37">
        <f t="shared" si="5"/>
        <v>2021.3</v>
      </c>
      <c r="G233"/>
    </row>
    <row r="234" spans="1:7" s="20" customFormat="1" hidden="1" x14ac:dyDescent="0.3">
      <c r="A234" s="63">
        <v>214</v>
      </c>
      <c r="B234" s="54" t="s">
        <v>59</v>
      </c>
      <c r="C234" s="17" t="s">
        <v>0</v>
      </c>
      <c r="D234" s="45"/>
      <c r="E234" s="45">
        <v>1.2</v>
      </c>
      <c r="F234" s="37">
        <f t="shared" si="5"/>
        <v>1.2</v>
      </c>
      <c r="G234"/>
    </row>
    <row r="235" spans="1:7" s="20" customFormat="1" hidden="1" x14ac:dyDescent="0.3">
      <c r="A235" s="63">
        <v>215</v>
      </c>
      <c r="B235" s="54" t="s">
        <v>60</v>
      </c>
      <c r="C235" s="17" t="s">
        <v>0</v>
      </c>
      <c r="D235" s="45"/>
      <c r="E235" s="45">
        <v>21.3</v>
      </c>
      <c r="F235" s="37">
        <f t="shared" si="5"/>
        <v>21.3</v>
      </c>
      <c r="G235"/>
    </row>
    <row r="236" spans="1:7" s="20" customFormat="1" hidden="1" x14ac:dyDescent="0.3">
      <c r="A236" s="63">
        <v>216</v>
      </c>
      <c r="B236" s="54" t="s">
        <v>61</v>
      </c>
      <c r="C236" s="17" t="s">
        <v>0</v>
      </c>
      <c r="D236" s="45"/>
      <c r="E236" s="45">
        <v>12.4</v>
      </c>
      <c r="F236" s="37">
        <f t="shared" si="5"/>
        <v>12.4</v>
      </c>
      <c r="G236"/>
    </row>
    <row r="237" spans="1:7" s="20" customFormat="1" hidden="1" x14ac:dyDescent="0.3">
      <c r="A237" s="63">
        <v>217</v>
      </c>
      <c r="B237" s="54" t="s">
        <v>62</v>
      </c>
      <c r="C237" s="17" t="s">
        <v>0</v>
      </c>
      <c r="D237" s="45"/>
      <c r="E237" s="45">
        <v>24.4</v>
      </c>
      <c r="F237" s="37">
        <f t="shared" si="5"/>
        <v>24.4</v>
      </c>
      <c r="G237"/>
    </row>
    <row r="238" spans="1:7" s="20" customFormat="1" hidden="1" x14ac:dyDescent="0.3">
      <c r="A238" s="63">
        <v>218</v>
      </c>
      <c r="B238" s="54" t="s">
        <v>63</v>
      </c>
      <c r="C238" s="17" t="s">
        <v>0</v>
      </c>
      <c r="D238" s="45"/>
      <c r="E238" s="45">
        <v>18.2</v>
      </c>
      <c r="F238" s="37">
        <f t="shared" si="5"/>
        <v>18.2</v>
      </c>
      <c r="G238"/>
    </row>
    <row r="239" spans="1:7" s="20" customFormat="1" ht="28.8" hidden="1" x14ac:dyDescent="0.3">
      <c r="A239" s="63">
        <v>219</v>
      </c>
      <c r="B239" s="54" t="s">
        <v>64</v>
      </c>
      <c r="C239" s="17" t="s">
        <v>0</v>
      </c>
      <c r="D239" s="45"/>
      <c r="E239" s="45">
        <v>42.8</v>
      </c>
      <c r="F239" s="37">
        <f t="shared" si="5"/>
        <v>42.8</v>
      </c>
      <c r="G239"/>
    </row>
    <row r="240" spans="1:7" s="20" customFormat="1" ht="28.8" hidden="1" x14ac:dyDescent="0.3">
      <c r="A240" s="63">
        <v>220</v>
      </c>
      <c r="B240" s="54" t="s">
        <v>260</v>
      </c>
      <c r="C240" s="17" t="s">
        <v>0</v>
      </c>
      <c r="D240" s="45"/>
      <c r="E240" s="45">
        <v>288.5</v>
      </c>
      <c r="F240" s="37">
        <f t="shared" si="5"/>
        <v>288.5</v>
      </c>
      <c r="G240"/>
    </row>
    <row r="241" spans="1:7" s="20" customFormat="1" hidden="1" x14ac:dyDescent="0.3">
      <c r="A241" s="63">
        <v>221</v>
      </c>
      <c r="B241" s="54" t="s">
        <v>67</v>
      </c>
      <c r="C241" s="17" t="s">
        <v>0</v>
      </c>
      <c r="D241" s="45"/>
      <c r="E241" s="45">
        <v>0.8</v>
      </c>
      <c r="F241" s="37">
        <f t="shared" si="5"/>
        <v>0.8</v>
      </c>
      <c r="G241"/>
    </row>
    <row r="242" spans="1:7" s="20" customFormat="1" hidden="1" x14ac:dyDescent="0.3">
      <c r="A242" s="63">
        <v>222</v>
      </c>
      <c r="B242" s="54" t="s">
        <v>68</v>
      </c>
      <c r="C242" s="17" t="s">
        <v>0</v>
      </c>
      <c r="D242" s="45"/>
      <c r="E242" s="45">
        <v>21.3</v>
      </c>
      <c r="F242" s="37">
        <f t="shared" si="5"/>
        <v>21.3</v>
      </c>
      <c r="G242"/>
    </row>
    <row r="243" spans="1:7" s="20" customFormat="1" hidden="1" x14ac:dyDescent="0.3">
      <c r="A243" s="63">
        <v>223</v>
      </c>
      <c r="B243" s="54" t="s">
        <v>70</v>
      </c>
      <c r="C243" s="17" t="s">
        <v>0</v>
      </c>
      <c r="D243" s="45"/>
      <c r="E243" s="45">
        <v>12.4</v>
      </c>
      <c r="F243" s="37">
        <f t="shared" si="5"/>
        <v>12.4</v>
      </c>
      <c r="G243"/>
    </row>
    <row r="244" spans="1:7" s="20" customFormat="1" hidden="1" x14ac:dyDescent="0.3">
      <c r="A244" s="63">
        <v>224</v>
      </c>
      <c r="B244" s="54" t="s">
        <v>71</v>
      </c>
      <c r="C244" s="17" t="s">
        <v>0</v>
      </c>
      <c r="D244" s="45"/>
      <c r="E244" s="45">
        <v>24.4</v>
      </c>
      <c r="F244" s="37">
        <f t="shared" si="5"/>
        <v>24.4</v>
      </c>
      <c r="G244"/>
    </row>
    <row r="245" spans="1:7" s="20" customFormat="1" hidden="1" x14ac:dyDescent="0.3">
      <c r="A245" s="63">
        <v>225</v>
      </c>
      <c r="B245" s="54" t="s">
        <v>72</v>
      </c>
      <c r="C245" s="17" t="s">
        <v>0</v>
      </c>
      <c r="D245" s="45"/>
      <c r="E245" s="45">
        <v>18.2</v>
      </c>
      <c r="F245" s="37">
        <f t="shared" si="5"/>
        <v>18.2</v>
      </c>
      <c r="G245"/>
    </row>
    <row r="246" spans="1:7" s="20" customFormat="1" hidden="1" x14ac:dyDescent="0.3">
      <c r="A246" s="63">
        <v>226</v>
      </c>
      <c r="B246" s="54" t="s">
        <v>190</v>
      </c>
      <c r="C246" s="17" t="s">
        <v>0</v>
      </c>
      <c r="D246" s="45"/>
      <c r="E246" s="45">
        <v>42.8</v>
      </c>
      <c r="F246" s="37">
        <f t="shared" si="5"/>
        <v>42.8</v>
      </c>
      <c r="G246"/>
    </row>
    <row r="247" spans="1:7" s="20" customFormat="1" hidden="1" x14ac:dyDescent="0.3">
      <c r="A247" s="63">
        <v>227</v>
      </c>
      <c r="B247" s="54" t="s">
        <v>191</v>
      </c>
      <c r="C247" s="17" t="s">
        <v>0</v>
      </c>
      <c r="D247" s="45"/>
      <c r="E247" s="45">
        <v>288.5</v>
      </c>
      <c r="F247" s="37">
        <f t="shared" si="5"/>
        <v>288.5</v>
      </c>
      <c r="G247"/>
    </row>
    <row r="248" spans="1:7" s="20" customFormat="1" ht="28.8" hidden="1" x14ac:dyDescent="0.3">
      <c r="A248" s="63">
        <v>228</v>
      </c>
      <c r="B248" s="54" t="s">
        <v>286</v>
      </c>
      <c r="C248" s="17" t="s">
        <v>0</v>
      </c>
      <c r="D248" s="45"/>
      <c r="E248" s="45">
        <v>4722.2</v>
      </c>
      <c r="F248" s="37">
        <f t="shared" si="5"/>
        <v>4722.2</v>
      </c>
      <c r="G248"/>
    </row>
    <row r="249" spans="1:7" s="20" customFormat="1" ht="28.8" hidden="1" x14ac:dyDescent="0.3">
      <c r="A249" s="63">
        <v>229</v>
      </c>
      <c r="B249" s="54" t="s">
        <v>287</v>
      </c>
      <c r="C249" s="17" t="s">
        <v>0</v>
      </c>
      <c r="D249" s="45"/>
      <c r="E249" s="45">
        <v>2021.3</v>
      </c>
      <c r="F249" s="37">
        <f t="shared" si="5"/>
        <v>2021.3</v>
      </c>
      <c r="G249"/>
    </row>
    <row r="250" spans="1:7" hidden="1" x14ac:dyDescent="0.3">
      <c r="A250" s="63">
        <v>230</v>
      </c>
      <c r="B250" s="16" t="s">
        <v>158</v>
      </c>
      <c r="C250" s="17" t="s">
        <v>159</v>
      </c>
      <c r="D250" s="37"/>
      <c r="E250" s="37">
        <v>1</v>
      </c>
      <c r="F250" s="37">
        <f t="shared" si="5"/>
        <v>1</v>
      </c>
    </row>
    <row r="251" spans="1:7" s="20" customFormat="1" hidden="1" x14ac:dyDescent="0.3">
      <c r="A251" s="63">
        <v>231</v>
      </c>
      <c r="B251" s="16" t="s">
        <v>80</v>
      </c>
      <c r="C251" s="17" t="s">
        <v>69</v>
      </c>
      <c r="D251" s="45"/>
      <c r="E251" s="45">
        <v>158.44999999999999</v>
      </c>
      <c r="F251" s="37">
        <f>D251+E251</f>
        <v>158.44999999999999</v>
      </c>
      <c r="G251"/>
    </row>
    <row r="252" spans="1:7" s="20" customFormat="1" hidden="1" x14ac:dyDescent="0.3">
      <c r="A252" s="63">
        <v>232</v>
      </c>
      <c r="B252" s="16" t="s">
        <v>79</v>
      </c>
      <c r="C252" s="17" t="s">
        <v>69</v>
      </c>
      <c r="D252" s="45"/>
      <c r="E252" s="45">
        <v>11.82</v>
      </c>
      <c r="F252" s="37">
        <f t="shared" si="5"/>
        <v>11.82</v>
      </c>
      <c r="G252"/>
    </row>
    <row r="253" spans="1:7" s="20" customFormat="1" hidden="1" x14ac:dyDescent="0.3">
      <c r="A253" s="63">
        <v>233</v>
      </c>
      <c r="B253" s="16" t="s">
        <v>81</v>
      </c>
      <c r="C253" s="17" t="s">
        <v>69</v>
      </c>
      <c r="D253" s="45"/>
      <c r="E253" s="45">
        <v>25.33</v>
      </c>
      <c r="F253" s="37">
        <f t="shared" si="5"/>
        <v>25.33</v>
      </c>
      <c r="G253"/>
    </row>
    <row r="254" spans="1:7" s="14" customFormat="1" hidden="1" x14ac:dyDescent="0.3">
      <c r="A254" s="81" t="s">
        <v>263</v>
      </c>
      <c r="B254" s="81"/>
      <c r="C254" s="81"/>
      <c r="D254" s="44"/>
      <c r="E254" s="44"/>
      <c r="F254" s="44"/>
    </row>
    <row r="255" spans="1:7" s="20" customFormat="1" ht="28.8" x14ac:dyDescent="0.3">
      <c r="A255" s="63">
        <v>234</v>
      </c>
      <c r="B255" s="54" t="s">
        <v>315</v>
      </c>
      <c r="C255" s="17" t="s">
        <v>39</v>
      </c>
      <c r="D255" s="45"/>
      <c r="E255" s="45">
        <v>13</v>
      </c>
      <c r="F255" s="37">
        <f t="shared" ref="F255:F269" si="6">D255+E255</f>
        <v>13</v>
      </c>
    </row>
    <row r="256" spans="1:7" s="20" customFormat="1" ht="28.8" x14ac:dyDescent="0.3">
      <c r="A256" s="63">
        <v>235</v>
      </c>
      <c r="B256" s="54" t="s">
        <v>316</v>
      </c>
      <c r="C256" s="17" t="s">
        <v>39</v>
      </c>
      <c r="D256" s="45"/>
      <c r="E256" s="45">
        <v>1</v>
      </c>
      <c r="F256" s="37">
        <f t="shared" si="6"/>
        <v>1</v>
      </c>
    </row>
    <row r="257" spans="1:6" s="20" customFormat="1" hidden="1" x14ac:dyDescent="0.3">
      <c r="A257" s="63">
        <v>236</v>
      </c>
      <c r="B257" s="54" t="s">
        <v>253</v>
      </c>
      <c r="C257" s="17" t="s">
        <v>39</v>
      </c>
      <c r="D257" s="45"/>
      <c r="E257" s="45">
        <v>1</v>
      </c>
      <c r="F257" s="37">
        <f t="shared" si="6"/>
        <v>1</v>
      </c>
    </row>
    <row r="258" spans="1:6" s="20" customFormat="1" ht="28.8" hidden="1" x14ac:dyDescent="0.3">
      <c r="A258" s="63">
        <v>237</v>
      </c>
      <c r="B258" s="54" t="s">
        <v>212</v>
      </c>
      <c r="C258" s="17" t="s">
        <v>39</v>
      </c>
      <c r="D258" s="45"/>
      <c r="E258" s="45">
        <v>14</v>
      </c>
      <c r="F258" s="37">
        <f t="shared" si="6"/>
        <v>14</v>
      </c>
    </row>
    <row r="259" spans="1:6" s="20" customFormat="1" hidden="1" x14ac:dyDescent="0.3">
      <c r="A259" s="63">
        <v>238</v>
      </c>
      <c r="B259" s="54" t="s">
        <v>213</v>
      </c>
      <c r="C259" s="17" t="s">
        <v>39</v>
      </c>
      <c r="D259" s="45"/>
      <c r="E259" s="45">
        <v>14</v>
      </c>
      <c r="F259" s="37">
        <f t="shared" si="6"/>
        <v>14</v>
      </c>
    </row>
    <row r="260" spans="1:6" s="20" customFormat="1" hidden="1" x14ac:dyDescent="0.3">
      <c r="A260" s="63">
        <v>239</v>
      </c>
      <c r="B260" s="54" t="s">
        <v>214</v>
      </c>
      <c r="C260" s="17" t="s">
        <v>39</v>
      </c>
      <c r="D260" s="45"/>
      <c r="E260" s="45">
        <v>5</v>
      </c>
      <c r="F260" s="37">
        <f t="shared" si="6"/>
        <v>5</v>
      </c>
    </row>
    <row r="261" spans="1:6" s="20" customFormat="1" hidden="1" x14ac:dyDescent="0.3">
      <c r="A261" s="63">
        <v>240</v>
      </c>
      <c r="B261" s="54" t="s">
        <v>215</v>
      </c>
      <c r="C261" s="17" t="s">
        <v>39</v>
      </c>
      <c r="D261" s="45"/>
      <c r="E261" s="45">
        <v>2</v>
      </c>
      <c r="F261" s="37">
        <f t="shared" si="6"/>
        <v>2</v>
      </c>
    </row>
    <row r="262" spans="1:6" s="20" customFormat="1" hidden="1" x14ac:dyDescent="0.3">
      <c r="A262" s="63">
        <v>241</v>
      </c>
      <c r="B262" s="54" t="s">
        <v>59</v>
      </c>
      <c r="C262" s="17" t="s">
        <v>0</v>
      </c>
      <c r="D262" s="45"/>
      <c r="E262" s="45">
        <v>45.8</v>
      </c>
      <c r="F262" s="37">
        <f t="shared" si="6"/>
        <v>45.8</v>
      </c>
    </row>
    <row r="263" spans="1:6" s="20" customFormat="1" hidden="1" x14ac:dyDescent="0.3">
      <c r="A263" s="63">
        <v>242</v>
      </c>
      <c r="B263" s="54" t="s">
        <v>60</v>
      </c>
      <c r="C263" s="17" t="s">
        <v>0</v>
      </c>
      <c r="D263" s="45"/>
      <c r="E263" s="45">
        <v>174.5</v>
      </c>
      <c r="F263" s="37">
        <f t="shared" si="6"/>
        <v>174.5</v>
      </c>
    </row>
    <row r="264" spans="1:6" s="20" customFormat="1" hidden="1" x14ac:dyDescent="0.3">
      <c r="A264" s="63">
        <v>243</v>
      </c>
      <c r="B264" s="54" t="s">
        <v>67</v>
      </c>
      <c r="C264" s="17" t="s">
        <v>0</v>
      </c>
      <c r="D264" s="45"/>
      <c r="E264" s="45">
        <v>38.700000000000003</v>
      </c>
      <c r="F264" s="37">
        <f t="shared" si="6"/>
        <v>38.700000000000003</v>
      </c>
    </row>
    <row r="265" spans="1:6" s="20" customFormat="1" hidden="1" x14ac:dyDescent="0.3">
      <c r="A265" s="63">
        <v>244</v>
      </c>
      <c r="B265" s="54" t="s">
        <v>68</v>
      </c>
      <c r="C265" s="17" t="s">
        <v>0</v>
      </c>
      <c r="D265" s="45"/>
      <c r="E265" s="45">
        <v>174.5</v>
      </c>
      <c r="F265" s="37">
        <f t="shared" si="6"/>
        <v>174.5</v>
      </c>
    </row>
    <row r="266" spans="1:6" hidden="1" x14ac:dyDescent="0.3">
      <c r="A266" s="63">
        <v>245</v>
      </c>
      <c r="B266" s="16" t="s">
        <v>158</v>
      </c>
      <c r="C266" s="17" t="s">
        <v>159</v>
      </c>
      <c r="D266" s="37"/>
      <c r="E266" s="37">
        <v>1</v>
      </c>
      <c r="F266" s="37">
        <f t="shared" si="6"/>
        <v>1</v>
      </c>
    </row>
    <row r="267" spans="1:6" s="20" customFormat="1" hidden="1" x14ac:dyDescent="0.3">
      <c r="A267" s="63">
        <v>246</v>
      </c>
      <c r="B267" s="16" t="s">
        <v>80</v>
      </c>
      <c r="C267" s="17" t="s">
        <v>69</v>
      </c>
      <c r="D267" s="45"/>
      <c r="E267" s="45">
        <v>30.36</v>
      </c>
      <c r="F267" s="37">
        <f t="shared" si="6"/>
        <v>30.36</v>
      </c>
    </row>
    <row r="268" spans="1:6" s="20" customFormat="1" hidden="1" x14ac:dyDescent="0.3">
      <c r="A268" s="63">
        <v>247</v>
      </c>
      <c r="B268" s="16" t="s">
        <v>79</v>
      </c>
      <c r="C268" s="17" t="s">
        <v>69</v>
      </c>
      <c r="D268" s="45"/>
      <c r="E268" s="45">
        <v>2.4900000000000002</v>
      </c>
      <c r="F268" s="37">
        <f>D268+E268</f>
        <v>2.4900000000000002</v>
      </c>
    </row>
    <row r="269" spans="1:6" s="20" customFormat="1" hidden="1" x14ac:dyDescent="0.3">
      <c r="A269" s="63">
        <v>248</v>
      </c>
      <c r="B269" s="16" t="s">
        <v>81</v>
      </c>
      <c r="C269" s="17" t="s">
        <v>69</v>
      </c>
      <c r="D269" s="45"/>
      <c r="E269" s="45">
        <v>5.34</v>
      </c>
      <c r="F269" s="37">
        <f t="shared" si="6"/>
        <v>5.34</v>
      </c>
    </row>
    <row r="270" spans="1:6" s="14" customFormat="1" hidden="1" x14ac:dyDescent="0.3">
      <c r="A270" s="81" t="s">
        <v>270</v>
      </c>
      <c r="B270" s="81"/>
      <c r="C270" s="81"/>
      <c r="D270" s="44"/>
      <c r="E270" s="44"/>
      <c r="F270" s="44"/>
    </row>
    <row r="271" spans="1:6" hidden="1" x14ac:dyDescent="0.3">
      <c r="A271" s="15">
        <v>249</v>
      </c>
      <c r="B271" s="16" t="s">
        <v>271</v>
      </c>
      <c r="C271" s="17" t="s">
        <v>39</v>
      </c>
      <c r="D271" s="37"/>
      <c r="E271" s="37">
        <v>1</v>
      </c>
      <c r="F271" s="37">
        <f t="shared" ref="F271:F273" si="7">D271+E271</f>
        <v>1</v>
      </c>
    </row>
    <row r="272" spans="1:6" hidden="1" x14ac:dyDescent="0.3">
      <c r="A272" s="15">
        <v>250</v>
      </c>
      <c r="B272" s="16" t="s">
        <v>337</v>
      </c>
      <c r="C272" s="17" t="s">
        <v>39</v>
      </c>
      <c r="D272" s="37"/>
      <c r="E272" s="37">
        <v>1</v>
      </c>
      <c r="F272" s="37">
        <f t="shared" si="7"/>
        <v>1</v>
      </c>
    </row>
    <row r="273" spans="1:6" hidden="1" x14ac:dyDescent="0.3">
      <c r="A273" s="15">
        <v>251</v>
      </c>
      <c r="B273" s="16" t="s">
        <v>273</v>
      </c>
      <c r="C273" s="17" t="s">
        <v>39</v>
      </c>
      <c r="D273" s="37">
        <v>1</v>
      </c>
      <c r="E273" s="37"/>
      <c r="F273" s="37">
        <f t="shared" si="7"/>
        <v>1</v>
      </c>
    </row>
  </sheetData>
  <autoFilter ref="A16:F273" xr:uid="{00000000-0009-0000-0000-000002000000}">
    <filterColumn colId="1">
      <filters>
        <filter val="Радиатор панельный стальной c боковым подключением, в комплекте с краном Маевского, заглушкой, настенными кронштейнами Classic 11-500-1000 Prado"/>
        <filter val="Радиатор панельный стальной c боковым подключением, в комплекте с краном Маевского, заглушкой, настенными кронштейнами Classic 11-500-1200 Prado"/>
        <filter val="Радиатор панельный стальной c боковым подключением, в комплекте с краном Маевского, заглушкой, настенными кронштейнами Classic 11-500-700 Prado"/>
        <filter val="Радиатор панельный стальной c боковым подключением, в комплекте с краном Маевского, заглушкой, настенными кронштейнами Classic 11-500-800 Prado"/>
        <filter val="Радиатор панельный стальной c боковым подключением, в комплекте с краном Маевского, заглушкой, настенными кронштейнами Classic 22-500-1000 Prado"/>
        <filter val="Радиатор панельный стальной c боковым подключением, в комплекте с краном Маевского, заглушкой, настенными кронштейнами Classic 22-500-1500 Prado"/>
        <filter val="Радиатор панельный стальной c боковым подключением, в комплекте с краном Маевского, заглушкой, настенными кронштейнами Classic 22-500-400 Prado"/>
        <filter val="Радиатор панельный стальной c боковым подключением, в комплекте с краном Маевского, заглушкой, настенными кронштейнами Classic 22-500-500 Prado"/>
        <filter val="Радиатор панельный стальной c боковым подключением, в комплекте с краном Маевского, заглушкой, настенными кронштейнами Classic 22-500-800 Prado"/>
        <filter val="Радиатор панельный стальной c боковым подключением, в комплекте с краном Маевского, заглушкой, настенными кронштейнами Classic 22-500-900 Prado"/>
        <filter val="Радиатор панельный стальной c боковым подключением, в комплекте с краном Маевского, заглушкой, настенными кронштейнами Classic 33-500-1300 Prado"/>
        <filter val="Радиатор панельный стальной c боковым подключением, в комплекте с краном Маевского, заглушкой, настенными кронштейнами Classic 33-500-1500 Prado"/>
        <filter val="Радиатор панельный стальной, в комплекте с заглушкой, настенными кронштейнами  Classic 22-300-1100 Prado"/>
        <filter val="Радиатор панельный стальной, в комплекте с заглушкой, настенными кронштейнами  Classic 22-300-1200 Prado"/>
        <filter val="Радиатор панельный стальной, в комплекте с заглушкой, настенными кронштейнами  Classic 22-300-400 Prado"/>
        <filter val="Радиатор панельный стальной, в комплекте с заглушкой, настенными кронштейнами  Classic 22-300-500 Prado"/>
        <filter val="Радиатор панельный стальной, в комплекте с заглушкой, настенными кронштейнами  Classic 22-300-600 Prado"/>
        <filter val="Радиатор панельный стальной, в комплекте с заглушкой, настенными кронштейнами  Classic 22-300-700 Prado"/>
        <filter val="Радиатор панельный стальной, в комплекте с заглушкой, настенными кронштейнами  Classic 22-300-800 Prado"/>
        <filter val="Радиатор панельный, нижнее подключение справа, в комплекте с заглушкой, настенными кронштейнами  Universal 11-500-1200 Prado"/>
        <filter val="Радиатор панельный, нижнее подключение справа, в комплекте с заглушкой, настенными кронштейнами  Universal 33-500-1000 Prado"/>
        <filter val="Радиатор панельный, нижнее подключение справа, в комплекте с заглушкой, настенными кронштейнами Universal 11-500-1000 Prado"/>
        <filter val="Радиатор панельный, нижнее подключение справа, в комплекте с заглушкой, настенными кронштейнами Universal 11-500-1100 Prado"/>
        <filter val="Радиатор панельный, нижнее подключение справа, в комплекте с заглушкой, настенными кронштейнами Universal 11-500-1200 Prado"/>
        <filter val="Радиатор панельный, нижнее подключение справа, в комплекте с заглушкой, настенными кронштейнами Universal 11-500-1300 Prado"/>
        <filter val="Радиатор панельный, нижнее подключение справа, в комплекте с заглушкой, настенными кронштейнами Universal 11-500-1400 Prado"/>
        <filter val="Радиатор панельный, нижнее подключение справа, в комплекте с заглушкой, настенными кронштейнами Universal 11-500-1500 Prado"/>
        <filter val="Радиатор панельный, нижнее подключение справа, в комплекте с заглушкой, настенными кронштейнами Universal 11-500-1600 Prado"/>
        <filter val="Радиатор панельный, нижнее подключение справа, в комплекте с заглушкой, настенными кронштейнами Universal 11-500-1800 Prado"/>
        <filter val="Радиатор панельный, нижнее подключение справа, в комплекте с заглушкой, настенными кронштейнами Universal 11-500-400 Prado"/>
        <filter val="Радиатор панельный, нижнее подключение справа, в комплекте с заглушкой, настенными кронштейнами Universal 11-500-600 Prado"/>
        <filter val="Радиатор панельный, нижнее подключение справа, в комплекте с заглушкой, настенными кронштейнами Universal 11-500-700 Prado"/>
        <filter val="Радиатор панельный, нижнее подключение справа, в комплекте с заглушкой, настенными кронштейнами Universal 11-500-900 Prado"/>
        <filter val="Радиатор панельный, нижнее подключение справа, в комплекте с заглушкой, настенными кронштейнами Universal 22-500-1000 Prado"/>
        <filter val="Радиатор панельный, нижнее подключение справа, в комплекте с заглушкой, настенными кронштейнами Universal 22-500-1100 Prado"/>
        <filter val="Радиатор панельный, нижнее подключение справа, в комплекте с заглушкой, настенными кронштейнами Universal 22-500-1200 Prado"/>
        <filter val="Радиатор панельный, нижнее подключение справа, в комплекте с заглушкой, настенными кронштейнами Universal 22-500-1400 Prado"/>
        <filter val="Радиатор панельный, нижнее подключение справа, в комплекте с заглушкой, настенными кронштейнами Universal 22-500-500 Prado"/>
        <filter val="Радиатор панельный, нижнее подключение справа, в комплекте с заглушкой, настенными кронштейнами Universal 22-500-600 Prado"/>
        <filter val="Радиатор панельный, нижнее подключение справа, в комплекте с заглушкой, настенными кронштейнами Universal 22-500-700 Prado"/>
        <filter val="Радиатор панельный, нижнее подключение справа, в комплекте с заглушкой, настенными кронштейнами Universal 22-500-800 Prado"/>
        <filter val="Радиатор панельный, нижнее подключение справа, в комплекте с заглушкой, настенными кронштейнами Universal 22-500-900 Prado"/>
        <filter val="Радиатор панельный, нижнее подключение справа, в комплекте с заглушкой, настенными кронштейнами Universal 33-500-1000 Prado"/>
        <filter val="Радиатор панельный, нижнее подключение справа, в комплекте с заглушкой, настенными кронштейнами Universal 33-500-1200 Prado"/>
        <filter val="Радиатор панельный, нижнее подключение справа, в комплекте с заглушкой, настенными кронштейнами Universal 33-500-1500 Prado"/>
        <filter val="Радиатор панельный, нижнее подключение справа, со встроенным термостатическим клапаном, в комплекте с заглушкой, настенными кронштейнами  Universal 11-300-1300 Prado"/>
        <filter val="Радиатор панельный, нижнее подключение справа, со встроенным термостатическим клапаном, в комплекте с заглушкой, настенными кронштейнами  Universal 22-300-1100 Prado"/>
        <filter val="Радиатор панельный, нижнее подключение справа, со встроенным термостатическим клапаном, в комплекте с заглушкой, настенными кронштейнами  Universal 22-300-1200 Prado"/>
        <filter val="Радиатор панельный, нижнее подключение справа, со встроенным термостатическим клапаном, в комплекте с заглушкой, настенными кронштейнами  Universal 22-300-1300 Prado"/>
        <filter val="Радиатор панельный, нижнее подключение справа, со встроенным термостатическим клапаном, в комплекте с заглушкой, настенными кронштейнами  Universal 22-300-1400 Prado"/>
        <filter val="Радиатор панельный, нижнее подключение справа, со встроенным термостатическим клапаном, в комплекте с заглушкой, настенными кронштейнами  Universal 22-300-1500 Prado"/>
        <filter val="Радиатор панельный, нижнее подключение справа, со встроенным термостатическим клапаном, в комплекте с заглушкой, настенными кронштейнами  Universal 33-300-2000 Prado"/>
        <filter val="Радиатор панельный, нижнее подключение справа, со встроенным термостатическим клапаном, в комплекте с заглушкой, настенными кронштейнами  Universal 33-500-1500 Prado"/>
        <filter val="Радиатор панельный, нижнее подключение справа, со встроенным термостатическим клапаном, в комплекте с заглушкой, настенными кронштейнами Universal 11-300-1700 Prado"/>
        <filter val="Радиатор панельный, нижнее подключение справа, со встроенным термостатическим клапаном, в комплекте с заглушкой, настенными кронштейнами Universal 11-300-1800 Prado"/>
        <filter val="Радиатор панельный, нижнее подключение справа, со встроенным термостатическим клапаном, в комплекте с заглушкой, настенными кронштейнами Universal 33-500-1900 Prado"/>
        <filter val="Радиатор панельный, нижнее подключение справа, со встроенным термостатическим клапаном, в комплекте с заглушкой, настенными кронштейнами Universal 33-500-2400 Prado"/>
        <filter val="Радиатор панельный, нижнее подключение справа, со встроенным термостатическим клапаном. Подключение справа Universal 22-300-1200 Prado"/>
      </filters>
    </filterColumn>
  </autoFilter>
  <mergeCells count="13">
    <mergeCell ref="A270:C270"/>
    <mergeCell ref="A72:C72"/>
    <mergeCell ref="A125:C125"/>
    <mergeCell ref="A157:C157"/>
    <mergeCell ref="A206:C206"/>
    <mergeCell ref="A254:C254"/>
    <mergeCell ref="A4:F4"/>
    <mergeCell ref="A6:F6"/>
    <mergeCell ref="A7:F7"/>
    <mergeCell ref="A14:A15"/>
    <mergeCell ref="B14:B15"/>
    <mergeCell ref="C14:C15"/>
    <mergeCell ref="D14:F14"/>
  </mergeCells>
  <pageMargins left="0.39370078740157483" right="0.19685039370078741" top="0.19685039370078741" bottom="0.19685039370078741" header="0.31496062992125984" footer="0.31496062992125984"/>
  <pageSetup paperSize="9" scale="84" fitToHeight="1000" orientation="portrait" r:id="rId1"/>
  <colBreaks count="1" manualBreakCount="1">
    <brk id="1" max="42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pageSetUpPr fitToPage="1"/>
  </sheetPr>
  <dimension ref="A1:AFU256"/>
  <sheetViews>
    <sheetView view="pageBreakPreview" zoomScaleNormal="85" zoomScaleSheetLayoutView="100" workbookViewId="0">
      <selection activeCell="B17" sqref="B17"/>
    </sheetView>
  </sheetViews>
  <sheetFormatPr defaultRowHeight="14.4" x14ac:dyDescent="0.3"/>
  <cols>
    <col min="1" max="1" width="4.109375" customWidth="1"/>
    <col min="2" max="2" width="94.6640625" style="11" customWidth="1"/>
    <col min="3" max="3" width="8" style="12" customWidth="1"/>
    <col min="4" max="5" width="9" style="43" hidden="1" customWidth="1"/>
    <col min="6" max="6" width="9" style="43" customWidth="1"/>
  </cols>
  <sheetData>
    <row r="1" spans="1:6" s="1" customFormat="1" ht="56.25" customHeight="1" x14ac:dyDescent="0.25">
      <c r="A1" s="72" t="s">
        <v>31</v>
      </c>
      <c r="B1" s="72"/>
      <c r="C1" s="72"/>
      <c r="D1" s="72"/>
      <c r="E1" s="72"/>
      <c r="F1" s="72"/>
    </row>
    <row r="2" spans="1:6" s="1" customFormat="1" ht="14.4" customHeight="1" x14ac:dyDescent="0.25">
      <c r="A2" s="5"/>
      <c r="B2" s="5"/>
      <c r="C2" s="6"/>
      <c r="D2" s="42"/>
      <c r="E2" s="42"/>
      <c r="F2" s="42"/>
    </row>
    <row r="3" spans="1:6" s="1" customFormat="1" ht="14.4" customHeight="1" x14ac:dyDescent="0.25">
      <c r="A3" s="73" t="s">
        <v>6</v>
      </c>
      <c r="B3" s="73"/>
      <c r="C3" s="73"/>
      <c r="D3" s="73"/>
      <c r="E3" s="73"/>
      <c r="F3" s="73"/>
    </row>
    <row r="4" spans="1:6" s="1" customFormat="1" ht="14.4" customHeight="1" x14ac:dyDescent="0.25">
      <c r="A4" s="74" t="s">
        <v>338</v>
      </c>
      <c r="B4" s="74"/>
      <c r="C4" s="74"/>
      <c r="D4" s="74"/>
      <c r="E4" s="74"/>
      <c r="F4" s="74"/>
    </row>
    <row r="5" spans="1:6" s="1" customFormat="1" ht="14.4" customHeight="1" x14ac:dyDescent="0.25">
      <c r="A5" s="7"/>
      <c r="B5" s="7"/>
      <c r="C5" s="8"/>
      <c r="D5" s="42"/>
      <c r="E5" s="42"/>
      <c r="F5" s="42"/>
    </row>
    <row r="6" spans="1:6" s="1" customFormat="1" ht="14.4" customHeight="1" x14ac:dyDescent="0.25">
      <c r="A6" s="9"/>
      <c r="B6" s="29"/>
      <c r="C6" s="10"/>
      <c r="D6" s="42"/>
      <c r="E6" s="42"/>
      <c r="F6" s="42"/>
    </row>
    <row r="7" spans="1:6" s="1" customFormat="1" ht="13.2" customHeight="1" x14ac:dyDescent="0.25">
      <c r="A7" s="3"/>
      <c r="B7" s="9" t="s">
        <v>7</v>
      </c>
      <c r="C7" s="4"/>
      <c r="D7" s="42"/>
      <c r="E7" s="42"/>
      <c r="F7" s="42"/>
    </row>
    <row r="9" spans="1:6" x14ac:dyDescent="0.3">
      <c r="B9" s="11" t="s">
        <v>339</v>
      </c>
    </row>
    <row r="11" spans="1:6" ht="15" customHeight="1" x14ac:dyDescent="0.3">
      <c r="A11" s="75" t="s">
        <v>1</v>
      </c>
      <c r="B11" s="75" t="s">
        <v>2</v>
      </c>
      <c r="C11" s="76" t="s">
        <v>5</v>
      </c>
      <c r="D11" s="77" t="s">
        <v>38</v>
      </c>
      <c r="E11" s="78"/>
      <c r="F11" s="79"/>
    </row>
    <row r="12" spans="1:6" s="13" customFormat="1" x14ac:dyDescent="0.3">
      <c r="A12" s="75"/>
      <c r="B12" s="75"/>
      <c r="C12" s="76"/>
      <c r="D12" s="53" t="s">
        <v>340</v>
      </c>
      <c r="E12" s="53" t="s">
        <v>341</v>
      </c>
      <c r="F12" s="53" t="s">
        <v>176</v>
      </c>
    </row>
    <row r="13" spans="1:6" s="14" customFormat="1" x14ac:dyDescent="0.3">
      <c r="A13" s="32" t="s">
        <v>40</v>
      </c>
      <c r="B13" s="32"/>
      <c r="C13" s="32"/>
      <c r="D13" s="44"/>
      <c r="E13" s="44"/>
      <c r="F13" s="44"/>
    </row>
    <row r="14" spans="1:6" ht="28.8" x14ac:dyDescent="0.3">
      <c r="A14" s="15">
        <v>1</v>
      </c>
      <c r="B14" s="16" t="s">
        <v>156</v>
      </c>
      <c r="C14" s="17" t="s">
        <v>39</v>
      </c>
      <c r="D14" s="37"/>
      <c r="E14" s="37">
        <v>5</v>
      </c>
      <c r="F14" s="37">
        <f t="shared" ref="F14:F75" si="0">D14+E14</f>
        <v>5</v>
      </c>
    </row>
    <row r="15" spans="1:6" ht="28.8" x14ac:dyDescent="0.3">
      <c r="A15" s="15">
        <v>2</v>
      </c>
      <c r="B15" s="16" t="s">
        <v>278</v>
      </c>
      <c r="C15" s="17" t="s">
        <v>39</v>
      </c>
      <c r="D15" s="37"/>
      <c r="E15" s="37">
        <v>31</v>
      </c>
      <c r="F15" s="37">
        <f t="shared" si="0"/>
        <v>31</v>
      </c>
    </row>
    <row r="16" spans="1:6" ht="28.8" x14ac:dyDescent="0.3">
      <c r="A16" s="15">
        <v>3</v>
      </c>
      <c r="B16" s="16" t="s">
        <v>342</v>
      </c>
      <c r="C16" s="17" t="s">
        <v>39</v>
      </c>
      <c r="D16" s="37"/>
      <c r="E16" s="37">
        <v>1</v>
      </c>
      <c r="F16" s="37">
        <f t="shared" si="0"/>
        <v>1</v>
      </c>
    </row>
    <row r="17" spans="1:6" ht="28.8" x14ac:dyDescent="0.3">
      <c r="A17" s="15">
        <v>4</v>
      </c>
      <c r="B17" s="16" t="s">
        <v>153</v>
      </c>
      <c r="C17" s="17" t="s">
        <v>39</v>
      </c>
      <c r="D17" s="37"/>
      <c r="E17" s="37">
        <v>5</v>
      </c>
      <c r="F17" s="37">
        <f t="shared" si="0"/>
        <v>5</v>
      </c>
    </row>
    <row r="18" spans="1:6" ht="28.8" x14ac:dyDescent="0.3">
      <c r="A18" s="15">
        <v>5</v>
      </c>
      <c r="B18" s="16" t="s">
        <v>152</v>
      </c>
      <c r="C18" s="17" t="s">
        <v>39</v>
      </c>
      <c r="D18" s="37"/>
      <c r="E18" s="37">
        <v>36</v>
      </c>
      <c r="F18" s="37">
        <f t="shared" si="0"/>
        <v>36</v>
      </c>
    </row>
    <row r="19" spans="1:6" ht="28.8" x14ac:dyDescent="0.3">
      <c r="A19" s="15">
        <v>6</v>
      </c>
      <c r="B19" s="16" t="s">
        <v>151</v>
      </c>
      <c r="C19" s="17" t="s">
        <v>39</v>
      </c>
      <c r="D19" s="37"/>
      <c r="E19" s="37">
        <v>19</v>
      </c>
      <c r="F19" s="37">
        <f t="shared" si="0"/>
        <v>19</v>
      </c>
    </row>
    <row r="20" spans="1:6" ht="28.8" x14ac:dyDescent="0.3">
      <c r="A20" s="15">
        <v>7</v>
      </c>
      <c r="B20" s="16" t="s">
        <v>112</v>
      </c>
      <c r="C20" s="17" t="s">
        <v>39</v>
      </c>
      <c r="D20" s="37"/>
      <c r="E20" s="37">
        <v>69</v>
      </c>
      <c r="F20" s="37">
        <f t="shared" si="0"/>
        <v>69</v>
      </c>
    </row>
    <row r="21" spans="1:6" ht="28.8" x14ac:dyDescent="0.3">
      <c r="A21" s="15">
        <v>8</v>
      </c>
      <c r="B21" s="16" t="s">
        <v>150</v>
      </c>
      <c r="C21" s="17" t="s">
        <v>39</v>
      </c>
      <c r="D21" s="37"/>
      <c r="E21" s="37">
        <v>12</v>
      </c>
      <c r="F21" s="37">
        <f t="shared" si="0"/>
        <v>12</v>
      </c>
    </row>
    <row r="22" spans="1:6" ht="28.8" x14ac:dyDescent="0.3">
      <c r="A22" s="15">
        <v>9</v>
      </c>
      <c r="B22" s="16" t="s">
        <v>149</v>
      </c>
      <c r="C22" s="17" t="s">
        <v>39</v>
      </c>
      <c r="D22" s="37"/>
      <c r="E22" s="37">
        <v>38</v>
      </c>
      <c r="F22" s="37">
        <f t="shared" si="0"/>
        <v>38</v>
      </c>
    </row>
    <row r="23" spans="1:6" ht="28.8" x14ac:dyDescent="0.3">
      <c r="A23" s="15">
        <v>10</v>
      </c>
      <c r="B23" s="16" t="s">
        <v>148</v>
      </c>
      <c r="C23" s="17" t="s">
        <v>39</v>
      </c>
      <c r="D23" s="37"/>
      <c r="E23" s="37">
        <v>24</v>
      </c>
      <c r="F23" s="37">
        <f t="shared" si="0"/>
        <v>24</v>
      </c>
    </row>
    <row r="24" spans="1:6" ht="28.8" x14ac:dyDescent="0.3">
      <c r="A24" s="15">
        <v>11</v>
      </c>
      <c r="B24" s="16" t="s">
        <v>147</v>
      </c>
      <c r="C24" s="17" t="s">
        <v>39</v>
      </c>
      <c r="D24" s="37"/>
      <c r="E24" s="37">
        <v>7</v>
      </c>
      <c r="F24" s="37">
        <f t="shared" si="0"/>
        <v>7</v>
      </c>
    </row>
    <row r="25" spans="1:6" ht="28.8" x14ac:dyDescent="0.3">
      <c r="A25" s="15">
        <v>12</v>
      </c>
      <c r="B25" s="16" t="s">
        <v>146</v>
      </c>
      <c r="C25" s="17" t="s">
        <v>39</v>
      </c>
      <c r="D25" s="37"/>
      <c r="E25" s="37">
        <v>5</v>
      </c>
      <c r="F25" s="37">
        <f t="shared" si="0"/>
        <v>5</v>
      </c>
    </row>
    <row r="26" spans="1:6" ht="28.8" x14ac:dyDescent="0.3">
      <c r="A26" s="15">
        <v>13</v>
      </c>
      <c r="B26" s="16" t="s">
        <v>279</v>
      </c>
      <c r="C26" s="17" t="s">
        <v>39</v>
      </c>
      <c r="D26" s="37"/>
      <c r="E26" s="37">
        <v>21</v>
      </c>
      <c r="F26" s="37">
        <f t="shared" si="0"/>
        <v>21</v>
      </c>
    </row>
    <row r="27" spans="1:6" ht="28.8" x14ac:dyDescent="0.3">
      <c r="A27" s="15">
        <v>14</v>
      </c>
      <c r="B27" s="16" t="s">
        <v>343</v>
      </c>
      <c r="C27" s="17" t="s">
        <v>39</v>
      </c>
      <c r="D27" s="37"/>
      <c r="E27" s="37">
        <v>4</v>
      </c>
      <c r="F27" s="37">
        <f t="shared" si="0"/>
        <v>4</v>
      </c>
    </row>
    <row r="28" spans="1:6" ht="28.8" x14ac:dyDescent="0.3">
      <c r="A28" s="15">
        <v>15</v>
      </c>
      <c r="B28" s="16" t="s">
        <v>144</v>
      </c>
      <c r="C28" s="17" t="s">
        <v>39</v>
      </c>
      <c r="D28" s="37"/>
      <c r="E28" s="37">
        <v>65</v>
      </c>
      <c r="F28" s="37">
        <f t="shared" si="0"/>
        <v>65</v>
      </c>
    </row>
    <row r="29" spans="1:6" ht="28.8" x14ac:dyDescent="0.3">
      <c r="A29" s="15">
        <v>16</v>
      </c>
      <c r="B29" s="16" t="s">
        <v>138</v>
      </c>
      <c r="C29" s="17" t="s">
        <v>39</v>
      </c>
      <c r="D29" s="37"/>
      <c r="E29" s="37">
        <v>25</v>
      </c>
      <c r="F29" s="37">
        <f t="shared" si="0"/>
        <v>25</v>
      </c>
    </row>
    <row r="30" spans="1:6" ht="28.8" x14ac:dyDescent="0.3">
      <c r="A30" s="15">
        <v>17</v>
      </c>
      <c r="B30" s="16" t="s">
        <v>142</v>
      </c>
      <c r="C30" s="17" t="s">
        <v>39</v>
      </c>
      <c r="D30" s="37"/>
      <c r="E30" s="37">
        <v>7</v>
      </c>
      <c r="F30" s="37">
        <f t="shared" si="0"/>
        <v>7</v>
      </c>
    </row>
    <row r="31" spans="1:6" ht="28.8" x14ac:dyDescent="0.3">
      <c r="A31" s="15">
        <v>18</v>
      </c>
      <c r="B31" s="16" t="s">
        <v>140</v>
      </c>
      <c r="C31" s="17" t="s">
        <v>39</v>
      </c>
      <c r="D31" s="37"/>
      <c r="E31" s="37">
        <v>1</v>
      </c>
      <c r="F31" s="37">
        <f t="shared" si="0"/>
        <v>1</v>
      </c>
    </row>
    <row r="32" spans="1:6" ht="28.8" x14ac:dyDescent="0.3">
      <c r="A32" s="15">
        <v>19</v>
      </c>
      <c r="B32" s="16" t="s">
        <v>139</v>
      </c>
      <c r="C32" s="17" t="s">
        <v>39</v>
      </c>
      <c r="D32" s="37"/>
      <c r="E32" s="37">
        <v>1</v>
      </c>
      <c r="F32" s="37">
        <f t="shared" si="0"/>
        <v>1</v>
      </c>
    </row>
    <row r="33" spans="1:6" ht="28.8" x14ac:dyDescent="0.3">
      <c r="A33" s="15">
        <v>20</v>
      </c>
      <c r="B33" s="16" t="s">
        <v>335</v>
      </c>
      <c r="C33" s="17" t="s">
        <v>39</v>
      </c>
      <c r="D33" s="37"/>
      <c r="E33" s="37">
        <v>1</v>
      </c>
      <c r="F33" s="37">
        <f t="shared" si="0"/>
        <v>1</v>
      </c>
    </row>
    <row r="34" spans="1:6" hidden="1" x14ac:dyDescent="0.3">
      <c r="A34" s="15">
        <v>21</v>
      </c>
      <c r="B34" s="58" t="s">
        <v>177</v>
      </c>
      <c r="C34" s="17" t="s">
        <v>39</v>
      </c>
      <c r="D34" s="37"/>
      <c r="E34" s="37">
        <v>377</v>
      </c>
      <c r="F34" s="37">
        <f>D34+E34</f>
        <v>377</v>
      </c>
    </row>
    <row r="35" spans="1:6" hidden="1" x14ac:dyDescent="0.3">
      <c r="A35" s="15">
        <v>22</v>
      </c>
      <c r="B35" s="58" t="s">
        <v>45</v>
      </c>
      <c r="C35" s="17" t="s">
        <v>39</v>
      </c>
      <c r="D35" s="37"/>
      <c r="E35" s="37">
        <v>197</v>
      </c>
      <c r="F35" s="37">
        <f>D35+E35</f>
        <v>197</v>
      </c>
    </row>
    <row r="36" spans="1:6" s="59" customFormat="1" hidden="1" x14ac:dyDescent="0.3">
      <c r="A36" s="15">
        <v>23</v>
      </c>
      <c r="B36" s="58" t="s">
        <v>55</v>
      </c>
      <c r="C36" s="17" t="s">
        <v>39</v>
      </c>
      <c r="D36" s="22"/>
      <c r="E36" s="22">
        <v>146</v>
      </c>
      <c r="F36" s="37">
        <f t="shared" ref="F36" si="1">D36+E36</f>
        <v>146</v>
      </c>
    </row>
    <row r="37" spans="1:6" s="59" customFormat="1" hidden="1" x14ac:dyDescent="0.3">
      <c r="A37" s="15">
        <v>24</v>
      </c>
      <c r="B37" s="58" t="s">
        <v>178</v>
      </c>
      <c r="C37" s="17" t="s">
        <v>39</v>
      </c>
      <c r="D37" s="22"/>
      <c r="E37" s="22">
        <v>2</v>
      </c>
      <c r="F37" s="37">
        <f>D37+E37</f>
        <v>2</v>
      </c>
    </row>
    <row r="38" spans="1:6" s="34" customFormat="1" hidden="1" x14ac:dyDescent="0.3">
      <c r="A38" s="15">
        <v>25</v>
      </c>
      <c r="B38" s="39" t="s">
        <v>179</v>
      </c>
      <c r="C38" s="17" t="s">
        <v>39</v>
      </c>
      <c r="D38" s="41"/>
      <c r="E38" s="22">
        <v>197</v>
      </c>
      <c r="F38" s="37">
        <f t="shared" ref="F38" si="2">D38+E38</f>
        <v>197</v>
      </c>
    </row>
    <row r="39" spans="1:6" hidden="1" x14ac:dyDescent="0.3">
      <c r="A39" s="15">
        <v>26</v>
      </c>
      <c r="B39" s="16" t="s">
        <v>42</v>
      </c>
      <c r="C39" s="17" t="s">
        <v>39</v>
      </c>
      <c r="D39" s="37"/>
      <c r="E39" s="37">
        <v>2</v>
      </c>
      <c r="F39" s="37">
        <f t="shared" si="0"/>
        <v>2</v>
      </c>
    </row>
    <row r="40" spans="1:6" hidden="1" x14ac:dyDescent="0.3">
      <c r="A40" s="15">
        <v>27</v>
      </c>
      <c r="B40" s="16" t="s">
        <v>344</v>
      </c>
      <c r="C40" s="17" t="s">
        <v>39</v>
      </c>
      <c r="D40" s="37"/>
      <c r="E40" s="37">
        <v>5</v>
      </c>
      <c r="F40" s="37">
        <f>D40+E40</f>
        <v>5</v>
      </c>
    </row>
    <row r="41" spans="1:6" hidden="1" x14ac:dyDescent="0.3">
      <c r="A41" s="15">
        <v>28</v>
      </c>
      <c r="B41" s="16" t="s">
        <v>345</v>
      </c>
      <c r="C41" s="17" t="s">
        <v>39</v>
      </c>
      <c r="D41" s="37"/>
      <c r="E41" s="37">
        <v>7</v>
      </c>
      <c r="F41" s="37">
        <f>D41+E41</f>
        <v>7</v>
      </c>
    </row>
    <row r="42" spans="1:6" hidden="1" x14ac:dyDescent="0.3">
      <c r="A42" s="15">
        <v>29</v>
      </c>
      <c r="B42" s="16" t="s">
        <v>346</v>
      </c>
      <c r="C42" s="17" t="s">
        <v>39</v>
      </c>
      <c r="D42" s="37"/>
      <c r="E42" s="37">
        <v>12</v>
      </c>
      <c r="F42" s="37">
        <f>D42+E42</f>
        <v>12</v>
      </c>
    </row>
    <row r="43" spans="1:6" ht="28.8" hidden="1" x14ac:dyDescent="0.3">
      <c r="A43" s="15">
        <v>30</v>
      </c>
      <c r="B43" s="16" t="s">
        <v>347</v>
      </c>
      <c r="C43" s="17" t="s">
        <v>39</v>
      </c>
      <c r="D43" s="37"/>
      <c r="E43" s="37">
        <v>1</v>
      </c>
      <c r="F43" s="37">
        <f t="shared" ref="F43" si="3">D43+E43</f>
        <v>1</v>
      </c>
    </row>
    <row r="44" spans="1:6" hidden="1" x14ac:dyDescent="0.3">
      <c r="A44" s="15">
        <v>31</v>
      </c>
      <c r="B44" s="16" t="s">
        <v>184</v>
      </c>
      <c r="C44" s="17" t="s">
        <v>39</v>
      </c>
      <c r="D44" s="37"/>
      <c r="E44" s="37">
        <v>6</v>
      </c>
      <c r="F44" s="37">
        <f t="shared" si="0"/>
        <v>6</v>
      </c>
    </row>
    <row r="45" spans="1:6" hidden="1" x14ac:dyDescent="0.3">
      <c r="A45" s="15">
        <v>32</v>
      </c>
      <c r="B45" s="16" t="s">
        <v>185</v>
      </c>
      <c r="C45" s="17" t="s">
        <v>39</v>
      </c>
      <c r="D45" s="37"/>
      <c r="E45" s="37">
        <v>1</v>
      </c>
      <c r="F45" s="37">
        <f t="shared" si="0"/>
        <v>1</v>
      </c>
    </row>
    <row r="46" spans="1:6" hidden="1" x14ac:dyDescent="0.3">
      <c r="A46" s="15">
        <v>33</v>
      </c>
      <c r="B46" s="16" t="s">
        <v>348</v>
      </c>
      <c r="C46" s="17" t="s">
        <v>39</v>
      </c>
      <c r="D46" s="37"/>
      <c r="E46" s="37">
        <v>4</v>
      </c>
      <c r="F46" s="37">
        <f t="shared" si="0"/>
        <v>4</v>
      </c>
    </row>
    <row r="47" spans="1:6" hidden="1" x14ac:dyDescent="0.3">
      <c r="A47" s="15">
        <v>34</v>
      </c>
      <c r="B47" s="16" t="s">
        <v>56</v>
      </c>
      <c r="C47" s="17" t="s">
        <v>0</v>
      </c>
      <c r="D47" s="22"/>
      <c r="E47" s="22">
        <v>8035.61</v>
      </c>
      <c r="F47" s="37">
        <f t="shared" si="0"/>
        <v>8035.61</v>
      </c>
    </row>
    <row r="48" spans="1:6" hidden="1" x14ac:dyDescent="0.3">
      <c r="A48" s="15">
        <v>35</v>
      </c>
      <c r="B48" s="16" t="s">
        <v>57</v>
      </c>
      <c r="C48" s="17" t="s">
        <v>0</v>
      </c>
      <c r="D48" s="22"/>
      <c r="E48" s="22">
        <v>2813.78</v>
      </c>
      <c r="F48" s="37">
        <f t="shared" si="0"/>
        <v>2813.78</v>
      </c>
    </row>
    <row r="49" spans="1:6" hidden="1" x14ac:dyDescent="0.3">
      <c r="A49" s="15">
        <v>36</v>
      </c>
      <c r="B49" s="16" t="s">
        <v>349</v>
      </c>
      <c r="C49" s="17" t="s">
        <v>0</v>
      </c>
      <c r="D49" s="22"/>
      <c r="E49" s="22">
        <v>69.77</v>
      </c>
      <c r="F49" s="37">
        <f t="shared" si="0"/>
        <v>69.77</v>
      </c>
    </row>
    <row r="50" spans="1:6" hidden="1" x14ac:dyDescent="0.3">
      <c r="A50" s="15">
        <v>37</v>
      </c>
      <c r="B50" s="16" t="s">
        <v>350</v>
      </c>
      <c r="C50" s="17" t="s">
        <v>0</v>
      </c>
      <c r="D50" s="37"/>
      <c r="E50" s="37">
        <v>6.05</v>
      </c>
      <c r="F50" s="37">
        <f t="shared" si="0"/>
        <v>6.05</v>
      </c>
    </row>
    <row r="51" spans="1:6" hidden="1" x14ac:dyDescent="0.3">
      <c r="A51" s="15">
        <v>38</v>
      </c>
      <c r="B51" s="16" t="s">
        <v>351</v>
      </c>
      <c r="C51" s="17" t="s">
        <v>0</v>
      </c>
      <c r="D51" s="37"/>
      <c r="E51" s="37">
        <v>0.15</v>
      </c>
      <c r="F51" s="37">
        <f t="shared" si="0"/>
        <v>0.15</v>
      </c>
    </row>
    <row r="52" spans="1:6" hidden="1" x14ac:dyDescent="0.3">
      <c r="A52" s="15">
        <v>39</v>
      </c>
      <c r="B52" s="16" t="s">
        <v>59</v>
      </c>
      <c r="C52" s="17" t="s">
        <v>0</v>
      </c>
      <c r="D52" s="37"/>
      <c r="E52" s="37">
        <v>2.13</v>
      </c>
      <c r="F52" s="37">
        <f t="shared" si="0"/>
        <v>2.13</v>
      </c>
    </row>
    <row r="53" spans="1:6" hidden="1" x14ac:dyDescent="0.3">
      <c r="A53" s="15">
        <v>40</v>
      </c>
      <c r="B53" s="16" t="s">
        <v>60</v>
      </c>
      <c r="C53" s="17" t="s">
        <v>0</v>
      </c>
      <c r="D53" s="37"/>
      <c r="E53" s="37">
        <v>0.36</v>
      </c>
      <c r="F53" s="37">
        <f t="shared" si="0"/>
        <v>0.36</v>
      </c>
    </row>
    <row r="54" spans="1:6" s="34" customFormat="1" hidden="1" x14ac:dyDescent="0.3">
      <c r="A54" s="15">
        <v>41</v>
      </c>
      <c r="B54" s="16" t="s">
        <v>61</v>
      </c>
      <c r="C54" s="17" t="s">
        <v>0</v>
      </c>
      <c r="D54" s="37"/>
      <c r="E54" s="37">
        <v>21.79</v>
      </c>
      <c r="F54" s="37">
        <f t="shared" si="0"/>
        <v>21.79</v>
      </c>
    </row>
    <row r="55" spans="1:6" hidden="1" x14ac:dyDescent="0.3">
      <c r="A55" s="15">
        <v>42</v>
      </c>
      <c r="B55" s="16" t="s">
        <v>62</v>
      </c>
      <c r="C55" s="17" t="s">
        <v>0</v>
      </c>
      <c r="D55" s="37"/>
      <c r="E55" s="37">
        <v>12.42</v>
      </c>
      <c r="F55" s="37">
        <f t="shared" si="0"/>
        <v>12.42</v>
      </c>
    </row>
    <row r="56" spans="1:6" hidden="1" x14ac:dyDescent="0.3">
      <c r="A56" s="15">
        <v>43</v>
      </c>
      <c r="B56" s="16" t="s">
        <v>63</v>
      </c>
      <c r="C56" s="17" t="s">
        <v>0</v>
      </c>
      <c r="D56" s="37"/>
      <c r="E56" s="37">
        <v>18.760000000000002</v>
      </c>
      <c r="F56" s="37">
        <f t="shared" si="0"/>
        <v>18.760000000000002</v>
      </c>
    </row>
    <row r="57" spans="1:6" hidden="1" x14ac:dyDescent="0.3">
      <c r="A57" s="15">
        <v>44</v>
      </c>
      <c r="B57" s="16" t="s">
        <v>352</v>
      </c>
      <c r="C57" s="17" t="s">
        <v>0</v>
      </c>
      <c r="D57" s="37"/>
      <c r="E57" s="37">
        <v>0.13</v>
      </c>
      <c r="F57" s="37">
        <f t="shared" si="0"/>
        <v>0.13</v>
      </c>
    </row>
    <row r="58" spans="1:6" ht="28.8" hidden="1" x14ac:dyDescent="0.3">
      <c r="A58" s="15">
        <v>45</v>
      </c>
      <c r="B58" s="16" t="s">
        <v>64</v>
      </c>
      <c r="C58" s="17" t="s">
        <v>0</v>
      </c>
      <c r="D58" s="37"/>
      <c r="E58" s="37">
        <v>30.64</v>
      </c>
      <c r="F58" s="37">
        <f t="shared" si="0"/>
        <v>30.64</v>
      </c>
    </row>
    <row r="59" spans="1:6" ht="28.8" hidden="1" x14ac:dyDescent="0.3">
      <c r="A59" s="15">
        <v>46</v>
      </c>
      <c r="B59" s="16" t="s">
        <v>65</v>
      </c>
      <c r="C59" s="17" t="s">
        <v>0</v>
      </c>
      <c r="D59" s="37"/>
      <c r="E59" s="37">
        <v>131.01</v>
      </c>
      <c r="F59" s="37">
        <f t="shared" si="0"/>
        <v>131.01</v>
      </c>
    </row>
    <row r="60" spans="1:6" ht="28.8" hidden="1" x14ac:dyDescent="0.3">
      <c r="A60" s="15">
        <v>47</v>
      </c>
      <c r="B60" s="16" t="s">
        <v>353</v>
      </c>
      <c r="C60" s="17" t="s">
        <v>0</v>
      </c>
      <c r="D60" s="37"/>
      <c r="E60" s="37">
        <v>41.85</v>
      </c>
      <c r="F60" s="37">
        <f t="shared" si="0"/>
        <v>41.85</v>
      </c>
    </row>
    <row r="61" spans="1:6" hidden="1" x14ac:dyDescent="0.3">
      <c r="A61" s="15">
        <v>48</v>
      </c>
      <c r="B61" s="35" t="s">
        <v>218</v>
      </c>
      <c r="C61" s="17" t="s">
        <v>0</v>
      </c>
      <c r="D61" s="37"/>
      <c r="E61" s="37">
        <v>4.21</v>
      </c>
      <c r="F61" s="37">
        <f t="shared" si="0"/>
        <v>4.21</v>
      </c>
    </row>
    <row r="62" spans="1:6" hidden="1" x14ac:dyDescent="0.3">
      <c r="A62" s="15">
        <v>49</v>
      </c>
      <c r="B62" s="36" t="s">
        <v>68</v>
      </c>
      <c r="C62" s="17" t="s">
        <v>0</v>
      </c>
      <c r="D62" s="37"/>
      <c r="E62" s="37">
        <v>0.5</v>
      </c>
      <c r="F62" s="37">
        <f t="shared" si="0"/>
        <v>0.5</v>
      </c>
    </row>
    <row r="63" spans="1:6" hidden="1" x14ac:dyDescent="0.3">
      <c r="A63" s="15">
        <v>50</v>
      </c>
      <c r="B63" s="36" t="s">
        <v>329</v>
      </c>
      <c r="C63" s="17" t="s">
        <v>0</v>
      </c>
      <c r="D63" s="37"/>
      <c r="E63" s="37">
        <v>1.35</v>
      </c>
      <c r="F63" s="37">
        <f t="shared" si="0"/>
        <v>1.35</v>
      </c>
    </row>
    <row r="64" spans="1:6" hidden="1" x14ac:dyDescent="0.3">
      <c r="A64" s="15">
        <v>51</v>
      </c>
      <c r="B64" s="36" t="s">
        <v>318</v>
      </c>
      <c r="C64" s="17" t="s">
        <v>0</v>
      </c>
      <c r="D64" s="37"/>
      <c r="E64" s="37">
        <v>12.3</v>
      </c>
      <c r="F64" s="37">
        <f t="shared" si="0"/>
        <v>12.3</v>
      </c>
    </row>
    <row r="65" spans="1:6" hidden="1" x14ac:dyDescent="0.3">
      <c r="A65" s="15">
        <v>52</v>
      </c>
      <c r="B65" s="36" t="s">
        <v>330</v>
      </c>
      <c r="C65" s="17" t="s">
        <v>0</v>
      </c>
      <c r="D65" s="37"/>
      <c r="E65" s="37">
        <v>12.38</v>
      </c>
      <c r="F65" s="37">
        <f t="shared" si="0"/>
        <v>12.38</v>
      </c>
    </row>
    <row r="66" spans="1:6" hidden="1" x14ac:dyDescent="0.3">
      <c r="A66" s="15">
        <v>53</v>
      </c>
      <c r="B66" s="36" t="s">
        <v>354</v>
      </c>
      <c r="C66" s="17" t="s">
        <v>0</v>
      </c>
      <c r="D66" s="37"/>
      <c r="E66" s="37">
        <v>18.760000000000002</v>
      </c>
      <c r="F66" s="37">
        <f t="shared" si="0"/>
        <v>18.760000000000002</v>
      </c>
    </row>
    <row r="67" spans="1:6" hidden="1" x14ac:dyDescent="0.3">
      <c r="A67" s="15">
        <v>54</v>
      </c>
      <c r="B67" s="36" t="s">
        <v>190</v>
      </c>
      <c r="C67" s="17" t="s">
        <v>0</v>
      </c>
      <c r="D67" s="37"/>
      <c r="E67" s="37">
        <v>30.64</v>
      </c>
      <c r="F67" s="37">
        <f t="shared" si="0"/>
        <v>30.64</v>
      </c>
    </row>
    <row r="68" spans="1:6" hidden="1" x14ac:dyDescent="0.3">
      <c r="A68" s="15">
        <v>55</v>
      </c>
      <c r="B68" s="36" t="s">
        <v>191</v>
      </c>
      <c r="C68" s="17" t="s">
        <v>0</v>
      </c>
      <c r="D68" s="37"/>
      <c r="E68" s="37">
        <v>88.22</v>
      </c>
      <c r="F68" s="37">
        <f t="shared" si="0"/>
        <v>88.22</v>
      </c>
    </row>
    <row r="69" spans="1:6" hidden="1" x14ac:dyDescent="0.3">
      <c r="A69" s="15">
        <v>56</v>
      </c>
      <c r="B69" s="36" t="s">
        <v>262</v>
      </c>
      <c r="C69" s="17" t="s">
        <v>0</v>
      </c>
      <c r="D69" s="37"/>
      <c r="E69" s="37">
        <v>41.85</v>
      </c>
      <c r="F69" s="37">
        <f t="shared" si="0"/>
        <v>41.85</v>
      </c>
    </row>
    <row r="70" spans="1:6" hidden="1" x14ac:dyDescent="0.3">
      <c r="A70" s="15">
        <v>57</v>
      </c>
      <c r="B70" s="36" t="s">
        <v>355</v>
      </c>
      <c r="C70" s="17" t="s">
        <v>0</v>
      </c>
      <c r="D70" s="37"/>
      <c r="E70" s="37">
        <v>42.92</v>
      </c>
      <c r="F70" s="37">
        <f t="shared" si="0"/>
        <v>42.92</v>
      </c>
    </row>
    <row r="71" spans="1:6" hidden="1" x14ac:dyDescent="0.3">
      <c r="A71" s="15">
        <v>58</v>
      </c>
      <c r="B71" s="16" t="s">
        <v>158</v>
      </c>
      <c r="C71" s="17" t="s">
        <v>159</v>
      </c>
      <c r="D71" s="37">
        <v>1</v>
      </c>
      <c r="E71" s="37"/>
      <c r="F71" s="37">
        <f t="shared" si="0"/>
        <v>1</v>
      </c>
    </row>
    <row r="72" spans="1:6" hidden="1" x14ac:dyDescent="0.3">
      <c r="A72" s="15">
        <v>59</v>
      </c>
      <c r="B72" s="16" t="s">
        <v>158</v>
      </c>
      <c r="C72" s="17" t="s">
        <v>159</v>
      </c>
      <c r="D72" s="37"/>
      <c r="E72" s="37">
        <v>1</v>
      </c>
      <c r="F72" s="37">
        <f t="shared" si="0"/>
        <v>1</v>
      </c>
    </row>
    <row r="73" spans="1:6" hidden="1" x14ac:dyDescent="0.3">
      <c r="A73" s="15">
        <v>60</v>
      </c>
      <c r="B73" s="16" t="s">
        <v>80</v>
      </c>
      <c r="C73" s="17" t="s">
        <v>69</v>
      </c>
      <c r="D73" s="37"/>
      <c r="E73" s="37">
        <v>81.39</v>
      </c>
      <c r="F73" s="37">
        <f>D73+E73</f>
        <v>81.39</v>
      </c>
    </row>
    <row r="74" spans="1:6" hidden="1" x14ac:dyDescent="0.3">
      <c r="A74" s="15">
        <v>61</v>
      </c>
      <c r="B74" s="16" t="s">
        <v>79</v>
      </c>
      <c r="C74" s="17" t="s">
        <v>69</v>
      </c>
      <c r="D74" s="37"/>
      <c r="E74" s="37">
        <v>6.65</v>
      </c>
      <c r="F74" s="37">
        <f>D74+E74</f>
        <v>6.65</v>
      </c>
    </row>
    <row r="75" spans="1:6" hidden="1" x14ac:dyDescent="0.3">
      <c r="A75" s="15">
        <v>62</v>
      </c>
      <c r="B75" s="16" t="s">
        <v>81</v>
      </c>
      <c r="C75" s="17" t="s">
        <v>69</v>
      </c>
      <c r="D75" s="37"/>
      <c r="E75" s="37">
        <v>16.63</v>
      </c>
      <c r="F75" s="37">
        <f t="shared" si="0"/>
        <v>16.63</v>
      </c>
    </row>
    <row r="76" spans="1:6" s="14" customFormat="1" hidden="1" x14ac:dyDescent="0.3">
      <c r="A76" s="81" t="s">
        <v>82</v>
      </c>
      <c r="B76" s="81"/>
      <c r="C76" s="81"/>
      <c r="D76" s="44"/>
      <c r="E76" s="44"/>
      <c r="F76" s="44"/>
    </row>
    <row r="77" spans="1:6" ht="28.8" x14ac:dyDescent="0.3">
      <c r="A77" s="15">
        <v>63</v>
      </c>
      <c r="B77" s="16" t="s">
        <v>356</v>
      </c>
      <c r="C77" s="17" t="s">
        <v>39</v>
      </c>
      <c r="D77" s="37"/>
      <c r="E77" s="37">
        <v>2</v>
      </c>
      <c r="F77" s="37">
        <f t="shared" ref="F77:F135" si="4">D77+E77</f>
        <v>2</v>
      </c>
    </row>
    <row r="78" spans="1:6" ht="28.8" x14ac:dyDescent="0.3">
      <c r="A78" s="15">
        <v>64</v>
      </c>
      <c r="B78" s="16" t="s">
        <v>196</v>
      </c>
      <c r="C78" s="17" t="s">
        <v>39</v>
      </c>
      <c r="D78" s="37"/>
      <c r="E78" s="37">
        <v>2</v>
      </c>
      <c r="F78" s="37">
        <f t="shared" si="4"/>
        <v>2</v>
      </c>
    </row>
    <row r="79" spans="1:6" ht="28.8" x14ac:dyDescent="0.3">
      <c r="A79" s="15">
        <v>65</v>
      </c>
      <c r="B79" s="16" t="s">
        <v>357</v>
      </c>
      <c r="C79" s="17" t="s">
        <v>39</v>
      </c>
      <c r="D79" s="37"/>
      <c r="E79" s="37">
        <v>1</v>
      </c>
      <c r="F79" s="37">
        <f t="shared" si="4"/>
        <v>1</v>
      </c>
    </row>
    <row r="80" spans="1:6" ht="28.8" x14ac:dyDescent="0.3">
      <c r="A80" s="15">
        <v>66</v>
      </c>
      <c r="B80" s="16" t="s">
        <v>358</v>
      </c>
      <c r="C80" s="17" t="s">
        <v>39</v>
      </c>
      <c r="D80" s="37"/>
      <c r="E80" s="37">
        <v>2</v>
      </c>
      <c r="F80" s="37">
        <f t="shared" si="4"/>
        <v>2</v>
      </c>
    </row>
    <row r="81" spans="1:6" ht="28.8" x14ac:dyDescent="0.3">
      <c r="A81" s="15">
        <v>67</v>
      </c>
      <c r="B81" s="16" t="s">
        <v>359</v>
      </c>
      <c r="C81" s="17" t="s">
        <v>39</v>
      </c>
      <c r="D81" s="37"/>
      <c r="E81" s="37">
        <v>1</v>
      </c>
      <c r="F81" s="37">
        <f t="shared" si="4"/>
        <v>1</v>
      </c>
    </row>
    <row r="82" spans="1:6" ht="28.8" x14ac:dyDescent="0.3">
      <c r="A82" s="15">
        <v>68</v>
      </c>
      <c r="B82" s="16" t="s">
        <v>360</v>
      </c>
      <c r="C82" s="17" t="s">
        <v>39</v>
      </c>
      <c r="D82" s="37">
        <v>1</v>
      </c>
      <c r="E82" s="37">
        <v>1</v>
      </c>
      <c r="F82" s="37">
        <f t="shared" si="4"/>
        <v>2</v>
      </c>
    </row>
    <row r="83" spans="1:6" ht="28.8" x14ac:dyDescent="0.3">
      <c r="A83" s="15">
        <v>69</v>
      </c>
      <c r="B83" s="16" t="s">
        <v>361</v>
      </c>
      <c r="C83" s="17" t="s">
        <v>39</v>
      </c>
      <c r="D83" s="37">
        <v>2</v>
      </c>
      <c r="E83" s="37"/>
      <c r="F83" s="37">
        <f t="shared" si="4"/>
        <v>2</v>
      </c>
    </row>
    <row r="84" spans="1:6" ht="28.8" x14ac:dyDescent="0.3">
      <c r="A84" s="15">
        <v>70</v>
      </c>
      <c r="B84" s="16" t="s">
        <v>362</v>
      </c>
      <c r="C84" s="17" t="s">
        <v>39</v>
      </c>
      <c r="D84" s="37">
        <v>2</v>
      </c>
      <c r="E84" s="37"/>
      <c r="F84" s="37">
        <f t="shared" si="4"/>
        <v>2</v>
      </c>
    </row>
    <row r="85" spans="1:6" ht="28.8" x14ac:dyDescent="0.3">
      <c r="A85" s="15">
        <v>71</v>
      </c>
      <c r="B85" s="16" t="s">
        <v>363</v>
      </c>
      <c r="C85" s="17" t="s">
        <v>39</v>
      </c>
      <c r="D85" s="37">
        <v>1</v>
      </c>
      <c r="E85" s="37"/>
      <c r="F85" s="37">
        <f t="shared" si="4"/>
        <v>1</v>
      </c>
    </row>
    <row r="86" spans="1:6" ht="28.8" x14ac:dyDescent="0.3">
      <c r="A86" s="15">
        <v>72</v>
      </c>
      <c r="B86" s="16" t="s">
        <v>364</v>
      </c>
      <c r="C86" s="17" t="s">
        <v>39</v>
      </c>
      <c r="D86" s="37">
        <v>2</v>
      </c>
      <c r="E86" s="37"/>
      <c r="F86" s="37">
        <f t="shared" si="4"/>
        <v>2</v>
      </c>
    </row>
    <row r="87" spans="1:6" ht="28.8" x14ac:dyDescent="0.3">
      <c r="A87" s="15">
        <v>73</v>
      </c>
      <c r="B87" s="16" t="s">
        <v>365</v>
      </c>
      <c r="C87" s="17" t="s">
        <v>39</v>
      </c>
      <c r="D87" s="37"/>
      <c r="E87" s="37">
        <v>2</v>
      </c>
      <c r="F87" s="37">
        <f t="shared" si="4"/>
        <v>2</v>
      </c>
    </row>
    <row r="88" spans="1:6" ht="28.8" x14ac:dyDescent="0.3">
      <c r="A88" s="15">
        <v>74</v>
      </c>
      <c r="B88" s="16" t="s">
        <v>366</v>
      </c>
      <c r="C88" s="17" t="s">
        <v>39</v>
      </c>
      <c r="D88" s="37"/>
      <c r="E88" s="37">
        <v>1</v>
      </c>
      <c r="F88" s="37">
        <f t="shared" si="4"/>
        <v>1</v>
      </c>
    </row>
    <row r="89" spans="1:6" ht="28.8" x14ac:dyDescent="0.3">
      <c r="A89" s="15">
        <v>75</v>
      </c>
      <c r="B89" s="16" t="s">
        <v>118</v>
      </c>
      <c r="C89" s="17" t="s">
        <v>39</v>
      </c>
      <c r="D89" s="37"/>
      <c r="E89" s="37">
        <v>1</v>
      </c>
      <c r="F89" s="37">
        <f t="shared" si="4"/>
        <v>1</v>
      </c>
    </row>
    <row r="90" spans="1:6" ht="28.8" x14ac:dyDescent="0.3">
      <c r="A90" s="15">
        <v>76</v>
      </c>
      <c r="B90" s="16" t="s">
        <v>116</v>
      </c>
      <c r="C90" s="17" t="s">
        <v>39</v>
      </c>
      <c r="D90" s="37">
        <v>6</v>
      </c>
      <c r="E90" s="37"/>
      <c r="F90" s="37">
        <f t="shared" si="4"/>
        <v>6</v>
      </c>
    </row>
    <row r="91" spans="1:6" ht="28.8" x14ac:dyDescent="0.3">
      <c r="A91" s="15">
        <v>77</v>
      </c>
      <c r="B91" s="16" t="s">
        <v>115</v>
      </c>
      <c r="C91" s="17" t="s">
        <v>39</v>
      </c>
      <c r="D91" s="37">
        <v>16</v>
      </c>
      <c r="E91" s="37">
        <v>1</v>
      </c>
      <c r="F91" s="37">
        <f t="shared" si="4"/>
        <v>17</v>
      </c>
    </row>
    <row r="92" spans="1:6" ht="28.8" x14ac:dyDescent="0.3">
      <c r="A92" s="15">
        <v>78</v>
      </c>
      <c r="B92" s="16" t="s">
        <v>114</v>
      </c>
      <c r="C92" s="17" t="s">
        <v>39</v>
      </c>
      <c r="D92" s="37">
        <v>2</v>
      </c>
      <c r="E92" s="37">
        <v>2</v>
      </c>
      <c r="F92" s="37">
        <f t="shared" si="4"/>
        <v>4</v>
      </c>
    </row>
    <row r="93" spans="1:6" ht="28.8" x14ac:dyDescent="0.3">
      <c r="A93" s="15">
        <v>79</v>
      </c>
      <c r="B93" s="16" t="s">
        <v>113</v>
      </c>
      <c r="C93" s="17" t="s">
        <v>39</v>
      </c>
      <c r="D93" s="37">
        <v>12</v>
      </c>
      <c r="E93" s="37"/>
      <c r="F93" s="37">
        <f t="shared" si="4"/>
        <v>12</v>
      </c>
    </row>
    <row r="94" spans="1:6" ht="28.8" x14ac:dyDescent="0.3">
      <c r="A94" s="15">
        <v>80</v>
      </c>
      <c r="B94" s="16" t="s">
        <v>241</v>
      </c>
      <c r="C94" s="17" t="s">
        <v>39</v>
      </c>
      <c r="D94" s="37">
        <v>1</v>
      </c>
      <c r="E94" s="37">
        <v>1</v>
      </c>
      <c r="F94" s="37">
        <f t="shared" si="4"/>
        <v>2</v>
      </c>
    </row>
    <row r="95" spans="1:6" ht="28.8" x14ac:dyDescent="0.3">
      <c r="A95" s="15">
        <v>81</v>
      </c>
      <c r="B95" s="16" t="s">
        <v>111</v>
      </c>
      <c r="C95" s="17" t="s">
        <v>39</v>
      </c>
      <c r="D95" s="37"/>
      <c r="E95" s="37">
        <v>1</v>
      </c>
      <c r="F95" s="37">
        <f t="shared" si="4"/>
        <v>1</v>
      </c>
    </row>
    <row r="96" spans="1:6" ht="28.8" x14ac:dyDescent="0.3">
      <c r="A96" s="15">
        <v>82</v>
      </c>
      <c r="B96" s="16" t="s">
        <v>110</v>
      </c>
      <c r="C96" s="17" t="s">
        <v>39</v>
      </c>
      <c r="D96" s="37">
        <v>1</v>
      </c>
      <c r="E96" s="37"/>
      <c r="F96" s="37">
        <f t="shared" si="4"/>
        <v>1</v>
      </c>
    </row>
    <row r="97" spans="1:6" ht="28.8" x14ac:dyDescent="0.3">
      <c r="A97" s="15">
        <v>83</v>
      </c>
      <c r="B97" s="16" t="s">
        <v>108</v>
      </c>
      <c r="C97" s="17" t="s">
        <v>39</v>
      </c>
      <c r="D97" s="37"/>
      <c r="E97" s="37">
        <v>1</v>
      </c>
      <c r="F97" s="37">
        <f t="shared" si="4"/>
        <v>1</v>
      </c>
    </row>
    <row r="98" spans="1:6" ht="28.8" x14ac:dyDescent="0.3">
      <c r="A98" s="15">
        <v>84</v>
      </c>
      <c r="B98" s="16" t="s">
        <v>367</v>
      </c>
      <c r="C98" s="17" t="s">
        <v>39</v>
      </c>
      <c r="D98" s="37"/>
      <c r="E98" s="37">
        <v>1</v>
      </c>
      <c r="F98" s="37">
        <f>D98+E98</f>
        <v>1</v>
      </c>
    </row>
    <row r="99" spans="1:6" s="61" customFormat="1" ht="15.75" hidden="1" customHeight="1" x14ac:dyDescent="0.3">
      <c r="A99" s="15">
        <v>85</v>
      </c>
      <c r="B99" s="60" t="s">
        <v>211</v>
      </c>
      <c r="C99" s="17" t="s">
        <v>39</v>
      </c>
      <c r="D99" s="37">
        <v>38</v>
      </c>
      <c r="E99" s="37">
        <v>8</v>
      </c>
      <c r="F99" s="37">
        <f>D99+E99</f>
        <v>46</v>
      </c>
    </row>
    <row r="100" spans="1:6" s="20" customFormat="1" ht="15.75" hidden="1" customHeight="1" x14ac:dyDescent="0.3">
      <c r="A100" s="15">
        <v>86</v>
      </c>
      <c r="B100" s="60" t="s">
        <v>45</v>
      </c>
      <c r="C100" s="17" t="s">
        <v>39</v>
      </c>
      <c r="D100" s="62">
        <v>38</v>
      </c>
      <c r="E100" s="37">
        <v>5</v>
      </c>
      <c r="F100" s="37">
        <f>D100+E100</f>
        <v>43</v>
      </c>
    </row>
    <row r="101" spans="1:6" s="52" customFormat="1" ht="15.75" hidden="1" customHeight="1" x14ac:dyDescent="0.3">
      <c r="A101" s="15">
        <v>87</v>
      </c>
      <c r="B101" s="50" t="s">
        <v>87</v>
      </c>
      <c r="C101" s="17" t="s">
        <v>39</v>
      </c>
      <c r="D101" s="48"/>
      <c r="E101" s="48">
        <v>4</v>
      </c>
      <c r="F101" s="48">
        <f>D101+E101</f>
        <v>4</v>
      </c>
    </row>
    <row r="102" spans="1:6" s="20" customFormat="1" ht="15.75" hidden="1" customHeight="1" x14ac:dyDescent="0.3">
      <c r="A102" s="15">
        <v>88</v>
      </c>
      <c r="B102" s="60" t="s">
        <v>42</v>
      </c>
      <c r="C102" s="17" t="s">
        <v>39</v>
      </c>
      <c r="D102" s="62">
        <v>2</v>
      </c>
      <c r="E102" s="37">
        <v>2</v>
      </c>
      <c r="F102" s="37">
        <f>D102+E102</f>
        <v>4</v>
      </c>
    </row>
    <row r="103" spans="1:6" s="20" customFormat="1" ht="15.75" hidden="1" customHeight="1" x14ac:dyDescent="0.3">
      <c r="A103" s="15">
        <v>89</v>
      </c>
      <c r="B103" s="16" t="s">
        <v>234</v>
      </c>
      <c r="C103" s="17" t="s">
        <v>39</v>
      </c>
      <c r="D103" s="45">
        <v>1</v>
      </c>
      <c r="E103" s="37">
        <v>3</v>
      </c>
      <c r="F103" s="37">
        <f t="shared" si="4"/>
        <v>4</v>
      </c>
    </row>
    <row r="104" spans="1:6" s="20" customFormat="1" hidden="1" x14ac:dyDescent="0.3">
      <c r="A104" s="15">
        <v>90</v>
      </c>
      <c r="B104" s="54" t="s">
        <v>306</v>
      </c>
      <c r="C104" s="17" t="s">
        <v>39</v>
      </c>
      <c r="D104" s="45">
        <v>1</v>
      </c>
      <c r="E104" s="37">
        <v>3</v>
      </c>
      <c r="F104" s="37">
        <f t="shared" si="4"/>
        <v>4</v>
      </c>
    </row>
    <row r="105" spans="1:6" s="20" customFormat="1" ht="28.8" hidden="1" x14ac:dyDescent="0.3">
      <c r="A105" s="15">
        <v>91</v>
      </c>
      <c r="B105" s="54" t="s">
        <v>212</v>
      </c>
      <c r="C105" s="17" t="s">
        <v>39</v>
      </c>
      <c r="D105" s="45">
        <v>6</v>
      </c>
      <c r="E105" s="37">
        <v>12</v>
      </c>
      <c r="F105" s="37">
        <f t="shared" si="4"/>
        <v>18</v>
      </c>
    </row>
    <row r="106" spans="1:6" s="20" customFormat="1" hidden="1" x14ac:dyDescent="0.3">
      <c r="A106" s="15">
        <v>92</v>
      </c>
      <c r="B106" s="54" t="s">
        <v>213</v>
      </c>
      <c r="C106" s="17" t="s">
        <v>39</v>
      </c>
      <c r="D106" s="45">
        <v>6</v>
      </c>
      <c r="E106" s="37">
        <v>12</v>
      </c>
      <c r="F106" s="37">
        <f t="shared" si="4"/>
        <v>18</v>
      </c>
    </row>
    <row r="107" spans="1:6" s="20" customFormat="1" hidden="1" x14ac:dyDescent="0.3">
      <c r="A107" s="15">
        <v>93</v>
      </c>
      <c r="B107" s="54" t="s">
        <v>214</v>
      </c>
      <c r="C107" s="17" t="s">
        <v>39</v>
      </c>
      <c r="D107" s="45">
        <v>22</v>
      </c>
      <c r="E107" s="37">
        <v>16</v>
      </c>
      <c r="F107" s="37">
        <f t="shared" si="4"/>
        <v>38</v>
      </c>
    </row>
    <row r="108" spans="1:6" s="20" customFormat="1" hidden="1" x14ac:dyDescent="0.3">
      <c r="A108" s="15">
        <v>94</v>
      </c>
      <c r="B108" s="60" t="s">
        <v>215</v>
      </c>
      <c r="C108" s="17" t="s">
        <v>39</v>
      </c>
      <c r="D108" s="45">
        <v>2</v>
      </c>
      <c r="E108" s="37">
        <v>4</v>
      </c>
      <c r="F108" s="37">
        <f t="shared" si="4"/>
        <v>6</v>
      </c>
    </row>
    <row r="109" spans="1:6" s="20" customFormat="1" hidden="1" x14ac:dyDescent="0.3">
      <c r="A109" s="15">
        <v>95</v>
      </c>
      <c r="B109" s="60" t="s">
        <v>368</v>
      </c>
      <c r="C109" s="17" t="s">
        <v>39</v>
      </c>
      <c r="D109" s="45">
        <v>2</v>
      </c>
      <c r="E109" s="37"/>
      <c r="F109" s="37">
        <f t="shared" si="4"/>
        <v>2</v>
      </c>
    </row>
    <row r="110" spans="1:6" s="20" customFormat="1" hidden="1" x14ac:dyDescent="0.3">
      <c r="A110" s="15">
        <v>96</v>
      </c>
      <c r="B110" s="60" t="s">
        <v>369</v>
      </c>
      <c r="C110" s="17" t="s">
        <v>39</v>
      </c>
      <c r="D110" s="45">
        <v>2</v>
      </c>
      <c r="E110" s="37"/>
      <c r="F110" s="37">
        <f t="shared" si="4"/>
        <v>2</v>
      </c>
    </row>
    <row r="111" spans="1:6" s="20" customFormat="1" ht="15.75" hidden="1" customHeight="1" x14ac:dyDescent="0.3">
      <c r="A111" s="15">
        <v>97</v>
      </c>
      <c r="B111" s="54" t="s">
        <v>56</v>
      </c>
      <c r="C111" s="17" t="s">
        <v>0</v>
      </c>
      <c r="D111" s="45">
        <v>320.58</v>
      </c>
      <c r="E111" s="37">
        <v>59.48</v>
      </c>
      <c r="F111" s="37">
        <f t="shared" si="4"/>
        <v>380.06</v>
      </c>
    </row>
    <row r="112" spans="1:6" s="20" customFormat="1" ht="15.75" hidden="1" customHeight="1" x14ac:dyDescent="0.3">
      <c r="A112" s="15">
        <v>98</v>
      </c>
      <c r="B112" s="54" t="s">
        <v>57</v>
      </c>
      <c r="C112" s="17" t="s">
        <v>0</v>
      </c>
      <c r="D112" s="45">
        <v>25.74</v>
      </c>
      <c r="E112" s="37"/>
      <c r="F112" s="37">
        <f t="shared" si="4"/>
        <v>25.74</v>
      </c>
    </row>
    <row r="113" spans="1:6" s="20" customFormat="1" ht="15.75" hidden="1" customHeight="1" x14ac:dyDescent="0.3">
      <c r="A113" s="15">
        <v>99</v>
      </c>
      <c r="B113" s="54" t="s">
        <v>58</v>
      </c>
      <c r="C113" s="17" t="s">
        <v>0</v>
      </c>
      <c r="D113" s="45">
        <v>19.11</v>
      </c>
      <c r="E113" s="37"/>
      <c r="F113" s="37">
        <f t="shared" si="4"/>
        <v>19.11</v>
      </c>
    </row>
    <row r="114" spans="1:6" s="20" customFormat="1" ht="15.75" hidden="1" customHeight="1" x14ac:dyDescent="0.3">
      <c r="A114" s="15">
        <v>100</v>
      </c>
      <c r="B114" s="54" t="s">
        <v>370</v>
      </c>
      <c r="C114" s="17" t="s">
        <v>0</v>
      </c>
      <c r="D114" s="45"/>
      <c r="E114" s="37">
        <v>55.96</v>
      </c>
      <c r="F114" s="37">
        <f t="shared" si="4"/>
        <v>55.96</v>
      </c>
    </row>
    <row r="115" spans="1:6" s="20" customFormat="1" ht="15.75" hidden="1" customHeight="1" x14ac:dyDescent="0.3">
      <c r="A115" s="15">
        <v>101</v>
      </c>
      <c r="B115" s="54" t="s">
        <v>371</v>
      </c>
      <c r="C115" s="17" t="s">
        <v>0</v>
      </c>
      <c r="D115" s="45"/>
      <c r="E115" s="37">
        <v>65.53</v>
      </c>
      <c r="F115" s="37">
        <f t="shared" si="4"/>
        <v>65.53</v>
      </c>
    </row>
    <row r="116" spans="1:6" s="20" customFormat="1" ht="15.75" hidden="1" customHeight="1" x14ac:dyDescent="0.3">
      <c r="A116" s="15">
        <v>102</v>
      </c>
      <c r="B116" s="54" t="s">
        <v>372</v>
      </c>
      <c r="C116" s="17" t="s">
        <v>0</v>
      </c>
      <c r="D116" s="45"/>
      <c r="E116" s="37">
        <v>37.869999999999997</v>
      </c>
      <c r="F116" s="37">
        <f t="shared" si="4"/>
        <v>37.869999999999997</v>
      </c>
    </row>
    <row r="117" spans="1:6" s="20" customFormat="1" ht="15.75" hidden="1" customHeight="1" x14ac:dyDescent="0.3">
      <c r="A117" s="15">
        <v>103</v>
      </c>
      <c r="B117" s="54" t="s">
        <v>59</v>
      </c>
      <c r="C117" s="17" t="s">
        <v>0</v>
      </c>
      <c r="D117" s="45">
        <v>139</v>
      </c>
      <c r="E117" s="37">
        <v>126.82</v>
      </c>
      <c r="F117" s="37">
        <f t="shared" si="4"/>
        <v>265.82</v>
      </c>
    </row>
    <row r="118" spans="1:6" s="20" customFormat="1" ht="15.75" hidden="1" customHeight="1" x14ac:dyDescent="0.3">
      <c r="A118" s="15">
        <v>104</v>
      </c>
      <c r="B118" s="54" t="s">
        <v>60</v>
      </c>
      <c r="C118" s="19" t="s">
        <v>0</v>
      </c>
      <c r="D118" s="45">
        <v>90.47</v>
      </c>
      <c r="E118" s="37">
        <v>53.77</v>
      </c>
      <c r="F118" s="37">
        <f t="shared" si="4"/>
        <v>144.24</v>
      </c>
    </row>
    <row r="119" spans="1:6" s="20" customFormat="1" ht="15.75" hidden="1" customHeight="1" x14ac:dyDescent="0.3">
      <c r="A119" s="15">
        <v>105</v>
      </c>
      <c r="B119" s="54" t="s">
        <v>61</v>
      </c>
      <c r="C119" s="19" t="s">
        <v>0</v>
      </c>
      <c r="D119" s="45">
        <v>78.760000000000005</v>
      </c>
      <c r="E119" s="37">
        <v>46.91</v>
      </c>
      <c r="F119" s="37">
        <f t="shared" si="4"/>
        <v>125.67</v>
      </c>
    </row>
    <row r="120" spans="1:6" s="20" customFormat="1" ht="15.75" hidden="1" customHeight="1" x14ac:dyDescent="0.3">
      <c r="A120" s="15">
        <v>106</v>
      </c>
      <c r="B120" s="54" t="s">
        <v>62</v>
      </c>
      <c r="C120" s="19" t="s">
        <v>0</v>
      </c>
      <c r="D120" s="45">
        <v>39.9</v>
      </c>
      <c r="E120" s="37">
        <v>16.8</v>
      </c>
      <c r="F120" s="37">
        <f t="shared" si="4"/>
        <v>56.7</v>
      </c>
    </row>
    <row r="121" spans="1:6" s="20" customFormat="1" ht="15.75" hidden="1" customHeight="1" x14ac:dyDescent="0.3">
      <c r="A121" s="15">
        <v>107</v>
      </c>
      <c r="B121" s="54" t="s">
        <v>63</v>
      </c>
      <c r="C121" s="19" t="s">
        <v>0</v>
      </c>
      <c r="D121" s="45">
        <v>11.94</v>
      </c>
      <c r="E121" s="37"/>
      <c r="F121" s="37">
        <f t="shared" si="4"/>
        <v>11.94</v>
      </c>
    </row>
    <row r="122" spans="1:6" s="20" customFormat="1" ht="15.75" hidden="1" customHeight="1" x14ac:dyDescent="0.3">
      <c r="A122" s="15">
        <v>108</v>
      </c>
      <c r="B122" s="54" t="s">
        <v>67</v>
      </c>
      <c r="C122" s="19" t="s">
        <v>0</v>
      </c>
      <c r="D122" s="45">
        <v>115.37</v>
      </c>
      <c r="E122" s="37">
        <v>126.72</v>
      </c>
      <c r="F122" s="37">
        <f t="shared" si="4"/>
        <v>242.09</v>
      </c>
    </row>
    <row r="123" spans="1:6" s="20" customFormat="1" ht="15.75" hidden="1" customHeight="1" x14ac:dyDescent="0.3">
      <c r="A123" s="15">
        <v>109</v>
      </c>
      <c r="B123" s="54" t="s">
        <v>218</v>
      </c>
      <c r="C123" s="19" t="s">
        <v>0</v>
      </c>
      <c r="D123" s="45"/>
      <c r="E123" s="37">
        <v>50.33</v>
      </c>
      <c r="F123" s="37">
        <f t="shared" si="4"/>
        <v>50.33</v>
      </c>
    </row>
    <row r="124" spans="1:6" s="20" customFormat="1" ht="15.75" hidden="1" customHeight="1" x14ac:dyDescent="0.3">
      <c r="A124" s="15">
        <v>110</v>
      </c>
      <c r="B124" s="54" t="s">
        <v>68</v>
      </c>
      <c r="C124" s="19" t="s">
        <v>0</v>
      </c>
      <c r="D124" s="45">
        <v>81.5</v>
      </c>
      <c r="E124" s="37">
        <v>95.26</v>
      </c>
      <c r="F124" s="37">
        <f t="shared" si="4"/>
        <v>176.76</v>
      </c>
    </row>
    <row r="125" spans="1:6" s="20" customFormat="1" ht="15.75" hidden="1" customHeight="1" x14ac:dyDescent="0.3">
      <c r="A125" s="15">
        <v>111</v>
      </c>
      <c r="B125" s="54" t="s">
        <v>70</v>
      </c>
      <c r="C125" s="19" t="s">
        <v>0</v>
      </c>
      <c r="D125" s="45">
        <v>78.760000000000005</v>
      </c>
      <c r="E125" s="37">
        <v>78.47</v>
      </c>
      <c r="F125" s="37">
        <f t="shared" si="4"/>
        <v>157.23000000000002</v>
      </c>
    </row>
    <row r="126" spans="1:6" s="20" customFormat="1" ht="15.75" hidden="1" customHeight="1" x14ac:dyDescent="0.3">
      <c r="A126" s="15">
        <v>112</v>
      </c>
      <c r="B126" s="54" t="s">
        <v>71</v>
      </c>
      <c r="C126" s="19" t="s">
        <v>0</v>
      </c>
      <c r="D126" s="45">
        <v>39.9</v>
      </c>
      <c r="E126" s="37">
        <v>16.8</v>
      </c>
      <c r="F126" s="37">
        <f t="shared" si="4"/>
        <v>56.7</v>
      </c>
    </row>
    <row r="127" spans="1:6" s="20" customFormat="1" ht="15.75" hidden="1" customHeight="1" x14ac:dyDescent="0.3">
      <c r="A127" s="15">
        <v>113</v>
      </c>
      <c r="B127" s="54" t="s">
        <v>72</v>
      </c>
      <c r="C127" s="19" t="s">
        <v>0</v>
      </c>
      <c r="D127" s="45">
        <v>11.94</v>
      </c>
      <c r="E127" s="37"/>
      <c r="F127" s="37">
        <f t="shared" si="4"/>
        <v>11.94</v>
      </c>
    </row>
    <row r="128" spans="1:6" s="20" customFormat="1" ht="28.8" hidden="1" x14ac:dyDescent="0.3">
      <c r="A128" s="15">
        <v>114</v>
      </c>
      <c r="B128" s="54" t="s">
        <v>373</v>
      </c>
      <c r="C128" s="19" t="s">
        <v>0</v>
      </c>
      <c r="D128" s="45">
        <v>314.32</v>
      </c>
      <c r="E128" s="37"/>
      <c r="F128" s="37">
        <f t="shared" si="4"/>
        <v>314.32</v>
      </c>
    </row>
    <row r="129" spans="1:6" s="20" customFormat="1" ht="28.8" hidden="1" x14ac:dyDescent="0.3">
      <c r="A129" s="15">
        <v>115</v>
      </c>
      <c r="B129" s="54" t="s">
        <v>287</v>
      </c>
      <c r="C129" s="19" t="s">
        <v>0</v>
      </c>
      <c r="D129" s="55">
        <v>25.74</v>
      </c>
      <c r="E129" s="37"/>
      <c r="F129" s="37">
        <f t="shared" si="4"/>
        <v>25.74</v>
      </c>
    </row>
    <row r="130" spans="1:6" ht="28.8" hidden="1" x14ac:dyDescent="0.3">
      <c r="A130" s="15">
        <v>116</v>
      </c>
      <c r="B130" s="54" t="s">
        <v>307</v>
      </c>
      <c r="C130" s="17" t="s">
        <v>0</v>
      </c>
      <c r="D130" s="37">
        <v>19.11</v>
      </c>
      <c r="E130" s="37"/>
      <c r="F130" s="37">
        <f t="shared" si="4"/>
        <v>19.11</v>
      </c>
    </row>
    <row r="131" spans="1:6" hidden="1" x14ac:dyDescent="0.3">
      <c r="A131" s="15">
        <v>117</v>
      </c>
      <c r="B131" s="16" t="s">
        <v>158</v>
      </c>
      <c r="C131" s="17" t="s">
        <v>159</v>
      </c>
      <c r="D131" s="37">
        <v>1</v>
      </c>
      <c r="E131" s="37"/>
      <c r="F131" s="37">
        <f t="shared" si="4"/>
        <v>1</v>
      </c>
    </row>
    <row r="132" spans="1:6" hidden="1" x14ac:dyDescent="0.3">
      <c r="A132" s="15">
        <v>118</v>
      </c>
      <c r="B132" s="16" t="s">
        <v>158</v>
      </c>
      <c r="C132" s="17" t="s">
        <v>159</v>
      </c>
      <c r="D132" s="37"/>
      <c r="E132" s="37">
        <v>1</v>
      </c>
      <c r="F132" s="37">
        <f t="shared" si="4"/>
        <v>1</v>
      </c>
    </row>
    <row r="133" spans="1:6" hidden="1" x14ac:dyDescent="0.3">
      <c r="A133" s="15">
        <v>119</v>
      </c>
      <c r="B133" s="16" t="s">
        <v>80</v>
      </c>
      <c r="C133" s="17" t="s">
        <v>69</v>
      </c>
      <c r="D133" s="37">
        <v>44.83</v>
      </c>
      <c r="E133" s="37">
        <v>31.09</v>
      </c>
      <c r="F133" s="37">
        <f>D133+E133</f>
        <v>75.92</v>
      </c>
    </row>
    <row r="134" spans="1:6" hidden="1" x14ac:dyDescent="0.3">
      <c r="A134" s="15">
        <v>120</v>
      </c>
      <c r="B134" s="16" t="s">
        <v>79</v>
      </c>
      <c r="C134" s="17" t="s">
        <v>69</v>
      </c>
      <c r="D134" s="37">
        <v>3.88</v>
      </c>
      <c r="E134" s="37">
        <v>2.42</v>
      </c>
      <c r="F134" s="37">
        <f t="shared" si="4"/>
        <v>6.3</v>
      </c>
    </row>
    <row r="135" spans="1:6" hidden="1" x14ac:dyDescent="0.3">
      <c r="A135" s="15">
        <v>121</v>
      </c>
      <c r="B135" s="16" t="s">
        <v>81</v>
      </c>
      <c r="C135" s="17" t="s">
        <v>69</v>
      </c>
      <c r="D135" s="37">
        <v>9.69</v>
      </c>
      <c r="E135" s="37">
        <v>6.06</v>
      </c>
      <c r="F135" s="37">
        <f t="shared" si="4"/>
        <v>15.75</v>
      </c>
    </row>
    <row r="136" spans="1:6" s="14" customFormat="1" hidden="1" x14ac:dyDescent="0.3">
      <c r="A136" s="81" t="s">
        <v>88</v>
      </c>
      <c r="B136" s="81"/>
      <c r="C136" s="81"/>
      <c r="D136" s="44"/>
      <c r="E136" s="44"/>
      <c r="F136" s="44"/>
    </row>
    <row r="137" spans="1:6" ht="28.8" x14ac:dyDescent="0.3">
      <c r="A137" s="15">
        <v>122</v>
      </c>
      <c r="B137" s="16" t="s">
        <v>119</v>
      </c>
      <c r="C137" s="17" t="s">
        <v>39</v>
      </c>
      <c r="D137" s="37"/>
      <c r="E137" s="37">
        <v>1</v>
      </c>
      <c r="F137" s="37">
        <f t="shared" ref="F137:F154" si="5">D137+E137</f>
        <v>1</v>
      </c>
    </row>
    <row r="138" spans="1:6" ht="28.8" x14ac:dyDescent="0.3">
      <c r="A138" s="15">
        <v>123</v>
      </c>
      <c r="B138" s="16" t="s">
        <v>118</v>
      </c>
      <c r="C138" s="17" t="s">
        <v>39</v>
      </c>
      <c r="D138" s="37">
        <v>1</v>
      </c>
      <c r="E138" s="37">
        <v>1</v>
      </c>
      <c r="F138" s="37">
        <f t="shared" si="5"/>
        <v>2</v>
      </c>
    </row>
    <row r="139" spans="1:6" ht="28.8" x14ac:dyDescent="0.3">
      <c r="A139" s="15">
        <v>124</v>
      </c>
      <c r="B139" s="16" t="s">
        <v>117</v>
      </c>
      <c r="C139" s="17" t="s">
        <v>39</v>
      </c>
      <c r="D139" s="37">
        <v>13</v>
      </c>
      <c r="E139" s="37">
        <v>1</v>
      </c>
      <c r="F139" s="37">
        <f t="shared" si="5"/>
        <v>14</v>
      </c>
    </row>
    <row r="140" spans="1:6" ht="28.8" x14ac:dyDescent="0.3">
      <c r="A140" s="15">
        <v>125</v>
      </c>
      <c r="B140" s="16" t="s">
        <v>116</v>
      </c>
      <c r="C140" s="17" t="s">
        <v>39</v>
      </c>
      <c r="D140" s="37">
        <v>3</v>
      </c>
      <c r="E140" s="37">
        <v>1</v>
      </c>
      <c r="F140" s="37">
        <f t="shared" si="5"/>
        <v>4</v>
      </c>
    </row>
    <row r="141" spans="1:6" ht="28.8" x14ac:dyDescent="0.3">
      <c r="A141" s="15">
        <v>126</v>
      </c>
      <c r="B141" s="16" t="s">
        <v>115</v>
      </c>
      <c r="C141" s="17" t="s">
        <v>39</v>
      </c>
      <c r="D141" s="37"/>
      <c r="E141" s="37">
        <v>1</v>
      </c>
      <c r="F141" s="37">
        <f t="shared" si="5"/>
        <v>1</v>
      </c>
    </row>
    <row r="142" spans="1:6" ht="28.8" x14ac:dyDescent="0.3">
      <c r="A142" s="15">
        <v>127</v>
      </c>
      <c r="B142" s="16" t="s">
        <v>114</v>
      </c>
      <c r="C142" s="17" t="s">
        <v>39</v>
      </c>
      <c r="D142" s="37">
        <v>2</v>
      </c>
      <c r="E142" s="37"/>
      <c r="F142" s="37">
        <f t="shared" si="5"/>
        <v>2</v>
      </c>
    </row>
    <row r="143" spans="1:6" ht="28.8" x14ac:dyDescent="0.3">
      <c r="A143" s="15">
        <v>128</v>
      </c>
      <c r="B143" s="16" t="s">
        <v>113</v>
      </c>
      <c r="C143" s="17" t="s">
        <v>39</v>
      </c>
      <c r="D143" s="37">
        <v>2</v>
      </c>
      <c r="E143" s="37">
        <v>3</v>
      </c>
      <c r="F143" s="37">
        <f t="shared" si="5"/>
        <v>5</v>
      </c>
    </row>
    <row r="144" spans="1:6" ht="28.8" x14ac:dyDescent="0.3">
      <c r="A144" s="15">
        <v>129</v>
      </c>
      <c r="B144" s="16" t="s">
        <v>241</v>
      </c>
      <c r="C144" s="17" t="s">
        <v>39</v>
      </c>
      <c r="D144" s="37">
        <v>3</v>
      </c>
      <c r="E144" s="37">
        <v>1</v>
      </c>
      <c r="F144" s="37">
        <f t="shared" si="5"/>
        <v>4</v>
      </c>
    </row>
    <row r="145" spans="1:6" ht="28.8" x14ac:dyDescent="0.3">
      <c r="A145" s="15">
        <v>130</v>
      </c>
      <c r="B145" s="16" t="s">
        <v>111</v>
      </c>
      <c r="C145" s="17" t="s">
        <v>39</v>
      </c>
      <c r="D145" s="37"/>
      <c r="E145" s="37">
        <v>1</v>
      </c>
      <c r="F145" s="37">
        <f t="shared" si="5"/>
        <v>1</v>
      </c>
    </row>
    <row r="146" spans="1:6" ht="28.8" x14ac:dyDescent="0.3">
      <c r="A146" s="15">
        <v>131</v>
      </c>
      <c r="B146" s="16" t="s">
        <v>110</v>
      </c>
      <c r="C146" s="17" t="s">
        <v>39</v>
      </c>
      <c r="D146" s="37">
        <v>12</v>
      </c>
      <c r="E146" s="37"/>
      <c r="F146" s="37">
        <f t="shared" si="5"/>
        <v>12</v>
      </c>
    </row>
    <row r="147" spans="1:6" ht="28.8" x14ac:dyDescent="0.3">
      <c r="A147" s="15">
        <v>132</v>
      </c>
      <c r="B147" s="16" t="s">
        <v>109</v>
      </c>
      <c r="C147" s="17" t="s">
        <v>39</v>
      </c>
      <c r="D147" s="37"/>
      <c r="E147" s="37">
        <v>1</v>
      </c>
      <c r="F147" s="37">
        <f t="shared" si="5"/>
        <v>1</v>
      </c>
    </row>
    <row r="148" spans="1:6" ht="28.8" x14ac:dyDescent="0.3">
      <c r="A148" s="15">
        <v>133</v>
      </c>
      <c r="B148" s="16" t="s">
        <v>108</v>
      </c>
      <c r="C148" s="17" t="s">
        <v>39</v>
      </c>
      <c r="D148" s="37"/>
      <c r="E148" s="37">
        <v>2</v>
      </c>
      <c r="F148" s="37">
        <f t="shared" si="5"/>
        <v>2</v>
      </c>
    </row>
    <row r="149" spans="1:6" ht="28.8" x14ac:dyDescent="0.3">
      <c r="A149" s="15">
        <v>134</v>
      </c>
      <c r="B149" s="16" t="s">
        <v>126</v>
      </c>
      <c r="C149" s="17" t="s">
        <v>39</v>
      </c>
      <c r="D149" s="37"/>
      <c r="E149" s="37">
        <v>3</v>
      </c>
      <c r="F149" s="37">
        <f t="shared" si="5"/>
        <v>3</v>
      </c>
    </row>
    <row r="150" spans="1:6" ht="28.8" x14ac:dyDescent="0.3">
      <c r="A150" s="15">
        <v>135</v>
      </c>
      <c r="B150" s="16" t="s">
        <v>125</v>
      </c>
      <c r="C150" s="17" t="s">
        <v>39</v>
      </c>
      <c r="D150" s="37"/>
      <c r="E150" s="37">
        <v>1</v>
      </c>
      <c r="F150" s="37">
        <f t="shared" si="5"/>
        <v>1</v>
      </c>
    </row>
    <row r="151" spans="1:6" ht="28.8" x14ac:dyDescent="0.3">
      <c r="A151" s="15">
        <v>136</v>
      </c>
      <c r="B151" s="16" t="s">
        <v>374</v>
      </c>
      <c r="C151" s="17" t="s">
        <v>39</v>
      </c>
      <c r="D151" s="37"/>
      <c r="E151" s="37">
        <v>1</v>
      </c>
      <c r="F151" s="37">
        <f t="shared" si="5"/>
        <v>1</v>
      </c>
    </row>
    <row r="152" spans="1:6" ht="28.8" x14ac:dyDescent="0.3">
      <c r="A152" s="15">
        <v>137</v>
      </c>
      <c r="B152" s="16" t="s">
        <v>248</v>
      </c>
      <c r="C152" s="17" t="s">
        <v>39</v>
      </c>
      <c r="D152" s="37">
        <v>1</v>
      </c>
      <c r="E152" s="37"/>
      <c r="F152" s="37">
        <f t="shared" si="5"/>
        <v>1</v>
      </c>
    </row>
    <row r="153" spans="1:6" ht="28.8" x14ac:dyDescent="0.3">
      <c r="A153" s="15">
        <v>138</v>
      </c>
      <c r="B153" s="16" t="s">
        <v>375</v>
      </c>
      <c r="C153" s="17" t="s">
        <v>39</v>
      </c>
      <c r="D153" s="37">
        <v>1</v>
      </c>
      <c r="E153" s="37"/>
      <c r="F153" s="37">
        <f t="shared" si="5"/>
        <v>1</v>
      </c>
    </row>
    <row r="154" spans="1:6" ht="28.8" x14ac:dyDescent="0.3">
      <c r="A154" s="15">
        <v>139</v>
      </c>
      <c r="B154" s="16" t="s">
        <v>120</v>
      </c>
      <c r="C154" s="17" t="s">
        <v>39</v>
      </c>
      <c r="D154" s="37">
        <v>1</v>
      </c>
      <c r="E154" s="37"/>
      <c r="F154" s="37">
        <f t="shared" si="5"/>
        <v>1</v>
      </c>
    </row>
    <row r="155" spans="1:6" hidden="1" x14ac:dyDescent="0.3">
      <c r="A155" s="15">
        <v>140</v>
      </c>
      <c r="B155" s="16" t="s">
        <v>211</v>
      </c>
      <c r="C155" s="17" t="s">
        <v>39</v>
      </c>
      <c r="D155" s="37">
        <v>39</v>
      </c>
      <c r="E155" s="37">
        <v>18</v>
      </c>
      <c r="F155" s="37">
        <f>D155+E155</f>
        <v>57</v>
      </c>
    </row>
    <row r="156" spans="1:6" hidden="1" x14ac:dyDescent="0.3">
      <c r="A156" s="15">
        <v>141</v>
      </c>
      <c r="B156" s="16" t="s">
        <v>45</v>
      </c>
      <c r="C156" s="17" t="s">
        <v>39</v>
      </c>
      <c r="D156" s="37">
        <v>39</v>
      </c>
      <c r="E156" s="37">
        <v>8</v>
      </c>
      <c r="F156" s="37">
        <f>D156+E156</f>
        <v>47</v>
      </c>
    </row>
    <row r="157" spans="1:6" hidden="1" x14ac:dyDescent="0.3">
      <c r="A157" s="15">
        <v>142</v>
      </c>
      <c r="B157" s="58" t="s">
        <v>178</v>
      </c>
      <c r="C157" s="17" t="s">
        <v>39</v>
      </c>
      <c r="D157" s="37"/>
      <c r="E157" s="37">
        <v>4</v>
      </c>
      <c r="F157" s="37">
        <f t="shared" ref="F157" si="6">D157+E157</f>
        <v>4</v>
      </c>
    </row>
    <row r="158" spans="1:6" s="59" customFormat="1" hidden="1" x14ac:dyDescent="0.3">
      <c r="A158" s="15">
        <v>143</v>
      </c>
      <c r="B158" s="58" t="s">
        <v>376</v>
      </c>
      <c r="C158" s="17" t="s">
        <v>39</v>
      </c>
      <c r="D158" s="37">
        <v>14</v>
      </c>
      <c r="E158" s="37"/>
      <c r="F158" s="37">
        <f>D158+E158</f>
        <v>14</v>
      </c>
    </row>
    <row r="159" spans="1:6" s="34" customFormat="1" hidden="1" x14ac:dyDescent="0.3">
      <c r="A159" s="15">
        <v>144</v>
      </c>
      <c r="B159" s="39" t="s">
        <v>51</v>
      </c>
      <c r="C159" s="38" t="s">
        <v>39</v>
      </c>
      <c r="D159" s="48"/>
      <c r="E159" s="48">
        <v>8</v>
      </c>
      <c r="F159" s="37">
        <f>D159+E159</f>
        <v>8</v>
      </c>
    </row>
    <row r="160" spans="1:6" hidden="1" x14ac:dyDescent="0.3">
      <c r="A160" s="15">
        <v>145</v>
      </c>
      <c r="B160" s="16" t="s">
        <v>42</v>
      </c>
      <c r="C160" s="17" t="s">
        <v>39</v>
      </c>
      <c r="D160" s="37">
        <v>6</v>
      </c>
      <c r="E160" s="37">
        <v>8</v>
      </c>
      <c r="F160" s="37">
        <f t="shared" ref="F160:F193" si="7">D160+E160</f>
        <v>14</v>
      </c>
    </row>
    <row r="161" spans="1:6" hidden="1" x14ac:dyDescent="0.3">
      <c r="A161" s="15">
        <v>146</v>
      </c>
      <c r="B161" s="16" t="s">
        <v>234</v>
      </c>
      <c r="C161" s="17" t="s">
        <v>39</v>
      </c>
      <c r="D161" s="37">
        <v>14</v>
      </c>
      <c r="E161" s="37">
        <v>4</v>
      </c>
      <c r="F161" s="37">
        <f t="shared" si="7"/>
        <v>18</v>
      </c>
    </row>
    <row r="162" spans="1:6" hidden="1" x14ac:dyDescent="0.3">
      <c r="A162" s="15">
        <v>147</v>
      </c>
      <c r="B162" s="16" t="s">
        <v>306</v>
      </c>
      <c r="C162" s="17" t="s">
        <v>39</v>
      </c>
      <c r="D162" s="37">
        <v>14</v>
      </c>
      <c r="E162" s="37">
        <v>4</v>
      </c>
      <c r="F162" s="37">
        <f t="shared" si="7"/>
        <v>18</v>
      </c>
    </row>
    <row r="163" spans="1:6" hidden="1" x14ac:dyDescent="0.3">
      <c r="A163" s="15">
        <v>148</v>
      </c>
      <c r="B163" s="16" t="s">
        <v>236</v>
      </c>
      <c r="C163" s="17" t="s">
        <v>39</v>
      </c>
      <c r="D163" s="37"/>
      <c r="E163" s="37"/>
      <c r="F163" s="37">
        <f t="shared" si="7"/>
        <v>0</v>
      </c>
    </row>
    <row r="164" spans="1:6" hidden="1" x14ac:dyDescent="0.3">
      <c r="A164" s="15">
        <v>149</v>
      </c>
      <c r="B164" s="16" t="s">
        <v>214</v>
      </c>
      <c r="C164" s="17" t="s">
        <v>39</v>
      </c>
      <c r="D164" s="37">
        <v>68</v>
      </c>
      <c r="E164" s="37">
        <v>28</v>
      </c>
      <c r="F164" s="37">
        <f t="shared" si="7"/>
        <v>96</v>
      </c>
    </row>
    <row r="165" spans="1:6" hidden="1" x14ac:dyDescent="0.3">
      <c r="A165" s="15">
        <v>150</v>
      </c>
      <c r="B165" s="16" t="s">
        <v>215</v>
      </c>
      <c r="C165" s="17" t="s">
        <v>39</v>
      </c>
      <c r="D165" s="37">
        <v>12</v>
      </c>
      <c r="E165" s="37">
        <v>12</v>
      </c>
      <c r="F165" s="37">
        <f t="shared" si="7"/>
        <v>24</v>
      </c>
    </row>
    <row r="166" spans="1:6" hidden="1" x14ac:dyDescent="0.3">
      <c r="A166" s="15">
        <v>151</v>
      </c>
      <c r="B166" s="16" t="s">
        <v>336</v>
      </c>
      <c r="C166" s="17" t="s">
        <v>39</v>
      </c>
      <c r="D166" s="37">
        <v>2</v>
      </c>
      <c r="E166" s="37"/>
      <c r="F166" s="37">
        <f t="shared" si="7"/>
        <v>2</v>
      </c>
    </row>
    <row r="167" spans="1:6" hidden="1" x14ac:dyDescent="0.3">
      <c r="A167" s="15">
        <v>152</v>
      </c>
      <c r="B167" s="16" t="s">
        <v>249</v>
      </c>
      <c r="C167" s="17" t="s">
        <v>39</v>
      </c>
      <c r="D167" s="37">
        <v>14</v>
      </c>
      <c r="E167" s="37">
        <v>2</v>
      </c>
      <c r="F167" s="37">
        <f t="shared" si="7"/>
        <v>16</v>
      </c>
    </row>
    <row r="168" spans="1:6" hidden="1" x14ac:dyDescent="0.3">
      <c r="A168" s="15">
        <v>153</v>
      </c>
      <c r="B168" s="16" t="s">
        <v>250</v>
      </c>
      <c r="C168" s="17" t="s">
        <v>39</v>
      </c>
      <c r="D168" s="37"/>
      <c r="E168" s="37">
        <v>2</v>
      </c>
      <c r="F168" s="37">
        <f t="shared" si="7"/>
        <v>2</v>
      </c>
    </row>
    <row r="169" spans="1:6" hidden="1" x14ac:dyDescent="0.3">
      <c r="A169" s="15">
        <v>154</v>
      </c>
      <c r="B169" s="16" t="s">
        <v>251</v>
      </c>
      <c r="C169" s="17" t="s">
        <v>39</v>
      </c>
      <c r="D169" s="37">
        <v>14</v>
      </c>
      <c r="E169" s="37">
        <v>2</v>
      </c>
      <c r="F169" s="37">
        <f t="shared" si="7"/>
        <v>16</v>
      </c>
    </row>
    <row r="170" spans="1:6" hidden="1" x14ac:dyDescent="0.3">
      <c r="A170" s="15">
        <v>155</v>
      </c>
      <c r="B170" s="16" t="s">
        <v>252</v>
      </c>
      <c r="C170" s="17" t="s">
        <v>39</v>
      </c>
      <c r="D170" s="37"/>
      <c r="E170" s="37">
        <v>1</v>
      </c>
      <c r="F170" s="37">
        <f t="shared" si="7"/>
        <v>1</v>
      </c>
    </row>
    <row r="171" spans="1:6" hidden="1" x14ac:dyDescent="0.3">
      <c r="A171" s="15">
        <v>156</v>
      </c>
      <c r="B171" s="54" t="s">
        <v>56</v>
      </c>
      <c r="C171" s="17" t="s">
        <v>0</v>
      </c>
      <c r="D171" s="37">
        <v>520.22</v>
      </c>
      <c r="E171" s="37"/>
      <c r="F171" s="37">
        <f t="shared" si="7"/>
        <v>520.22</v>
      </c>
    </row>
    <row r="172" spans="1:6" hidden="1" x14ac:dyDescent="0.3">
      <c r="A172" s="15">
        <v>157</v>
      </c>
      <c r="B172" s="54" t="s">
        <v>57</v>
      </c>
      <c r="C172" s="17" t="s">
        <v>0</v>
      </c>
      <c r="D172" s="37">
        <v>60.47</v>
      </c>
      <c r="E172" s="37">
        <v>0.06</v>
      </c>
      <c r="F172" s="37">
        <f t="shared" si="7"/>
        <v>60.53</v>
      </c>
    </row>
    <row r="173" spans="1:6" hidden="1" x14ac:dyDescent="0.3">
      <c r="A173" s="15">
        <v>158</v>
      </c>
      <c r="B173" s="54" t="s">
        <v>58</v>
      </c>
      <c r="C173" s="17" t="s">
        <v>0</v>
      </c>
      <c r="D173" s="37">
        <v>17.86</v>
      </c>
      <c r="E173" s="37"/>
      <c r="F173" s="37">
        <f t="shared" si="7"/>
        <v>17.86</v>
      </c>
    </row>
    <row r="174" spans="1:6" hidden="1" x14ac:dyDescent="0.3">
      <c r="A174" s="15">
        <v>159</v>
      </c>
      <c r="B174" s="54" t="s">
        <v>377</v>
      </c>
      <c r="C174" s="17" t="s">
        <v>0</v>
      </c>
      <c r="D174" s="37"/>
      <c r="E174" s="37">
        <v>175.88</v>
      </c>
      <c r="F174" s="37">
        <f t="shared" si="7"/>
        <v>175.88</v>
      </c>
    </row>
    <row r="175" spans="1:6" hidden="1" x14ac:dyDescent="0.3">
      <c r="A175" s="15">
        <v>160</v>
      </c>
      <c r="B175" s="54" t="s">
        <v>371</v>
      </c>
      <c r="C175" s="17" t="s">
        <v>0</v>
      </c>
      <c r="D175" s="37"/>
      <c r="E175" s="37">
        <v>110.04</v>
      </c>
      <c r="F175" s="37">
        <f t="shared" si="7"/>
        <v>110.04</v>
      </c>
    </row>
    <row r="176" spans="1:6" hidden="1" x14ac:dyDescent="0.3">
      <c r="A176" s="15">
        <v>161</v>
      </c>
      <c r="B176" s="54" t="s">
        <v>372</v>
      </c>
      <c r="C176" s="17" t="s">
        <v>0</v>
      </c>
      <c r="D176" s="37"/>
      <c r="E176" s="37">
        <v>65.849999999999994</v>
      </c>
      <c r="F176" s="37">
        <f t="shared" si="7"/>
        <v>65.849999999999994</v>
      </c>
    </row>
    <row r="177" spans="1:6" hidden="1" x14ac:dyDescent="0.3">
      <c r="A177" s="15">
        <v>162</v>
      </c>
      <c r="B177" s="54" t="s">
        <v>59</v>
      </c>
      <c r="C177" s="17" t="s">
        <v>0</v>
      </c>
      <c r="D177" s="37">
        <v>92.83</v>
      </c>
      <c r="E177" s="37">
        <v>19.52</v>
      </c>
      <c r="F177" s="37">
        <f t="shared" si="7"/>
        <v>112.35</v>
      </c>
    </row>
    <row r="178" spans="1:6" hidden="1" x14ac:dyDescent="0.3">
      <c r="A178" s="15">
        <v>163</v>
      </c>
      <c r="B178" s="54" t="s">
        <v>60</v>
      </c>
      <c r="C178" s="17" t="s">
        <v>0</v>
      </c>
      <c r="D178" s="37">
        <v>90.73</v>
      </c>
      <c r="E178" s="37">
        <v>14.26</v>
      </c>
      <c r="F178" s="37">
        <f t="shared" si="7"/>
        <v>104.99000000000001</v>
      </c>
    </row>
    <row r="179" spans="1:6" hidden="1" x14ac:dyDescent="0.3">
      <c r="A179" s="15">
        <v>164</v>
      </c>
      <c r="B179" s="54" t="s">
        <v>61</v>
      </c>
      <c r="C179" s="19" t="s">
        <v>0</v>
      </c>
      <c r="D179" s="37">
        <v>65.13</v>
      </c>
      <c r="E179" s="37">
        <v>49.45</v>
      </c>
      <c r="F179" s="37">
        <f t="shared" si="7"/>
        <v>114.58</v>
      </c>
    </row>
    <row r="180" spans="1:6" hidden="1" x14ac:dyDescent="0.3">
      <c r="A180" s="15">
        <v>165</v>
      </c>
      <c r="B180" s="54" t="s">
        <v>62</v>
      </c>
      <c r="C180" s="19" t="s">
        <v>0</v>
      </c>
      <c r="D180" s="37">
        <v>2.2999999999999998</v>
      </c>
      <c r="E180" s="37">
        <v>28.41</v>
      </c>
      <c r="F180" s="37">
        <f t="shared" si="7"/>
        <v>30.71</v>
      </c>
    </row>
    <row r="181" spans="1:6" hidden="1" x14ac:dyDescent="0.3">
      <c r="A181" s="15">
        <v>166</v>
      </c>
      <c r="B181" s="54" t="s">
        <v>67</v>
      </c>
      <c r="C181" s="19" t="s">
        <v>0</v>
      </c>
      <c r="D181" s="37">
        <v>38.64</v>
      </c>
      <c r="E181" s="37">
        <v>17.489999999999998</v>
      </c>
      <c r="F181" s="37">
        <f t="shared" si="7"/>
        <v>56.129999999999995</v>
      </c>
    </row>
    <row r="182" spans="1:6" hidden="1" x14ac:dyDescent="0.3">
      <c r="A182" s="15">
        <v>167</v>
      </c>
      <c r="B182" s="54" t="s">
        <v>68</v>
      </c>
      <c r="C182" s="19" t="s">
        <v>0</v>
      </c>
      <c r="D182" s="37">
        <v>87.91</v>
      </c>
      <c r="E182" s="37">
        <v>13.42</v>
      </c>
      <c r="F182" s="37">
        <f t="shared" si="7"/>
        <v>101.33</v>
      </c>
    </row>
    <row r="183" spans="1:6" hidden="1" x14ac:dyDescent="0.3">
      <c r="A183" s="15">
        <v>168</v>
      </c>
      <c r="B183" s="54" t="s">
        <v>70</v>
      </c>
      <c r="C183" s="19" t="s">
        <v>0</v>
      </c>
      <c r="D183" s="37">
        <v>65.13</v>
      </c>
      <c r="E183" s="37">
        <v>49.45</v>
      </c>
      <c r="F183" s="37">
        <f t="shared" si="7"/>
        <v>114.58</v>
      </c>
    </row>
    <row r="184" spans="1:6" hidden="1" x14ac:dyDescent="0.3">
      <c r="A184" s="15">
        <v>169</v>
      </c>
      <c r="B184" s="54" t="s">
        <v>71</v>
      </c>
      <c r="C184" s="19" t="s">
        <v>0</v>
      </c>
      <c r="D184" s="37">
        <v>2.2999999999999998</v>
      </c>
      <c r="E184" s="37">
        <v>28.41</v>
      </c>
      <c r="F184" s="37">
        <f t="shared" si="7"/>
        <v>30.71</v>
      </c>
    </row>
    <row r="185" spans="1:6" hidden="1" x14ac:dyDescent="0.3">
      <c r="A185" s="15">
        <v>170</v>
      </c>
      <c r="B185" s="54" t="s">
        <v>378</v>
      </c>
      <c r="C185" s="19" t="s">
        <v>0</v>
      </c>
      <c r="D185" s="37"/>
      <c r="E185" s="37">
        <v>1.65</v>
      </c>
      <c r="F185" s="37">
        <f t="shared" si="7"/>
        <v>1.65</v>
      </c>
    </row>
    <row r="186" spans="1:6" ht="28.8" hidden="1" x14ac:dyDescent="0.3">
      <c r="A186" s="15">
        <v>171</v>
      </c>
      <c r="B186" s="54" t="s">
        <v>379</v>
      </c>
      <c r="C186" s="19" t="s">
        <v>0</v>
      </c>
      <c r="D186" s="37"/>
      <c r="E186" s="37">
        <v>0.23</v>
      </c>
      <c r="F186" s="37">
        <f t="shared" si="7"/>
        <v>0.23</v>
      </c>
    </row>
    <row r="187" spans="1:6" ht="28.8" hidden="1" x14ac:dyDescent="0.3">
      <c r="A187" s="15">
        <v>172</v>
      </c>
      <c r="B187" s="54" t="s">
        <v>380</v>
      </c>
      <c r="C187" s="17" t="s">
        <v>0</v>
      </c>
      <c r="D187" s="37"/>
      <c r="E187" s="37">
        <v>0.11</v>
      </c>
      <c r="F187" s="37">
        <f t="shared" si="7"/>
        <v>0.11</v>
      </c>
    </row>
    <row r="188" spans="1:6" ht="28.8" hidden="1" x14ac:dyDescent="0.3">
      <c r="A188" s="15">
        <v>173</v>
      </c>
      <c r="B188" s="54" t="s">
        <v>381</v>
      </c>
      <c r="C188" s="17" t="s">
        <v>0</v>
      </c>
      <c r="D188" s="37"/>
      <c r="E188" s="37">
        <v>0.35</v>
      </c>
      <c r="F188" s="37">
        <f t="shared" si="7"/>
        <v>0.35</v>
      </c>
    </row>
    <row r="189" spans="1:6" ht="28.8" hidden="1" x14ac:dyDescent="0.3">
      <c r="A189" s="15">
        <v>174</v>
      </c>
      <c r="B189" s="54" t="s">
        <v>286</v>
      </c>
      <c r="C189" s="17" t="s">
        <v>0</v>
      </c>
      <c r="D189" s="37">
        <v>511.74</v>
      </c>
      <c r="E189" s="37"/>
      <c r="F189" s="37">
        <f t="shared" si="7"/>
        <v>511.74</v>
      </c>
    </row>
    <row r="190" spans="1:6" ht="28.8" hidden="1" x14ac:dyDescent="0.3">
      <c r="A190" s="15">
        <v>175</v>
      </c>
      <c r="B190" s="54" t="s">
        <v>287</v>
      </c>
      <c r="C190" s="17" t="s">
        <v>0</v>
      </c>
      <c r="D190" s="37">
        <v>60.47</v>
      </c>
      <c r="E190" s="37"/>
      <c r="F190" s="37">
        <f t="shared" si="7"/>
        <v>60.47</v>
      </c>
    </row>
    <row r="191" spans="1:6" ht="28.8" hidden="1" x14ac:dyDescent="0.3">
      <c r="A191" s="15">
        <v>176</v>
      </c>
      <c r="B191" s="54" t="s">
        <v>307</v>
      </c>
      <c r="C191" s="17" t="s">
        <v>0</v>
      </c>
      <c r="D191" s="37">
        <v>17.920000000000002</v>
      </c>
      <c r="E191" s="37"/>
      <c r="F191" s="37">
        <f t="shared" si="7"/>
        <v>17.920000000000002</v>
      </c>
    </row>
    <row r="192" spans="1:6" hidden="1" x14ac:dyDescent="0.3">
      <c r="A192" s="15">
        <v>177</v>
      </c>
      <c r="B192" s="16" t="s">
        <v>158</v>
      </c>
      <c r="C192" s="17" t="s">
        <v>159</v>
      </c>
      <c r="D192" s="37">
        <v>1</v>
      </c>
      <c r="E192" s="37"/>
      <c r="F192" s="37">
        <f t="shared" si="7"/>
        <v>1</v>
      </c>
    </row>
    <row r="193" spans="1:7" hidden="1" x14ac:dyDescent="0.3">
      <c r="A193" s="15">
        <v>178</v>
      </c>
      <c r="B193" s="16" t="s">
        <v>158</v>
      </c>
      <c r="C193" s="17" t="s">
        <v>159</v>
      </c>
      <c r="D193" s="37"/>
      <c r="E193" s="37">
        <v>1</v>
      </c>
      <c r="F193" s="37">
        <f t="shared" si="7"/>
        <v>1</v>
      </c>
    </row>
    <row r="194" spans="1:7" hidden="1" x14ac:dyDescent="0.3">
      <c r="A194" s="15">
        <v>179</v>
      </c>
      <c r="B194" s="16" t="s">
        <v>80</v>
      </c>
      <c r="C194" s="17" t="s">
        <v>69</v>
      </c>
      <c r="D194" s="37">
        <v>31.12</v>
      </c>
      <c r="E194" s="37">
        <v>12.67</v>
      </c>
      <c r="F194" s="37">
        <f>D194+E194</f>
        <v>43.79</v>
      </c>
    </row>
    <row r="195" spans="1:7" hidden="1" x14ac:dyDescent="0.3">
      <c r="A195" s="15">
        <v>180</v>
      </c>
      <c r="B195" s="16" t="s">
        <v>79</v>
      </c>
      <c r="C195" s="17" t="s">
        <v>69</v>
      </c>
      <c r="D195" s="37">
        <v>2.52</v>
      </c>
      <c r="E195" s="37">
        <v>1.38</v>
      </c>
      <c r="F195" s="37">
        <f t="shared" ref="F195:F196" si="8">D195+E195</f>
        <v>3.9</v>
      </c>
    </row>
    <row r="196" spans="1:7" hidden="1" x14ac:dyDescent="0.3">
      <c r="A196" s="15">
        <v>181</v>
      </c>
      <c r="B196" s="16" t="s">
        <v>81</v>
      </c>
      <c r="C196" s="17" t="s">
        <v>69</v>
      </c>
      <c r="D196" s="37">
        <v>6.31</v>
      </c>
      <c r="E196" s="37">
        <v>3.45</v>
      </c>
      <c r="F196" s="37">
        <f t="shared" si="8"/>
        <v>9.76</v>
      </c>
    </row>
    <row r="197" spans="1:7" s="14" customFormat="1" hidden="1" x14ac:dyDescent="0.3">
      <c r="A197" s="81" t="s">
        <v>94</v>
      </c>
      <c r="B197" s="81"/>
      <c r="C197" s="81"/>
      <c r="D197" s="44"/>
      <c r="E197" s="44"/>
      <c r="F197" s="44"/>
    </row>
    <row r="198" spans="1:7" s="20" customFormat="1" ht="28.8" x14ac:dyDescent="0.3">
      <c r="A198" s="63">
        <v>180</v>
      </c>
      <c r="B198" s="54" t="s">
        <v>278</v>
      </c>
      <c r="C198" s="17" t="s">
        <v>39</v>
      </c>
      <c r="D198" s="45"/>
      <c r="E198" s="45">
        <v>42</v>
      </c>
      <c r="F198" s="37">
        <f t="shared" ref="F198:F248" si="9">D198+E198</f>
        <v>42</v>
      </c>
      <c r="G198"/>
    </row>
    <row r="199" spans="1:7" s="20" customFormat="1" ht="28.8" x14ac:dyDescent="0.3">
      <c r="A199" s="63">
        <v>181</v>
      </c>
      <c r="B199" s="54" t="s">
        <v>152</v>
      </c>
      <c r="C199" s="17" t="s">
        <v>39</v>
      </c>
      <c r="D199" s="45"/>
      <c r="E199" s="45">
        <v>28</v>
      </c>
      <c r="F199" s="37">
        <f t="shared" si="9"/>
        <v>28</v>
      </c>
      <c r="G199"/>
    </row>
    <row r="200" spans="1:7" s="20" customFormat="1" ht="28.8" x14ac:dyDescent="0.3">
      <c r="A200" s="63">
        <v>182</v>
      </c>
      <c r="B200" s="54" t="s">
        <v>151</v>
      </c>
      <c r="C200" s="17" t="s">
        <v>39</v>
      </c>
      <c r="D200" s="45"/>
      <c r="E200" s="45">
        <v>42</v>
      </c>
      <c r="F200" s="37">
        <f t="shared" si="9"/>
        <v>42</v>
      </c>
      <c r="G200"/>
    </row>
    <row r="201" spans="1:7" s="20" customFormat="1" ht="28.8" x14ac:dyDescent="0.3">
      <c r="A201" s="63">
        <v>183</v>
      </c>
      <c r="B201" s="54" t="s">
        <v>112</v>
      </c>
      <c r="C201" s="17" t="s">
        <v>39</v>
      </c>
      <c r="D201" s="45"/>
      <c r="E201" s="45">
        <v>55</v>
      </c>
      <c r="F201" s="37">
        <f t="shared" si="9"/>
        <v>55</v>
      </c>
      <c r="G201"/>
    </row>
    <row r="202" spans="1:7" s="20" customFormat="1" ht="28.8" x14ac:dyDescent="0.3">
      <c r="A202" s="63">
        <v>184</v>
      </c>
      <c r="B202" s="54" t="s">
        <v>150</v>
      </c>
      <c r="C202" s="17" t="s">
        <v>39</v>
      </c>
      <c r="D202" s="45"/>
      <c r="E202" s="45">
        <v>29</v>
      </c>
      <c r="F202" s="37">
        <f t="shared" si="9"/>
        <v>29</v>
      </c>
      <c r="G202"/>
    </row>
    <row r="203" spans="1:7" s="20" customFormat="1" ht="28.8" x14ac:dyDescent="0.3">
      <c r="A203" s="63">
        <v>185</v>
      </c>
      <c r="B203" s="54" t="s">
        <v>149</v>
      </c>
      <c r="C203" s="17" t="s">
        <v>39</v>
      </c>
      <c r="D203" s="45"/>
      <c r="E203" s="45">
        <v>52</v>
      </c>
      <c r="F203" s="37">
        <f t="shared" si="9"/>
        <v>52</v>
      </c>
      <c r="G203"/>
    </row>
    <row r="204" spans="1:7" s="20" customFormat="1" ht="28.8" x14ac:dyDescent="0.3">
      <c r="A204" s="63">
        <v>186</v>
      </c>
      <c r="B204" s="54" t="s">
        <v>148</v>
      </c>
      <c r="C204" s="17" t="s">
        <v>39</v>
      </c>
      <c r="D204" s="45"/>
      <c r="E204" s="45">
        <v>17</v>
      </c>
      <c r="F204" s="37">
        <f t="shared" si="9"/>
        <v>17</v>
      </c>
      <c r="G204"/>
    </row>
    <row r="205" spans="1:7" s="20" customFormat="1" ht="28.8" x14ac:dyDescent="0.3">
      <c r="A205" s="63">
        <v>187</v>
      </c>
      <c r="B205" s="54" t="s">
        <v>147</v>
      </c>
      <c r="C205" s="17" t="s">
        <v>39</v>
      </c>
      <c r="D205" s="45"/>
      <c r="E205" s="45">
        <v>29</v>
      </c>
      <c r="F205" s="37">
        <f t="shared" si="9"/>
        <v>29</v>
      </c>
      <c r="G205"/>
    </row>
    <row r="206" spans="1:7" s="20" customFormat="1" ht="28.8" x14ac:dyDescent="0.3">
      <c r="A206" s="63">
        <v>188</v>
      </c>
      <c r="B206" s="54" t="s">
        <v>279</v>
      </c>
      <c r="C206" s="17" t="s">
        <v>39</v>
      </c>
      <c r="D206" s="45"/>
      <c r="E206" s="45">
        <v>27</v>
      </c>
      <c r="F206" s="37">
        <f t="shared" si="9"/>
        <v>27</v>
      </c>
      <c r="G206"/>
    </row>
    <row r="207" spans="1:7" s="20" customFormat="1" ht="28.8" x14ac:dyDescent="0.3">
      <c r="A207" s="63">
        <v>189</v>
      </c>
      <c r="B207" s="54" t="s">
        <v>343</v>
      </c>
      <c r="C207" s="17" t="s">
        <v>39</v>
      </c>
      <c r="D207" s="45"/>
      <c r="E207" s="45">
        <v>1</v>
      </c>
      <c r="F207" s="37">
        <f t="shared" si="9"/>
        <v>1</v>
      </c>
      <c r="G207"/>
    </row>
    <row r="208" spans="1:7" s="20" customFormat="1" ht="28.8" x14ac:dyDescent="0.3">
      <c r="A208" s="63">
        <v>190</v>
      </c>
      <c r="B208" s="54" t="s">
        <v>144</v>
      </c>
      <c r="C208" s="17" t="s">
        <v>39</v>
      </c>
      <c r="D208" s="45"/>
      <c r="E208" s="45">
        <v>69</v>
      </c>
      <c r="F208" s="37">
        <f t="shared" si="9"/>
        <v>69</v>
      </c>
      <c r="G208"/>
    </row>
    <row r="209" spans="1:7" s="20" customFormat="1" ht="28.8" x14ac:dyDescent="0.3">
      <c r="A209" s="63">
        <v>191</v>
      </c>
      <c r="B209" s="54" t="s">
        <v>138</v>
      </c>
      <c r="C209" s="17" t="s">
        <v>39</v>
      </c>
      <c r="D209" s="45"/>
      <c r="E209" s="45">
        <v>28</v>
      </c>
      <c r="F209" s="37">
        <f t="shared" si="9"/>
        <v>28</v>
      </c>
      <c r="G209"/>
    </row>
    <row r="210" spans="1:7" s="20" customFormat="1" ht="28.8" x14ac:dyDescent="0.3">
      <c r="A210" s="63">
        <v>192</v>
      </c>
      <c r="B210" s="54" t="s">
        <v>143</v>
      </c>
      <c r="C210" s="17" t="s">
        <v>39</v>
      </c>
      <c r="D210" s="45"/>
      <c r="E210" s="45">
        <v>1</v>
      </c>
      <c r="F210" s="37">
        <f t="shared" si="9"/>
        <v>1</v>
      </c>
      <c r="G210"/>
    </row>
    <row r="211" spans="1:7" s="20" customFormat="1" ht="28.8" x14ac:dyDescent="0.3">
      <c r="A211" s="63">
        <v>193</v>
      </c>
      <c r="B211" s="54" t="s">
        <v>142</v>
      </c>
      <c r="C211" s="17" t="s">
        <v>39</v>
      </c>
      <c r="D211" s="45"/>
      <c r="E211" s="45">
        <v>14</v>
      </c>
      <c r="F211" s="37">
        <f t="shared" si="9"/>
        <v>14</v>
      </c>
      <c r="G211"/>
    </row>
    <row r="212" spans="1:7" s="20" customFormat="1" hidden="1" x14ac:dyDescent="0.3">
      <c r="A212" s="63">
        <v>194</v>
      </c>
      <c r="B212" s="54" t="s">
        <v>211</v>
      </c>
      <c r="C212" s="17" t="s">
        <v>39</v>
      </c>
      <c r="D212" s="45"/>
      <c r="E212" s="45">
        <v>434</v>
      </c>
      <c r="F212" s="37">
        <f>D212+E212</f>
        <v>434</v>
      </c>
      <c r="G212"/>
    </row>
    <row r="213" spans="1:7" s="20" customFormat="1" hidden="1" x14ac:dyDescent="0.3">
      <c r="A213" s="63">
        <v>195</v>
      </c>
      <c r="B213" s="54" t="s">
        <v>45</v>
      </c>
      <c r="C213" s="17" t="s">
        <v>39</v>
      </c>
      <c r="D213" s="62"/>
      <c r="E213" s="45">
        <v>224</v>
      </c>
      <c r="F213" s="37">
        <f>D213+E213</f>
        <v>224</v>
      </c>
      <c r="G213"/>
    </row>
    <row r="214" spans="1:7" s="20" customFormat="1" hidden="1" x14ac:dyDescent="0.3">
      <c r="A214" s="63">
        <v>196</v>
      </c>
      <c r="B214" s="64" t="s">
        <v>55</v>
      </c>
      <c r="C214" s="17" t="s">
        <v>39</v>
      </c>
      <c r="D214" s="45"/>
      <c r="E214" s="45">
        <v>182</v>
      </c>
      <c r="F214" s="37">
        <f>D214+E214</f>
        <v>182</v>
      </c>
      <c r="G214"/>
    </row>
    <row r="215" spans="1:7" s="52" customFormat="1" hidden="1" x14ac:dyDescent="0.3">
      <c r="A215" s="63">
        <v>197</v>
      </c>
      <c r="B215" s="50" t="s">
        <v>51</v>
      </c>
      <c r="C215" s="38" t="s">
        <v>39</v>
      </c>
      <c r="D215" s="51"/>
      <c r="E215" s="51">
        <v>224</v>
      </c>
      <c r="F215" s="37">
        <f>D215+E215</f>
        <v>224</v>
      </c>
      <c r="G215"/>
    </row>
    <row r="216" spans="1:7" s="20" customFormat="1" hidden="1" x14ac:dyDescent="0.3">
      <c r="A216" s="63">
        <v>198</v>
      </c>
      <c r="B216" s="54" t="s">
        <v>253</v>
      </c>
      <c r="C216" s="17" t="s">
        <v>39</v>
      </c>
      <c r="D216" s="62"/>
      <c r="E216" s="45">
        <v>2</v>
      </c>
      <c r="F216" s="37">
        <f t="shared" si="9"/>
        <v>2</v>
      </c>
      <c r="G216"/>
    </row>
    <row r="217" spans="1:7" s="20" customFormat="1" hidden="1" x14ac:dyDescent="0.3">
      <c r="A217" s="63">
        <v>199</v>
      </c>
      <c r="B217" s="54" t="s">
        <v>345</v>
      </c>
      <c r="C217" s="17" t="s">
        <v>39</v>
      </c>
      <c r="D217" s="45"/>
      <c r="E217" s="45">
        <v>14</v>
      </c>
      <c r="F217" s="37">
        <f t="shared" si="9"/>
        <v>14</v>
      </c>
      <c r="G217"/>
    </row>
    <row r="218" spans="1:7" s="20" customFormat="1" hidden="1" x14ac:dyDescent="0.3">
      <c r="A218" s="63">
        <v>200</v>
      </c>
      <c r="B218" s="54" t="s">
        <v>346</v>
      </c>
      <c r="C218" s="17" t="s">
        <v>39</v>
      </c>
      <c r="D218" s="45"/>
      <c r="E218" s="45">
        <v>14</v>
      </c>
      <c r="F218" s="37">
        <f>D218+E218</f>
        <v>14</v>
      </c>
      <c r="G218"/>
    </row>
    <row r="219" spans="1:7" s="20" customFormat="1" hidden="1" x14ac:dyDescent="0.3">
      <c r="A219" s="63">
        <v>201</v>
      </c>
      <c r="B219" s="54" t="s">
        <v>214</v>
      </c>
      <c r="C219" s="17" t="s">
        <v>39</v>
      </c>
      <c r="D219" s="62"/>
      <c r="E219" s="45">
        <v>6</v>
      </c>
      <c r="F219" s="37">
        <f t="shared" si="9"/>
        <v>6</v>
      </c>
      <c r="G219"/>
    </row>
    <row r="220" spans="1:7" s="20" customFormat="1" hidden="1" x14ac:dyDescent="0.3">
      <c r="A220" s="63">
        <v>202</v>
      </c>
      <c r="B220" s="54" t="s">
        <v>336</v>
      </c>
      <c r="C220" s="17" t="s">
        <v>39</v>
      </c>
      <c r="D220" s="62"/>
      <c r="E220" s="45">
        <v>1</v>
      </c>
      <c r="F220" s="37">
        <f t="shared" si="9"/>
        <v>1</v>
      </c>
      <c r="G220"/>
    </row>
    <row r="221" spans="1:7" s="20" customFormat="1" hidden="1" x14ac:dyDescent="0.3">
      <c r="A221" s="63">
        <v>203</v>
      </c>
      <c r="B221" s="54" t="s">
        <v>348</v>
      </c>
      <c r="C221" s="17" t="s">
        <v>39</v>
      </c>
      <c r="D221" s="45"/>
      <c r="E221" s="45">
        <v>4</v>
      </c>
      <c r="F221" s="37">
        <f t="shared" si="9"/>
        <v>4</v>
      </c>
      <c r="G221"/>
    </row>
    <row r="222" spans="1:7" s="20" customFormat="1" hidden="1" x14ac:dyDescent="0.3">
      <c r="A222" s="63">
        <v>204</v>
      </c>
      <c r="B222" s="54" t="s">
        <v>258</v>
      </c>
      <c r="C222" s="17" t="s">
        <v>0</v>
      </c>
      <c r="D222" s="45"/>
      <c r="E222" s="45">
        <v>9966.0499999999993</v>
      </c>
      <c r="F222" s="37">
        <f t="shared" si="9"/>
        <v>9966.0499999999993</v>
      </c>
      <c r="G222"/>
    </row>
    <row r="223" spans="1:7" s="20" customFormat="1" hidden="1" x14ac:dyDescent="0.3">
      <c r="A223" s="63">
        <v>205</v>
      </c>
      <c r="B223" s="54" t="s">
        <v>259</v>
      </c>
      <c r="C223" s="17" t="s">
        <v>0</v>
      </c>
      <c r="D223" s="45"/>
      <c r="E223" s="45">
        <v>2564.38</v>
      </c>
      <c r="F223" s="37">
        <f t="shared" si="9"/>
        <v>2564.38</v>
      </c>
      <c r="G223"/>
    </row>
    <row r="224" spans="1:7" s="20" customFormat="1" hidden="1" x14ac:dyDescent="0.3">
      <c r="A224" s="63">
        <v>206</v>
      </c>
      <c r="B224" s="54" t="s">
        <v>59</v>
      </c>
      <c r="C224" s="17" t="s">
        <v>0</v>
      </c>
      <c r="D224" s="45"/>
      <c r="E224" s="45">
        <v>1.63</v>
      </c>
      <c r="F224" s="37">
        <f t="shared" si="9"/>
        <v>1.63</v>
      </c>
      <c r="G224"/>
    </row>
    <row r="225" spans="1:7" s="20" customFormat="1" hidden="1" x14ac:dyDescent="0.3">
      <c r="A225" s="63">
        <v>207</v>
      </c>
      <c r="B225" s="54" t="s">
        <v>61</v>
      </c>
      <c r="C225" s="17" t="s">
        <v>0</v>
      </c>
      <c r="D225" s="45"/>
      <c r="E225" s="45">
        <v>31.68</v>
      </c>
      <c r="F225" s="37">
        <f t="shared" si="9"/>
        <v>31.68</v>
      </c>
      <c r="G225"/>
    </row>
    <row r="226" spans="1:7" s="20" customFormat="1" hidden="1" x14ac:dyDescent="0.3">
      <c r="A226" s="63">
        <v>208</v>
      </c>
      <c r="B226" s="54" t="s">
        <v>62</v>
      </c>
      <c r="C226" s="17" t="s">
        <v>0</v>
      </c>
      <c r="D226" s="45"/>
      <c r="E226" s="45">
        <v>12.2</v>
      </c>
      <c r="F226" s="37">
        <f t="shared" si="9"/>
        <v>12.2</v>
      </c>
      <c r="G226"/>
    </row>
    <row r="227" spans="1:7" s="20" customFormat="1" hidden="1" x14ac:dyDescent="0.3">
      <c r="A227" s="63">
        <v>209</v>
      </c>
      <c r="B227" s="54" t="s">
        <v>63</v>
      </c>
      <c r="C227" s="17" t="s">
        <v>0</v>
      </c>
      <c r="D227" s="45"/>
      <c r="E227" s="45">
        <v>18.54</v>
      </c>
      <c r="F227" s="37">
        <f t="shared" si="9"/>
        <v>18.54</v>
      </c>
      <c r="G227"/>
    </row>
    <row r="228" spans="1:7" s="20" customFormat="1" ht="28.8" hidden="1" x14ac:dyDescent="0.3">
      <c r="A228" s="63">
        <v>210</v>
      </c>
      <c r="B228" s="54" t="s">
        <v>64</v>
      </c>
      <c r="C228" s="17" t="s">
        <v>0</v>
      </c>
      <c r="D228" s="45"/>
      <c r="E228" s="45">
        <v>30.66</v>
      </c>
      <c r="F228" s="37">
        <f t="shared" si="9"/>
        <v>30.66</v>
      </c>
      <c r="G228"/>
    </row>
    <row r="229" spans="1:7" s="20" customFormat="1" ht="28.8" hidden="1" x14ac:dyDescent="0.3">
      <c r="A229" s="63">
        <v>211</v>
      </c>
      <c r="B229" s="54" t="s">
        <v>260</v>
      </c>
      <c r="C229" s="17" t="s">
        <v>0</v>
      </c>
      <c r="D229" s="45"/>
      <c r="E229" s="45">
        <v>345.93</v>
      </c>
      <c r="F229" s="37">
        <f t="shared" si="9"/>
        <v>345.93</v>
      </c>
      <c r="G229"/>
    </row>
    <row r="230" spans="1:7" s="20" customFormat="1" hidden="1" x14ac:dyDescent="0.3">
      <c r="A230" s="63">
        <v>212</v>
      </c>
      <c r="B230" s="54" t="s">
        <v>67</v>
      </c>
      <c r="C230" s="17" t="s">
        <v>0</v>
      </c>
      <c r="D230" s="45"/>
      <c r="E230" s="45">
        <v>0.32</v>
      </c>
      <c r="F230" s="37">
        <f t="shared" si="9"/>
        <v>0.32</v>
      </c>
      <c r="G230"/>
    </row>
    <row r="231" spans="1:7" s="20" customFormat="1" hidden="1" x14ac:dyDescent="0.3">
      <c r="A231" s="63">
        <v>213</v>
      </c>
      <c r="B231" s="54" t="s">
        <v>70</v>
      </c>
      <c r="C231" s="17" t="s">
        <v>0</v>
      </c>
      <c r="D231" s="45"/>
      <c r="E231" s="45">
        <v>19.079999999999998</v>
      </c>
      <c r="F231" s="37">
        <f t="shared" si="9"/>
        <v>19.079999999999998</v>
      </c>
      <c r="G231"/>
    </row>
    <row r="232" spans="1:7" s="20" customFormat="1" hidden="1" x14ac:dyDescent="0.3">
      <c r="A232" s="63">
        <v>214</v>
      </c>
      <c r="B232" s="54" t="s">
        <v>74</v>
      </c>
      <c r="C232" s="17" t="s">
        <v>0</v>
      </c>
      <c r="D232" s="45"/>
      <c r="E232" s="45">
        <v>0.01</v>
      </c>
      <c r="F232" s="37">
        <f t="shared" si="9"/>
        <v>0.01</v>
      </c>
      <c r="G232"/>
    </row>
    <row r="233" spans="1:7" s="20" customFormat="1" hidden="1" x14ac:dyDescent="0.3">
      <c r="A233" s="63">
        <v>215</v>
      </c>
      <c r="B233" s="54" t="s">
        <v>329</v>
      </c>
      <c r="C233" s="17" t="s">
        <v>0</v>
      </c>
      <c r="D233" s="45"/>
      <c r="E233" s="45">
        <v>0.6</v>
      </c>
      <c r="F233" s="37">
        <f t="shared" si="9"/>
        <v>0.6</v>
      </c>
      <c r="G233"/>
    </row>
    <row r="234" spans="1:7" s="20" customFormat="1" hidden="1" x14ac:dyDescent="0.3">
      <c r="A234" s="63">
        <v>216</v>
      </c>
      <c r="B234" s="54" t="s">
        <v>318</v>
      </c>
      <c r="C234" s="17" t="s">
        <v>0</v>
      </c>
      <c r="D234" s="45"/>
      <c r="E234" s="45">
        <v>6.3</v>
      </c>
      <c r="F234" s="37">
        <f t="shared" si="9"/>
        <v>6.3</v>
      </c>
      <c r="G234"/>
    </row>
    <row r="235" spans="1:7" s="20" customFormat="1" hidden="1" x14ac:dyDescent="0.3">
      <c r="A235" s="63">
        <v>217</v>
      </c>
      <c r="B235" s="54" t="s">
        <v>330</v>
      </c>
      <c r="C235" s="17" t="s">
        <v>0</v>
      </c>
      <c r="D235" s="45"/>
      <c r="E235" s="45">
        <v>6</v>
      </c>
      <c r="F235" s="37">
        <f t="shared" si="9"/>
        <v>6</v>
      </c>
      <c r="G235"/>
    </row>
    <row r="236" spans="1:7" s="20" customFormat="1" hidden="1" x14ac:dyDescent="0.3">
      <c r="A236" s="63">
        <v>218</v>
      </c>
      <c r="B236" s="54" t="s">
        <v>354</v>
      </c>
      <c r="C236" s="17" t="s">
        <v>0</v>
      </c>
      <c r="D236" s="45"/>
      <c r="E236" s="45">
        <v>6.22</v>
      </c>
      <c r="F236" s="37">
        <f t="shared" si="9"/>
        <v>6.22</v>
      </c>
      <c r="G236"/>
    </row>
    <row r="237" spans="1:7" s="20" customFormat="1" hidden="1" x14ac:dyDescent="0.3">
      <c r="A237" s="63">
        <v>219</v>
      </c>
      <c r="B237" s="54" t="s">
        <v>190</v>
      </c>
      <c r="C237" s="17" t="s">
        <v>0</v>
      </c>
      <c r="D237" s="45"/>
      <c r="E237" s="45">
        <v>18.36</v>
      </c>
      <c r="F237" s="37">
        <f t="shared" si="9"/>
        <v>18.36</v>
      </c>
      <c r="G237"/>
    </row>
    <row r="238" spans="1:7" s="20" customFormat="1" hidden="1" x14ac:dyDescent="0.3">
      <c r="A238" s="63">
        <v>220</v>
      </c>
      <c r="B238" s="54" t="s">
        <v>191</v>
      </c>
      <c r="C238" s="17" t="s">
        <v>0</v>
      </c>
      <c r="D238" s="45"/>
      <c r="E238" s="45">
        <v>177.26</v>
      </c>
      <c r="F238" s="37">
        <f t="shared" si="9"/>
        <v>177.26</v>
      </c>
      <c r="G238"/>
    </row>
    <row r="239" spans="1:7" s="20" customFormat="1" hidden="1" x14ac:dyDescent="0.3">
      <c r="A239" s="63">
        <v>221</v>
      </c>
      <c r="B239" s="54" t="s">
        <v>378</v>
      </c>
      <c r="C239" s="17" t="s">
        <v>0</v>
      </c>
      <c r="D239" s="45"/>
      <c r="E239" s="45">
        <v>0.71</v>
      </c>
      <c r="F239" s="37">
        <f t="shared" si="9"/>
        <v>0.71</v>
      </c>
      <c r="G239"/>
    </row>
    <row r="240" spans="1:7" s="20" customFormat="1" hidden="1" x14ac:dyDescent="0.3">
      <c r="A240" s="63">
        <v>222</v>
      </c>
      <c r="B240" s="54" t="s">
        <v>382</v>
      </c>
      <c r="C240" s="17" t="s">
        <v>0</v>
      </c>
      <c r="D240" s="45"/>
      <c r="E240" s="45">
        <v>6.3</v>
      </c>
      <c r="F240" s="37">
        <f t="shared" si="9"/>
        <v>6.3</v>
      </c>
      <c r="G240"/>
    </row>
    <row r="241" spans="1:853" s="20" customFormat="1" hidden="1" x14ac:dyDescent="0.3">
      <c r="A241" s="63">
        <v>223</v>
      </c>
      <c r="B241" s="54" t="s">
        <v>383</v>
      </c>
      <c r="C241" s="17" t="s">
        <v>0</v>
      </c>
      <c r="D241" s="45"/>
      <c r="E241" s="45">
        <v>6.16</v>
      </c>
      <c r="F241" s="37">
        <f t="shared" si="9"/>
        <v>6.16</v>
      </c>
      <c r="G241"/>
    </row>
    <row r="242" spans="1:853" s="20" customFormat="1" hidden="1" x14ac:dyDescent="0.3">
      <c r="A242" s="63">
        <v>224</v>
      </c>
      <c r="B242" s="54" t="s">
        <v>384</v>
      </c>
      <c r="C242" s="17" t="s">
        <v>0</v>
      </c>
      <c r="D242" s="45"/>
      <c r="E242" s="45">
        <v>12.32</v>
      </c>
      <c r="F242" s="37">
        <f t="shared" si="9"/>
        <v>12.32</v>
      </c>
      <c r="G242"/>
    </row>
    <row r="243" spans="1:853" s="20" customFormat="1" hidden="1" x14ac:dyDescent="0.3">
      <c r="A243" s="63">
        <v>225</v>
      </c>
      <c r="B243" s="54" t="s">
        <v>385</v>
      </c>
      <c r="C243" s="17" t="s">
        <v>0</v>
      </c>
      <c r="D243" s="45"/>
      <c r="E243" s="45">
        <v>12.3</v>
      </c>
      <c r="F243" s="37">
        <f t="shared" si="9"/>
        <v>12.3</v>
      </c>
      <c r="G243"/>
    </row>
    <row r="244" spans="1:853" s="20" customFormat="1" hidden="1" x14ac:dyDescent="0.3">
      <c r="A244" s="63">
        <v>226</v>
      </c>
      <c r="B244" s="54" t="s">
        <v>355</v>
      </c>
      <c r="C244" s="17" t="s">
        <v>0</v>
      </c>
      <c r="D244" s="45"/>
      <c r="E244" s="45">
        <v>161.22999999999999</v>
      </c>
      <c r="F244" s="37">
        <f t="shared" si="9"/>
        <v>161.22999999999999</v>
      </c>
      <c r="G244"/>
    </row>
    <row r="245" spans="1:853" hidden="1" x14ac:dyDescent="0.3">
      <c r="A245" s="63">
        <v>227</v>
      </c>
      <c r="B245" s="16" t="s">
        <v>158</v>
      </c>
      <c r="C245" s="17" t="s">
        <v>159</v>
      </c>
      <c r="D245" s="37"/>
      <c r="E245" s="37">
        <v>1</v>
      </c>
      <c r="F245" s="37">
        <f t="shared" si="9"/>
        <v>1</v>
      </c>
    </row>
    <row r="246" spans="1:853" s="20" customFormat="1" hidden="1" x14ac:dyDescent="0.3">
      <c r="A246" s="63">
        <v>228</v>
      </c>
      <c r="B246" s="16" t="s">
        <v>80</v>
      </c>
      <c r="C246" s="17" t="s">
        <v>69</v>
      </c>
      <c r="D246" s="45"/>
      <c r="E246" s="45">
        <v>173.37</v>
      </c>
      <c r="F246" s="37">
        <f t="shared" si="9"/>
        <v>173.37</v>
      </c>
      <c r="G246"/>
    </row>
    <row r="247" spans="1:853" s="20" customFormat="1" hidden="1" x14ac:dyDescent="0.3">
      <c r="A247" s="63">
        <v>229</v>
      </c>
      <c r="B247" s="16" t="s">
        <v>79</v>
      </c>
      <c r="C247" s="17" t="s">
        <v>69</v>
      </c>
      <c r="D247" s="45"/>
      <c r="E247" s="45">
        <v>11.51</v>
      </c>
      <c r="F247" s="37">
        <f>D247+E247</f>
        <v>11.51</v>
      </c>
      <c r="G247"/>
    </row>
    <row r="248" spans="1:853" s="20" customFormat="1" hidden="1" x14ac:dyDescent="0.3">
      <c r="A248" s="63">
        <v>230</v>
      </c>
      <c r="B248" s="16" t="s">
        <v>81</v>
      </c>
      <c r="C248" s="17" t="s">
        <v>69</v>
      </c>
      <c r="D248" s="45"/>
      <c r="E248" s="45">
        <v>28.79</v>
      </c>
      <c r="F248" s="37">
        <f t="shared" si="9"/>
        <v>28.79</v>
      </c>
      <c r="G248"/>
    </row>
    <row r="249" spans="1:853" s="14" customFormat="1" hidden="1" x14ac:dyDescent="0.3">
      <c r="A249" s="81" t="s">
        <v>270</v>
      </c>
      <c r="B249" s="81"/>
      <c r="C249" s="81"/>
      <c r="D249" s="44"/>
      <c r="E249" s="44"/>
      <c r="F249" s="44"/>
    </row>
    <row r="250" spans="1:853" hidden="1" x14ac:dyDescent="0.3">
      <c r="A250" s="15">
        <v>231</v>
      </c>
      <c r="B250" s="16" t="s">
        <v>271</v>
      </c>
      <c r="C250" s="17" t="s">
        <v>39</v>
      </c>
      <c r="D250" s="37"/>
      <c r="E250" s="37"/>
      <c r="F250" s="37">
        <f t="shared" ref="F250:F252" si="10">D250+E250</f>
        <v>0</v>
      </c>
    </row>
    <row r="251" spans="1:853" hidden="1" x14ac:dyDescent="0.3">
      <c r="A251" s="15">
        <v>232</v>
      </c>
      <c r="B251" s="16" t="s">
        <v>337</v>
      </c>
      <c r="C251" s="17" t="s">
        <v>39</v>
      </c>
      <c r="D251" s="37"/>
      <c r="E251" s="37">
        <v>1</v>
      </c>
      <c r="F251" s="37">
        <f t="shared" si="10"/>
        <v>1</v>
      </c>
    </row>
    <row r="252" spans="1:853" hidden="1" x14ac:dyDescent="0.3">
      <c r="A252" s="15">
        <v>233</v>
      </c>
      <c r="B252" s="16" t="s">
        <v>273</v>
      </c>
      <c r="C252" s="17" t="s">
        <v>39</v>
      </c>
      <c r="D252" s="37"/>
      <c r="E252" s="37"/>
      <c r="F252" s="37">
        <f t="shared" si="10"/>
        <v>0</v>
      </c>
    </row>
    <row r="253" spans="1:853" hidden="1" x14ac:dyDescent="0.3">
      <c r="A253" s="81" t="s">
        <v>105</v>
      </c>
      <c r="B253" s="81"/>
      <c r="C253" s="81"/>
      <c r="D253" s="47"/>
      <c r="E253" s="47"/>
      <c r="F253" s="47"/>
    </row>
    <row r="254" spans="1:853" s="68" customFormat="1" hidden="1" x14ac:dyDescent="0.3">
      <c r="A254" s="15">
        <v>234</v>
      </c>
      <c r="B254" s="66" t="s">
        <v>33</v>
      </c>
      <c r="C254" s="21" t="s">
        <v>32</v>
      </c>
      <c r="D254" s="24">
        <v>1</v>
      </c>
      <c r="E254" s="24">
        <v>1</v>
      </c>
      <c r="F254" s="37">
        <f t="shared" ref="F254:F255" si="11">D254+E254</f>
        <v>2</v>
      </c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  <c r="AT254" s="67"/>
      <c r="AU254" s="67"/>
      <c r="AV254" s="67"/>
      <c r="AW254" s="67"/>
      <c r="AX254" s="67"/>
      <c r="AY254" s="67"/>
      <c r="AZ254" s="67"/>
      <c r="BA254" s="67"/>
      <c r="BB254" s="67"/>
      <c r="BC254" s="67"/>
      <c r="BD254" s="67"/>
      <c r="BE254" s="67"/>
      <c r="BF254" s="67"/>
      <c r="BG254" s="67"/>
      <c r="BH254" s="67"/>
      <c r="BI254" s="67"/>
      <c r="BJ254" s="67"/>
      <c r="BK254" s="67"/>
      <c r="BL254" s="67"/>
      <c r="BM254" s="67"/>
      <c r="BN254" s="67"/>
      <c r="BO254" s="67"/>
      <c r="BP254" s="67"/>
      <c r="BQ254" s="67"/>
      <c r="BR254" s="67"/>
      <c r="BS254" s="67"/>
      <c r="BT254" s="67"/>
      <c r="BU254" s="67"/>
      <c r="BV254" s="67"/>
      <c r="BW254" s="67"/>
      <c r="BX254" s="67"/>
      <c r="BY254" s="67"/>
      <c r="BZ254" s="67"/>
      <c r="CA254" s="67"/>
      <c r="CB254" s="67"/>
      <c r="CC254" s="67"/>
      <c r="CD254" s="67"/>
      <c r="CE254" s="67"/>
      <c r="CF254" s="67"/>
      <c r="CG254" s="67"/>
      <c r="CH254" s="67"/>
      <c r="CI254" s="67"/>
      <c r="CJ254" s="67"/>
      <c r="CK254" s="67"/>
      <c r="CL254" s="67"/>
      <c r="CM254" s="67"/>
      <c r="CN254" s="67"/>
      <c r="CO254" s="67"/>
      <c r="CP254" s="67"/>
      <c r="CQ254" s="67"/>
      <c r="CR254" s="67"/>
      <c r="CS254" s="67"/>
      <c r="CT254" s="67"/>
      <c r="CU254" s="67"/>
      <c r="CV254" s="67"/>
      <c r="CW254" s="67"/>
      <c r="CX254" s="67"/>
      <c r="CY254" s="67"/>
      <c r="CZ254" s="67"/>
      <c r="DA254" s="67"/>
      <c r="DB254" s="67"/>
      <c r="DC254" s="67"/>
      <c r="DD254" s="67"/>
      <c r="DE254" s="67"/>
      <c r="DF254" s="67"/>
      <c r="DG254" s="67"/>
      <c r="DH254" s="67"/>
      <c r="DI254" s="67"/>
      <c r="DJ254" s="67"/>
      <c r="DK254" s="67"/>
      <c r="DL254" s="67"/>
      <c r="DM254" s="67"/>
      <c r="DN254" s="67"/>
      <c r="DO254" s="67"/>
      <c r="DP254" s="67"/>
      <c r="DQ254" s="67"/>
      <c r="DR254" s="67"/>
      <c r="DS254" s="67"/>
      <c r="DT254" s="67"/>
      <c r="DU254" s="67"/>
      <c r="DV254" s="67"/>
      <c r="DW254" s="67"/>
      <c r="DX254" s="67"/>
      <c r="DY254" s="67"/>
      <c r="DZ254" s="67"/>
      <c r="EA254" s="67"/>
      <c r="EB254" s="67"/>
      <c r="EC254" s="67"/>
      <c r="ED254" s="67"/>
      <c r="EE254" s="67"/>
      <c r="EF254" s="67"/>
      <c r="EG254" s="67"/>
      <c r="EH254" s="67"/>
      <c r="EI254" s="67"/>
      <c r="EJ254" s="67"/>
      <c r="EK254" s="67"/>
      <c r="EL254" s="67"/>
      <c r="EM254" s="67"/>
      <c r="EN254" s="67"/>
      <c r="EO254" s="67"/>
      <c r="EP254" s="67"/>
      <c r="EQ254" s="67"/>
      <c r="ER254" s="67"/>
      <c r="ES254" s="67"/>
      <c r="ET254" s="67"/>
      <c r="EU254" s="67"/>
      <c r="EV254" s="67"/>
      <c r="EW254" s="67"/>
      <c r="EX254" s="67"/>
      <c r="EY254" s="67"/>
      <c r="EZ254" s="67"/>
      <c r="FA254" s="67"/>
      <c r="FB254" s="67"/>
      <c r="FC254" s="67"/>
      <c r="FD254" s="67"/>
      <c r="FE254" s="67"/>
      <c r="FF254" s="67"/>
      <c r="FG254" s="67"/>
      <c r="FH254" s="67"/>
      <c r="FI254" s="67"/>
      <c r="FJ254" s="67"/>
      <c r="FK254" s="67"/>
      <c r="FL254" s="67"/>
      <c r="FM254" s="67"/>
      <c r="FN254" s="67"/>
      <c r="FO254" s="67"/>
      <c r="FP254" s="67"/>
      <c r="FQ254" s="67"/>
      <c r="FR254" s="67"/>
      <c r="FS254" s="67"/>
      <c r="FT254" s="67"/>
      <c r="FU254" s="67"/>
      <c r="FV254" s="67"/>
      <c r="FW254" s="67"/>
      <c r="FX254" s="67"/>
      <c r="FY254" s="67"/>
      <c r="FZ254" s="67"/>
      <c r="GA254" s="67"/>
      <c r="GB254" s="67"/>
      <c r="GC254" s="67"/>
      <c r="GD254" s="67"/>
      <c r="GE254" s="67"/>
      <c r="GF254" s="67"/>
      <c r="GG254" s="67"/>
      <c r="GH254" s="67"/>
      <c r="GI254" s="67"/>
      <c r="GJ254" s="67"/>
      <c r="GK254" s="67"/>
      <c r="GL254" s="67"/>
      <c r="GM254" s="67"/>
      <c r="GN254" s="67"/>
      <c r="GO254" s="67"/>
      <c r="GP254" s="67"/>
      <c r="GQ254" s="67"/>
      <c r="GR254" s="67"/>
      <c r="GS254" s="67"/>
      <c r="GT254" s="67"/>
      <c r="GU254" s="67"/>
      <c r="GV254" s="67"/>
      <c r="GW254" s="67"/>
      <c r="GX254" s="67"/>
      <c r="GY254" s="67"/>
      <c r="GZ254" s="67"/>
      <c r="HA254" s="67"/>
      <c r="HB254" s="67"/>
      <c r="HC254" s="67"/>
      <c r="HD254" s="67"/>
      <c r="HE254" s="67"/>
      <c r="HF254" s="67"/>
      <c r="HG254" s="67"/>
      <c r="HH254" s="67"/>
      <c r="HI254" s="67"/>
      <c r="HJ254" s="67"/>
      <c r="HK254" s="67"/>
      <c r="HL254" s="67"/>
      <c r="HM254" s="67"/>
      <c r="HN254" s="67"/>
      <c r="HO254" s="67"/>
      <c r="HP254" s="67"/>
      <c r="HQ254" s="67"/>
      <c r="HR254" s="67"/>
      <c r="HS254" s="67"/>
      <c r="HT254" s="67"/>
      <c r="HU254" s="67"/>
      <c r="HV254" s="67"/>
      <c r="HW254" s="67"/>
      <c r="HX254" s="67"/>
      <c r="HY254" s="67"/>
      <c r="HZ254" s="67"/>
      <c r="IA254" s="67"/>
      <c r="IB254" s="67"/>
      <c r="IC254" s="67"/>
      <c r="ID254" s="67"/>
      <c r="IE254" s="67"/>
      <c r="IF254" s="67"/>
      <c r="IG254" s="67"/>
      <c r="IH254" s="67"/>
      <c r="II254" s="67"/>
      <c r="IJ254" s="67"/>
      <c r="IK254" s="67"/>
      <c r="IL254" s="67"/>
      <c r="IM254" s="67"/>
      <c r="IN254" s="67"/>
      <c r="IO254" s="67"/>
      <c r="IP254" s="67"/>
      <c r="IQ254" s="67"/>
      <c r="IR254" s="67"/>
      <c r="IS254" s="67"/>
      <c r="IT254" s="67"/>
      <c r="IU254" s="67"/>
      <c r="IV254" s="67"/>
      <c r="IW254" s="67"/>
      <c r="IX254" s="67"/>
      <c r="IY254" s="67"/>
      <c r="IZ254" s="67"/>
      <c r="JA254" s="67"/>
      <c r="JB254" s="67"/>
      <c r="JC254" s="67"/>
      <c r="JD254" s="67"/>
      <c r="JE254" s="67"/>
      <c r="JF254" s="67"/>
      <c r="JG254" s="67"/>
      <c r="JH254" s="67"/>
      <c r="JI254" s="67"/>
      <c r="JJ254" s="67"/>
      <c r="JK254" s="67"/>
      <c r="JL254" s="67"/>
      <c r="JM254" s="67"/>
      <c r="JN254" s="67"/>
      <c r="JO254" s="67"/>
      <c r="JP254" s="67"/>
      <c r="JQ254" s="67"/>
      <c r="JR254" s="67"/>
      <c r="JS254" s="67"/>
      <c r="JT254" s="67"/>
      <c r="JU254" s="67"/>
      <c r="JV254" s="67"/>
      <c r="JW254" s="67"/>
      <c r="JX254" s="67"/>
      <c r="JY254" s="67"/>
      <c r="JZ254" s="67"/>
      <c r="KA254" s="67"/>
      <c r="KB254" s="67"/>
      <c r="KC254" s="67"/>
      <c r="KD254" s="67"/>
      <c r="KE254" s="67"/>
      <c r="KF254" s="67"/>
      <c r="KG254" s="67"/>
      <c r="KH254" s="67"/>
      <c r="KI254" s="67"/>
      <c r="KJ254" s="67"/>
      <c r="KK254" s="67"/>
      <c r="KL254" s="67"/>
      <c r="KM254" s="67"/>
      <c r="KN254" s="67"/>
      <c r="KO254" s="67"/>
      <c r="KP254" s="67"/>
      <c r="KQ254" s="67"/>
      <c r="KR254" s="67"/>
      <c r="KS254" s="67"/>
      <c r="KT254" s="67"/>
      <c r="KU254" s="67"/>
      <c r="KV254" s="67"/>
      <c r="KW254" s="67"/>
      <c r="KX254" s="67"/>
      <c r="KY254" s="67"/>
      <c r="KZ254" s="67"/>
      <c r="LA254" s="67"/>
      <c r="LB254" s="67"/>
      <c r="LC254" s="67"/>
      <c r="LD254" s="67"/>
      <c r="LE254" s="67"/>
      <c r="LF254" s="67"/>
      <c r="LG254" s="67"/>
      <c r="LH254" s="67"/>
      <c r="LI254" s="67"/>
      <c r="LJ254" s="67"/>
      <c r="LK254" s="67"/>
      <c r="LL254" s="67"/>
      <c r="LM254" s="67"/>
      <c r="LN254" s="67"/>
      <c r="LO254" s="67"/>
      <c r="LP254" s="67"/>
      <c r="LQ254" s="67"/>
      <c r="LR254" s="67"/>
      <c r="LS254" s="67"/>
      <c r="LT254" s="67"/>
      <c r="LU254" s="67"/>
      <c r="LV254" s="67"/>
      <c r="LW254" s="67"/>
      <c r="LX254" s="67"/>
      <c r="LY254" s="67"/>
      <c r="LZ254" s="67"/>
      <c r="MA254" s="67"/>
      <c r="MB254" s="67"/>
      <c r="MC254" s="67"/>
      <c r="MD254" s="67"/>
      <c r="ME254" s="67"/>
      <c r="MF254" s="67"/>
      <c r="MG254" s="67"/>
      <c r="MH254" s="67"/>
      <c r="MI254" s="67"/>
      <c r="MJ254" s="67"/>
      <c r="MK254" s="67"/>
      <c r="ML254" s="67"/>
      <c r="MM254" s="67"/>
      <c r="MN254" s="67"/>
      <c r="MO254" s="67"/>
      <c r="MP254" s="67"/>
      <c r="MQ254" s="67"/>
      <c r="MR254" s="67"/>
      <c r="MS254" s="67"/>
      <c r="MT254" s="67"/>
      <c r="MU254" s="67"/>
      <c r="MV254" s="67"/>
      <c r="MW254" s="67"/>
      <c r="MX254" s="67"/>
      <c r="MY254" s="67"/>
      <c r="MZ254" s="67"/>
      <c r="NA254" s="67"/>
      <c r="NB254" s="67"/>
      <c r="NC254" s="67"/>
      <c r="ND254" s="67"/>
      <c r="NE254" s="67"/>
      <c r="NF254" s="67"/>
      <c r="NG254" s="67"/>
      <c r="NH254" s="67"/>
      <c r="NI254" s="67"/>
      <c r="NJ254" s="67"/>
      <c r="NK254" s="67"/>
      <c r="NL254" s="67"/>
      <c r="NM254" s="67"/>
      <c r="NN254" s="67"/>
      <c r="NO254" s="67"/>
      <c r="NP254" s="67"/>
      <c r="NQ254" s="67"/>
      <c r="NR254" s="67"/>
      <c r="NS254" s="67"/>
      <c r="NT254" s="67"/>
      <c r="NU254" s="67"/>
      <c r="NV254" s="67"/>
      <c r="NW254" s="67"/>
      <c r="NX254" s="67"/>
      <c r="NY254" s="67"/>
      <c r="NZ254" s="67"/>
      <c r="OA254" s="67"/>
      <c r="OB254" s="67"/>
      <c r="OC254" s="67"/>
      <c r="OD254" s="67"/>
      <c r="OE254" s="67"/>
      <c r="OF254" s="67"/>
      <c r="OG254" s="67"/>
      <c r="OH254" s="67"/>
      <c r="OI254" s="67"/>
      <c r="OJ254" s="67"/>
      <c r="OK254" s="67"/>
      <c r="OL254" s="67"/>
      <c r="OM254" s="67"/>
      <c r="ON254" s="67"/>
      <c r="OO254" s="67"/>
      <c r="OP254" s="67"/>
      <c r="OQ254" s="67"/>
      <c r="OR254" s="67"/>
      <c r="OS254" s="67"/>
      <c r="OT254" s="67"/>
      <c r="OU254" s="67"/>
      <c r="OV254" s="67"/>
      <c r="OW254" s="67"/>
      <c r="OX254" s="67"/>
      <c r="OY254" s="67"/>
      <c r="OZ254" s="67"/>
      <c r="PA254" s="67"/>
      <c r="PB254" s="67"/>
      <c r="PC254" s="67"/>
      <c r="PD254" s="67"/>
      <c r="PE254" s="67"/>
      <c r="PF254" s="67"/>
      <c r="PG254" s="67"/>
      <c r="PH254" s="67"/>
      <c r="PI254" s="67"/>
      <c r="PJ254" s="67"/>
      <c r="PK254" s="67"/>
      <c r="PL254" s="67"/>
      <c r="PM254" s="67"/>
      <c r="PN254" s="67"/>
      <c r="PO254" s="67"/>
      <c r="PP254" s="67"/>
      <c r="PQ254" s="67"/>
      <c r="PR254" s="67"/>
      <c r="PS254" s="67"/>
      <c r="PT254" s="67"/>
      <c r="PU254" s="67"/>
      <c r="PV254" s="67"/>
      <c r="PW254" s="67"/>
      <c r="PX254" s="67"/>
      <c r="PY254" s="67"/>
      <c r="PZ254" s="67"/>
      <c r="QA254" s="67"/>
      <c r="QB254" s="67"/>
      <c r="QC254" s="67"/>
      <c r="QD254" s="67"/>
      <c r="QE254" s="67"/>
      <c r="QF254" s="67"/>
      <c r="QG254" s="67"/>
      <c r="QH254" s="67"/>
      <c r="QI254" s="67"/>
      <c r="QJ254" s="67"/>
      <c r="QK254" s="67"/>
      <c r="QL254" s="67"/>
      <c r="QM254" s="67"/>
      <c r="QN254" s="67"/>
      <c r="QO254" s="67"/>
      <c r="QP254" s="67"/>
      <c r="QQ254" s="67"/>
      <c r="QR254" s="67"/>
      <c r="QS254" s="67"/>
      <c r="QT254" s="67"/>
      <c r="QU254" s="67"/>
      <c r="QV254" s="67"/>
      <c r="QW254" s="67"/>
      <c r="QX254" s="67"/>
      <c r="QY254" s="67"/>
      <c r="QZ254" s="67"/>
      <c r="RA254" s="67"/>
      <c r="RB254" s="67"/>
      <c r="RC254" s="67"/>
      <c r="RD254" s="67"/>
      <c r="RE254" s="67"/>
      <c r="RF254" s="67"/>
      <c r="RG254" s="67"/>
      <c r="RH254" s="67"/>
      <c r="RI254" s="67"/>
      <c r="RJ254" s="67"/>
      <c r="RK254" s="67"/>
      <c r="RL254" s="67"/>
      <c r="RM254" s="67"/>
      <c r="RN254" s="67"/>
      <c r="RO254" s="67"/>
      <c r="RP254" s="67"/>
      <c r="RQ254" s="67"/>
      <c r="RR254" s="67"/>
      <c r="RS254" s="67"/>
      <c r="RT254" s="67"/>
      <c r="RU254" s="67"/>
      <c r="RV254" s="67"/>
      <c r="RW254" s="67"/>
      <c r="RX254" s="67"/>
      <c r="RY254" s="67"/>
      <c r="RZ254" s="67"/>
      <c r="SA254" s="67"/>
      <c r="SB254" s="67"/>
      <c r="SC254" s="67"/>
      <c r="SD254" s="67"/>
      <c r="SE254" s="67"/>
      <c r="SF254" s="67"/>
      <c r="SG254" s="67"/>
      <c r="SH254" s="67"/>
      <c r="SI254" s="67"/>
      <c r="SJ254" s="67"/>
      <c r="SK254" s="67"/>
      <c r="SL254" s="67"/>
      <c r="SM254" s="67"/>
      <c r="SN254" s="67"/>
      <c r="SO254" s="67"/>
      <c r="SP254" s="67"/>
      <c r="SQ254" s="67"/>
      <c r="SR254" s="67"/>
      <c r="SS254" s="67"/>
      <c r="ST254" s="67"/>
      <c r="SU254" s="67"/>
      <c r="SV254" s="67"/>
      <c r="SW254" s="67"/>
      <c r="SX254" s="67"/>
      <c r="SY254" s="67"/>
      <c r="SZ254" s="67"/>
      <c r="TA254" s="67"/>
      <c r="TB254" s="67"/>
      <c r="TC254" s="67"/>
      <c r="TD254" s="67"/>
      <c r="TE254" s="67"/>
      <c r="TF254" s="67"/>
      <c r="TG254" s="67"/>
      <c r="TH254" s="67"/>
      <c r="TI254" s="67"/>
      <c r="TJ254" s="67"/>
      <c r="TK254" s="67"/>
      <c r="TL254" s="67"/>
      <c r="TM254" s="67"/>
      <c r="TN254" s="67"/>
      <c r="TO254" s="67"/>
      <c r="TP254" s="67"/>
      <c r="TQ254" s="67"/>
      <c r="TR254" s="67"/>
      <c r="TS254" s="67"/>
      <c r="TT254" s="67"/>
      <c r="TU254" s="67"/>
      <c r="TV254" s="67"/>
      <c r="TW254" s="67"/>
      <c r="TX254" s="67"/>
      <c r="TY254" s="67"/>
      <c r="TZ254" s="67"/>
      <c r="UA254" s="67"/>
      <c r="UB254" s="67"/>
      <c r="UC254" s="67"/>
      <c r="UD254" s="67"/>
      <c r="UE254" s="67"/>
      <c r="UF254" s="67"/>
      <c r="UG254" s="67"/>
      <c r="UH254" s="67"/>
      <c r="UI254" s="67"/>
      <c r="UJ254" s="67"/>
      <c r="UK254" s="67"/>
      <c r="UL254" s="67"/>
      <c r="UM254" s="67"/>
      <c r="UN254" s="67"/>
      <c r="UO254" s="67"/>
      <c r="UP254" s="67"/>
      <c r="UQ254" s="67"/>
      <c r="UR254" s="67"/>
      <c r="US254" s="67"/>
      <c r="UT254" s="67"/>
      <c r="UU254" s="67"/>
      <c r="UV254" s="67"/>
      <c r="UW254" s="67"/>
      <c r="UX254" s="67"/>
      <c r="UY254" s="67"/>
      <c r="UZ254" s="67"/>
      <c r="VA254" s="67"/>
      <c r="VB254" s="67"/>
      <c r="VC254" s="67"/>
      <c r="VD254" s="67"/>
      <c r="VE254" s="67"/>
      <c r="VF254" s="67"/>
      <c r="VG254" s="67"/>
      <c r="VH254" s="67"/>
      <c r="VI254" s="67"/>
      <c r="VJ254" s="67"/>
      <c r="VK254" s="67"/>
      <c r="VL254" s="67"/>
      <c r="VM254" s="67"/>
      <c r="VN254" s="67"/>
      <c r="VO254" s="67"/>
      <c r="VP254" s="67"/>
      <c r="VQ254" s="67"/>
      <c r="VR254" s="67"/>
      <c r="VS254" s="67"/>
      <c r="VT254" s="67"/>
      <c r="VU254" s="67"/>
      <c r="VV254" s="67"/>
      <c r="VW254" s="67"/>
      <c r="VX254" s="67"/>
      <c r="VY254" s="67"/>
      <c r="VZ254" s="67"/>
      <c r="WA254" s="67"/>
      <c r="WB254" s="67"/>
      <c r="WC254" s="67"/>
      <c r="WD254" s="67"/>
      <c r="WE254" s="67"/>
      <c r="WF254" s="67"/>
      <c r="WG254" s="67"/>
      <c r="WH254" s="67"/>
      <c r="WI254" s="67"/>
      <c r="WJ254" s="67"/>
      <c r="WK254" s="67"/>
      <c r="WL254" s="67"/>
      <c r="WM254" s="67"/>
      <c r="WN254" s="67"/>
      <c r="WO254" s="67"/>
      <c r="WP254" s="67"/>
      <c r="WQ254" s="67"/>
      <c r="WR254" s="67"/>
      <c r="WS254" s="67"/>
      <c r="WT254" s="67"/>
      <c r="WU254" s="67"/>
      <c r="WV254" s="67"/>
      <c r="WW254" s="67"/>
      <c r="WX254" s="67"/>
      <c r="WY254" s="67"/>
      <c r="WZ254" s="67"/>
      <c r="XA254" s="67"/>
      <c r="XB254" s="67"/>
      <c r="XC254" s="67"/>
      <c r="XD254" s="67"/>
      <c r="XE254" s="67"/>
      <c r="XF254" s="67"/>
      <c r="XG254" s="67"/>
      <c r="XH254" s="67"/>
      <c r="XI254" s="67"/>
      <c r="XJ254" s="67"/>
      <c r="XK254" s="67"/>
      <c r="XL254" s="67"/>
      <c r="XM254" s="67"/>
      <c r="XN254" s="67"/>
      <c r="XO254" s="67"/>
      <c r="XP254" s="67"/>
      <c r="XQ254" s="67"/>
      <c r="XR254" s="67"/>
      <c r="XS254" s="67"/>
      <c r="XT254" s="67"/>
      <c r="XU254" s="67"/>
      <c r="XV254" s="67"/>
      <c r="XW254" s="67"/>
      <c r="XX254" s="67"/>
      <c r="XY254" s="67"/>
      <c r="XZ254" s="67"/>
      <c r="YA254" s="67"/>
      <c r="YB254" s="67"/>
      <c r="YC254" s="67"/>
      <c r="YD254" s="67"/>
      <c r="YE254" s="67"/>
      <c r="YF254" s="67"/>
      <c r="YG254" s="67"/>
      <c r="YH254" s="67"/>
      <c r="YI254" s="67"/>
      <c r="YJ254" s="67"/>
      <c r="YK254" s="67"/>
      <c r="YL254" s="67"/>
      <c r="YM254" s="67"/>
      <c r="YN254" s="67"/>
      <c r="YO254" s="67"/>
      <c r="YP254" s="67"/>
      <c r="YQ254" s="67"/>
      <c r="YR254" s="67"/>
      <c r="YS254" s="67"/>
      <c r="YT254" s="67"/>
      <c r="YU254" s="67"/>
      <c r="YV254" s="67"/>
      <c r="YW254" s="67"/>
      <c r="YX254" s="67"/>
      <c r="YY254" s="67"/>
      <c r="YZ254" s="67"/>
      <c r="ZA254" s="67"/>
      <c r="ZB254" s="67"/>
      <c r="ZC254" s="67"/>
      <c r="ZD254" s="67"/>
      <c r="ZE254" s="67"/>
      <c r="ZF254" s="67"/>
      <c r="ZG254" s="67"/>
      <c r="ZH254" s="67"/>
      <c r="ZI254" s="67"/>
      <c r="ZJ254" s="67"/>
      <c r="ZK254" s="67"/>
      <c r="ZL254" s="67"/>
      <c r="ZM254" s="67"/>
      <c r="ZN254" s="67"/>
      <c r="ZO254" s="67"/>
      <c r="ZP254" s="67"/>
      <c r="ZQ254" s="67"/>
      <c r="ZR254" s="67"/>
      <c r="ZS254" s="67"/>
      <c r="ZT254" s="67"/>
      <c r="ZU254" s="67"/>
      <c r="ZV254" s="67"/>
      <c r="ZW254" s="67"/>
      <c r="ZX254" s="67"/>
      <c r="ZY254" s="67"/>
      <c r="ZZ254" s="67"/>
      <c r="AAA254" s="67"/>
      <c r="AAB254" s="67"/>
      <c r="AAC254" s="67"/>
      <c r="AAD254" s="67"/>
      <c r="AAE254" s="67"/>
      <c r="AAF254" s="67"/>
      <c r="AAG254" s="67"/>
      <c r="AAH254" s="67"/>
      <c r="AAI254" s="67"/>
      <c r="AAJ254" s="67"/>
      <c r="AAK254" s="67"/>
      <c r="AAL254" s="67"/>
      <c r="AAM254" s="67"/>
      <c r="AAN254" s="67"/>
      <c r="AAO254" s="67"/>
      <c r="AAP254" s="67"/>
      <c r="AAQ254" s="67"/>
      <c r="AAR254" s="67"/>
      <c r="AAS254" s="67"/>
      <c r="AAT254" s="67"/>
      <c r="AAU254" s="67"/>
      <c r="AAV254" s="67"/>
      <c r="AAW254" s="67"/>
      <c r="AAX254" s="67"/>
      <c r="AAY254" s="67"/>
      <c r="AAZ254" s="67"/>
      <c r="ABA254" s="67"/>
      <c r="ABB254" s="67"/>
      <c r="ABC254" s="67"/>
      <c r="ABD254" s="67"/>
      <c r="ABE254" s="67"/>
      <c r="ABF254" s="67"/>
      <c r="ABG254" s="67"/>
      <c r="ABH254" s="67"/>
      <c r="ABI254" s="67"/>
      <c r="ABJ254" s="67"/>
      <c r="ABK254" s="67"/>
      <c r="ABL254" s="67"/>
      <c r="ABM254" s="67"/>
      <c r="ABN254" s="67"/>
      <c r="ABO254" s="67"/>
      <c r="ABP254" s="67"/>
      <c r="ABQ254" s="67"/>
      <c r="ABR254" s="67"/>
      <c r="ABS254" s="67"/>
      <c r="ABT254" s="67"/>
      <c r="ABU254" s="67"/>
      <c r="ABV254" s="67"/>
      <c r="ABW254" s="67"/>
      <c r="ABX254" s="67"/>
      <c r="ABY254" s="67"/>
      <c r="ABZ254" s="67"/>
      <c r="ACA254" s="67"/>
      <c r="ACB254" s="67"/>
      <c r="ACC254" s="67"/>
      <c r="ACD254" s="67"/>
      <c r="ACE254" s="67"/>
      <c r="ACF254" s="67"/>
      <c r="ACG254" s="67"/>
      <c r="ACH254" s="67"/>
      <c r="ACI254" s="67"/>
      <c r="ACJ254" s="67"/>
      <c r="ACK254" s="67"/>
      <c r="ACL254" s="67"/>
      <c r="ACM254" s="67"/>
      <c r="ACN254" s="67"/>
      <c r="ACO254" s="67"/>
      <c r="ACP254" s="67"/>
      <c r="ACQ254" s="67"/>
      <c r="ACR254" s="67"/>
      <c r="ACS254" s="67"/>
      <c r="ACT254" s="67"/>
      <c r="ACU254" s="67"/>
      <c r="ACV254" s="67"/>
      <c r="ACW254" s="67"/>
      <c r="ACX254" s="67"/>
      <c r="ACY254" s="67"/>
      <c r="ACZ254" s="67"/>
      <c r="ADA254" s="67"/>
      <c r="ADB254" s="67"/>
      <c r="ADC254" s="67"/>
      <c r="ADD254" s="67"/>
      <c r="ADE254" s="67"/>
      <c r="ADF254" s="67"/>
      <c r="ADG254" s="67"/>
      <c r="ADH254" s="67"/>
      <c r="ADI254" s="67"/>
      <c r="ADJ254" s="67"/>
      <c r="ADK254" s="67"/>
      <c r="ADL254" s="67"/>
      <c r="ADM254" s="67"/>
      <c r="ADN254" s="67"/>
      <c r="ADO254" s="67"/>
      <c r="ADP254" s="67"/>
      <c r="ADQ254" s="67"/>
      <c r="ADR254" s="67"/>
      <c r="ADS254" s="67"/>
      <c r="ADT254" s="67"/>
      <c r="ADU254" s="67"/>
      <c r="ADV254" s="67"/>
      <c r="ADW254" s="67"/>
      <c r="ADX254" s="67"/>
      <c r="ADY254" s="67"/>
      <c r="ADZ254" s="67"/>
      <c r="AEA254" s="67"/>
      <c r="AEB254" s="67"/>
      <c r="AEC254" s="67"/>
      <c r="AED254" s="67"/>
      <c r="AEE254" s="67"/>
      <c r="AEF254" s="67"/>
      <c r="AEG254" s="67"/>
      <c r="AEH254" s="67"/>
      <c r="AEI254" s="67"/>
      <c r="AEJ254" s="67"/>
      <c r="AEK254" s="67"/>
      <c r="AEL254" s="67"/>
      <c r="AEM254" s="67"/>
      <c r="AEN254" s="67"/>
      <c r="AEO254" s="67"/>
      <c r="AEP254" s="67"/>
      <c r="AEQ254" s="67"/>
      <c r="AER254" s="67"/>
      <c r="AES254" s="67"/>
      <c r="AET254" s="67"/>
      <c r="AEU254" s="67"/>
      <c r="AEV254" s="67"/>
      <c r="AEW254" s="67"/>
      <c r="AEX254" s="67"/>
      <c r="AEY254" s="67"/>
      <c r="AEZ254" s="67"/>
      <c r="AFA254" s="67"/>
      <c r="AFB254" s="67"/>
      <c r="AFC254" s="67"/>
      <c r="AFD254" s="67"/>
      <c r="AFE254" s="67"/>
      <c r="AFF254" s="67"/>
      <c r="AFG254" s="67"/>
      <c r="AFH254" s="67"/>
      <c r="AFI254" s="67"/>
      <c r="AFJ254" s="67"/>
      <c r="AFK254" s="67"/>
      <c r="AFL254" s="67"/>
      <c r="AFM254" s="67"/>
      <c r="AFN254" s="67"/>
      <c r="AFO254" s="67"/>
      <c r="AFP254" s="67"/>
      <c r="AFQ254" s="67"/>
      <c r="AFR254" s="67"/>
      <c r="AFS254" s="67"/>
      <c r="AFT254" s="67"/>
      <c r="AFU254" s="67"/>
    </row>
    <row r="255" spans="1:853" s="68" customFormat="1" hidden="1" x14ac:dyDescent="0.3">
      <c r="A255" s="15">
        <v>235</v>
      </c>
      <c r="B255" s="66" t="s">
        <v>34</v>
      </c>
      <c r="C255" s="21" t="s">
        <v>32</v>
      </c>
      <c r="D255" s="24">
        <v>1</v>
      </c>
      <c r="E255" s="24">
        <v>1</v>
      </c>
      <c r="F255" s="37">
        <f t="shared" si="11"/>
        <v>2</v>
      </c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  <c r="AT255" s="67"/>
      <c r="AU255" s="67"/>
      <c r="AV255" s="67"/>
      <c r="AW255" s="67"/>
      <c r="AX255" s="67"/>
      <c r="AY255" s="67"/>
      <c r="AZ255" s="67"/>
      <c r="BA255" s="67"/>
      <c r="BB255" s="67"/>
      <c r="BC255" s="67"/>
      <c r="BD255" s="67"/>
      <c r="BE255" s="67"/>
      <c r="BF255" s="67"/>
      <c r="BG255" s="67"/>
      <c r="BH255" s="67"/>
      <c r="BI255" s="67"/>
      <c r="BJ255" s="67"/>
      <c r="BK255" s="67"/>
      <c r="BL255" s="67"/>
      <c r="BM255" s="67"/>
      <c r="BN255" s="67"/>
      <c r="BO255" s="67"/>
      <c r="BP255" s="67"/>
      <c r="BQ255" s="67"/>
      <c r="BR255" s="67"/>
      <c r="BS255" s="67"/>
      <c r="BT255" s="67"/>
      <c r="BU255" s="67"/>
      <c r="BV255" s="67"/>
      <c r="BW255" s="67"/>
      <c r="BX255" s="67"/>
      <c r="BY255" s="67"/>
      <c r="BZ255" s="67"/>
      <c r="CA255" s="67"/>
      <c r="CB255" s="67"/>
      <c r="CC255" s="67"/>
      <c r="CD255" s="67"/>
      <c r="CE255" s="67"/>
      <c r="CF255" s="67"/>
      <c r="CG255" s="67"/>
      <c r="CH255" s="67"/>
      <c r="CI255" s="67"/>
      <c r="CJ255" s="67"/>
      <c r="CK255" s="67"/>
      <c r="CL255" s="67"/>
      <c r="CM255" s="67"/>
      <c r="CN255" s="67"/>
      <c r="CO255" s="67"/>
      <c r="CP255" s="67"/>
      <c r="CQ255" s="67"/>
      <c r="CR255" s="67"/>
      <c r="CS255" s="67"/>
      <c r="CT255" s="67"/>
      <c r="CU255" s="67"/>
      <c r="CV255" s="67"/>
      <c r="CW255" s="67"/>
      <c r="CX255" s="67"/>
      <c r="CY255" s="67"/>
      <c r="CZ255" s="67"/>
      <c r="DA255" s="67"/>
      <c r="DB255" s="67"/>
      <c r="DC255" s="67"/>
      <c r="DD255" s="67"/>
      <c r="DE255" s="67"/>
      <c r="DF255" s="67"/>
      <c r="DG255" s="67"/>
      <c r="DH255" s="67"/>
      <c r="DI255" s="67"/>
      <c r="DJ255" s="67"/>
      <c r="DK255" s="67"/>
      <c r="DL255" s="67"/>
      <c r="DM255" s="67"/>
      <c r="DN255" s="67"/>
      <c r="DO255" s="67"/>
      <c r="DP255" s="67"/>
      <c r="DQ255" s="67"/>
      <c r="DR255" s="67"/>
      <c r="DS255" s="67"/>
      <c r="DT255" s="67"/>
      <c r="DU255" s="67"/>
      <c r="DV255" s="67"/>
      <c r="DW255" s="67"/>
      <c r="DX255" s="67"/>
      <c r="DY255" s="67"/>
      <c r="DZ255" s="67"/>
      <c r="EA255" s="67"/>
      <c r="EB255" s="67"/>
      <c r="EC255" s="67"/>
      <c r="ED255" s="67"/>
      <c r="EE255" s="67"/>
      <c r="EF255" s="67"/>
      <c r="EG255" s="67"/>
      <c r="EH255" s="67"/>
      <c r="EI255" s="67"/>
      <c r="EJ255" s="67"/>
      <c r="EK255" s="67"/>
      <c r="EL255" s="67"/>
      <c r="EM255" s="67"/>
      <c r="EN255" s="67"/>
      <c r="EO255" s="67"/>
      <c r="EP255" s="67"/>
      <c r="EQ255" s="67"/>
      <c r="ER255" s="67"/>
      <c r="ES255" s="67"/>
      <c r="ET255" s="67"/>
      <c r="EU255" s="67"/>
      <c r="EV255" s="67"/>
      <c r="EW255" s="67"/>
      <c r="EX255" s="67"/>
      <c r="EY255" s="67"/>
      <c r="EZ255" s="67"/>
      <c r="FA255" s="67"/>
      <c r="FB255" s="67"/>
      <c r="FC255" s="67"/>
      <c r="FD255" s="67"/>
      <c r="FE255" s="67"/>
      <c r="FF255" s="67"/>
      <c r="FG255" s="67"/>
      <c r="FH255" s="67"/>
      <c r="FI255" s="67"/>
      <c r="FJ255" s="67"/>
      <c r="FK255" s="67"/>
      <c r="FL255" s="67"/>
      <c r="FM255" s="67"/>
      <c r="FN255" s="67"/>
      <c r="FO255" s="67"/>
      <c r="FP255" s="67"/>
      <c r="FQ255" s="67"/>
      <c r="FR255" s="67"/>
      <c r="FS255" s="67"/>
      <c r="FT255" s="67"/>
      <c r="FU255" s="67"/>
      <c r="FV255" s="67"/>
      <c r="FW255" s="67"/>
      <c r="FX255" s="67"/>
      <c r="FY255" s="67"/>
      <c r="FZ255" s="67"/>
      <c r="GA255" s="67"/>
      <c r="GB255" s="67"/>
      <c r="GC255" s="67"/>
      <c r="GD255" s="67"/>
      <c r="GE255" s="67"/>
      <c r="GF255" s="67"/>
      <c r="GG255" s="67"/>
      <c r="GH255" s="67"/>
      <c r="GI255" s="67"/>
      <c r="GJ255" s="67"/>
      <c r="GK255" s="67"/>
      <c r="GL255" s="67"/>
      <c r="GM255" s="67"/>
      <c r="GN255" s="67"/>
      <c r="GO255" s="67"/>
      <c r="GP255" s="67"/>
      <c r="GQ255" s="67"/>
      <c r="GR255" s="67"/>
      <c r="GS255" s="67"/>
      <c r="GT255" s="67"/>
      <c r="GU255" s="67"/>
      <c r="GV255" s="67"/>
      <c r="GW255" s="67"/>
      <c r="GX255" s="67"/>
      <c r="GY255" s="67"/>
      <c r="GZ255" s="67"/>
      <c r="HA255" s="67"/>
      <c r="HB255" s="67"/>
      <c r="HC255" s="67"/>
      <c r="HD255" s="67"/>
      <c r="HE255" s="67"/>
      <c r="HF255" s="67"/>
      <c r="HG255" s="67"/>
      <c r="HH255" s="67"/>
      <c r="HI255" s="67"/>
      <c r="HJ255" s="67"/>
      <c r="HK255" s="67"/>
      <c r="HL255" s="67"/>
      <c r="HM255" s="67"/>
      <c r="HN255" s="67"/>
      <c r="HO255" s="67"/>
      <c r="HP255" s="67"/>
      <c r="HQ255" s="67"/>
      <c r="HR255" s="67"/>
      <c r="HS255" s="67"/>
      <c r="HT255" s="67"/>
      <c r="HU255" s="67"/>
      <c r="HV255" s="67"/>
      <c r="HW255" s="67"/>
      <c r="HX255" s="67"/>
      <c r="HY255" s="67"/>
      <c r="HZ255" s="67"/>
      <c r="IA255" s="67"/>
      <c r="IB255" s="67"/>
      <c r="IC255" s="67"/>
      <c r="ID255" s="67"/>
      <c r="IE255" s="67"/>
      <c r="IF255" s="67"/>
      <c r="IG255" s="67"/>
      <c r="IH255" s="67"/>
      <c r="II255" s="67"/>
      <c r="IJ255" s="67"/>
      <c r="IK255" s="67"/>
      <c r="IL255" s="67"/>
      <c r="IM255" s="67"/>
      <c r="IN255" s="67"/>
      <c r="IO255" s="67"/>
      <c r="IP255" s="67"/>
      <c r="IQ255" s="67"/>
      <c r="IR255" s="67"/>
      <c r="IS255" s="67"/>
      <c r="IT255" s="67"/>
      <c r="IU255" s="67"/>
      <c r="IV255" s="67"/>
      <c r="IW255" s="67"/>
      <c r="IX255" s="67"/>
      <c r="IY255" s="67"/>
      <c r="IZ255" s="67"/>
      <c r="JA255" s="67"/>
      <c r="JB255" s="67"/>
      <c r="JC255" s="67"/>
      <c r="JD255" s="67"/>
      <c r="JE255" s="67"/>
      <c r="JF255" s="67"/>
      <c r="JG255" s="67"/>
      <c r="JH255" s="67"/>
      <c r="JI255" s="67"/>
      <c r="JJ255" s="67"/>
      <c r="JK255" s="67"/>
      <c r="JL255" s="67"/>
      <c r="JM255" s="67"/>
      <c r="JN255" s="67"/>
      <c r="JO255" s="67"/>
      <c r="JP255" s="67"/>
      <c r="JQ255" s="67"/>
      <c r="JR255" s="67"/>
      <c r="JS255" s="67"/>
      <c r="JT255" s="67"/>
      <c r="JU255" s="67"/>
      <c r="JV255" s="67"/>
      <c r="JW255" s="67"/>
      <c r="JX255" s="67"/>
      <c r="JY255" s="67"/>
      <c r="JZ255" s="67"/>
      <c r="KA255" s="67"/>
      <c r="KB255" s="67"/>
      <c r="KC255" s="67"/>
      <c r="KD255" s="67"/>
      <c r="KE255" s="67"/>
      <c r="KF255" s="67"/>
      <c r="KG255" s="67"/>
      <c r="KH255" s="67"/>
      <c r="KI255" s="67"/>
      <c r="KJ255" s="67"/>
      <c r="KK255" s="67"/>
      <c r="KL255" s="67"/>
      <c r="KM255" s="67"/>
      <c r="KN255" s="67"/>
      <c r="KO255" s="67"/>
      <c r="KP255" s="67"/>
      <c r="KQ255" s="67"/>
      <c r="KR255" s="67"/>
      <c r="KS255" s="67"/>
      <c r="KT255" s="67"/>
      <c r="KU255" s="67"/>
      <c r="KV255" s="67"/>
      <c r="KW255" s="67"/>
      <c r="KX255" s="67"/>
      <c r="KY255" s="67"/>
      <c r="KZ255" s="67"/>
      <c r="LA255" s="67"/>
      <c r="LB255" s="67"/>
      <c r="LC255" s="67"/>
      <c r="LD255" s="67"/>
      <c r="LE255" s="67"/>
      <c r="LF255" s="67"/>
      <c r="LG255" s="67"/>
      <c r="LH255" s="67"/>
      <c r="LI255" s="67"/>
      <c r="LJ255" s="67"/>
      <c r="LK255" s="67"/>
      <c r="LL255" s="67"/>
      <c r="LM255" s="67"/>
      <c r="LN255" s="67"/>
      <c r="LO255" s="67"/>
      <c r="LP255" s="67"/>
      <c r="LQ255" s="67"/>
      <c r="LR255" s="67"/>
      <c r="LS255" s="67"/>
      <c r="LT255" s="67"/>
      <c r="LU255" s="67"/>
      <c r="LV255" s="67"/>
      <c r="LW255" s="67"/>
      <c r="LX255" s="67"/>
      <c r="LY255" s="67"/>
      <c r="LZ255" s="67"/>
      <c r="MA255" s="67"/>
      <c r="MB255" s="67"/>
      <c r="MC255" s="67"/>
      <c r="MD255" s="67"/>
      <c r="ME255" s="67"/>
      <c r="MF255" s="67"/>
      <c r="MG255" s="67"/>
      <c r="MH255" s="67"/>
      <c r="MI255" s="67"/>
      <c r="MJ255" s="67"/>
      <c r="MK255" s="67"/>
      <c r="ML255" s="67"/>
      <c r="MM255" s="67"/>
      <c r="MN255" s="67"/>
      <c r="MO255" s="67"/>
      <c r="MP255" s="67"/>
      <c r="MQ255" s="67"/>
      <c r="MR255" s="67"/>
      <c r="MS255" s="67"/>
      <c r="MT255" s="67"/>
      <c r="MU255" s="67"/>
      <c r="MV255" s="67"/>
      <c r="MW255" s="67"/>
      <c r="MX255" s="67"/>
      <c r="MY255" s="67"/>
      <c r="MZ255" s="67"/>
      <c r="NA255" s="67"/>
      <c r="NB255" s="67"/>
      <c r="NC255" s="67"/>
      <c r="ND255" s="67"/>
      <c r="NE255" s="67"/>
      <c r="NF255" s="67"/>
      <c r="NG255" s="67"/>
      <c r="NH255" s="67"/>
      <c r="NI255" s="67"/>
      <c r="NJ255" s="67"/>
      <c r="NK255" s="67"/>
      <c r="NL255" s="67"/>
      <c r="NM255" s="67"/>
      <c r="NN255" s="67"/>
      <c r="NO255" s="67"/>
      <c r="NP255" s="67"/>
      <c r="NQ255" s="67"/>
      <c r="NR255" s="67"/>
      <c r="NS255" s="67"/>
      <c r="NT255" s="67"/>
      <c r="NU255" s="67"/>
      <c r="NV255" s="67"/>
      <c r="NW255" s="67"/>
      <c r="NX255" s="67"/>
      <c r="NY255" s="67"/>
      <c r="NZ255" s="67"/>
      <c r="OA255" s="67"/>
      <c r="OB255" s="67"/>
      <c r="OC255" s="67"/>
      <c r="OD255" s="67"/>
      <c r="OE255" s="67"/>
      <c r="OF255" s="67"/>
      <c r="OG255" s="67"/>
      <c r="OH255" s="67"/>
      <c r="OI255" s="67"/>
      <c r="OJ255" s="67"/>
      <c r="OK255" s="67"/>
      <c r="OL255" s="67"/>
      <c r="OM255" s="67"/>
      <c r="ON255" s="67"/>
      <c r="OO255" s="67"/>
      <c r="OP255" s="67"/>
      <c r="OQ255" s="67"/>
      <c r="OR255" s="67"/>
      <c r="OS255" s="67"/>
      <c r="OT255" s="67"/>
      <c r="OU255" s="67"/>
      <c r="OV255" s="67"/>
      <c r="OW255" s="67"/>
      <c r="OX255" s="67"/>
      <c r="OY255" s="67"/>
      <c r="OZ255" s="67"/>
      <c r="PA255" s="67"/>
      <c r="PB255" s="67"/>
      <c r="PC255" s="67"/>
      <c r="PD255" s="67"/>
      <c r="PE255" s="67"/>
      <c r="PF255" s="67"/>
      <c r="PG255" s="67"/>
      <c r="PH255" s="67"/>
      <c r="PI255" s="67"/>
      <c r="PJ255" s="67"/>
      <c r="PK255" s="67"/>
      <c r="PL255" s="67"/>
      <c r="PM255" s="67"/>
      <c r="PN255" s="67"/>
      <c r="PO255" s="67"/>
      <c r="PP255" s="67"/>
      <c r="PQ255" s="67"/>
      <c r="PR255" s="67"/>
      <c r="PS255" s="67"/>
      <c r="PT255" s="67"/>
      <c r="PU255" s="67"/>
      <c r="PV255" s="67"/>
      <c r="PW255" s="67"/>
      <c r="PX255" s="67"/>
      <c r="PY255" s="67"/>
      <c r="PZ255" s="67"/>
      <c r="QA255" s="67"/>
      <c r="QB255" s="67"/>
      <c r="QC255" s="67"/>
      <c r="QD255" s="67"/>
      <c r="QE255" s="67"/>
      <c r="QF255" s="67"/>
      <c r="QG255" s="67"/>
      <c r="QH255" s="67"/>
      <c r="QI255" s="67"/>
      <c r="QJ255" s="67"/>
      <c r="QK255" s="67"/>
      <c r="QL255" s="67"/>
      <c r="QM255" s="67"/>
      <c r="QN255" s="67"/>
      <c r="QO255" s="67"/>
      <c r="QP255" s="67"/>
      <c r="QQ255" s="67"/>
      <c r="QR255" s="67"/>
      <c r="QS255" s="67"/>
      <c r="QT255" s="67"/>
      <c r="QU255" s="67"/>
      <c r="QV255" s="67"/>
      <c r="QW255" s="67"/>
      <c r="QX255" s="67"/>
      <c r="QY255" s="67"/>
      <c r="QZ255" s="67"/>
      <c r="RA255" s="67"/>
      <c r="RB255" s="67"/>
      <c r="RC255" s="67"/>
      <c r="RD255" s="67"/>
      <c r="RE255" s="67"/>
      <c r="RF255" s="67"/>
      <c r="RG255" s="67"/>
      <c r="RH255" s="67"/>
      <c r="RI255" s="67"/>
      <c r="RJ255" s="67"/>
      <c r="RK255" s="67"/>
      <c r="RL255" s="67"/>
      <c r="RM255" s="67"/>
      <c r="RN255" s="67"/>
      <c r="RO255" s="67"/>
      <c r="RP255" s="67"/>
      <c r="RQ255" s="67"/>
      <c r="RR255" s="67"/>
      <c r="RS255" s="67"/>
      <c r="RT255" s="67"/>
      <c r="RU255" s="67"/>
      <c r="RV255" s="67"/>
      <c r="RW255" s="67"/>
      <c r="RX255" s="67"/>
      <c r="RY255" s="67"/>
      <c r="RZ255" s="67"/>
      <c r="SA255" s="67"/>
      <c r="SB255" s="67"/>
      <c r="SC255" s="67"/>
      <c r="SD255" s="67"/>
      <c r="SE255" s="67"/>
      <c r="SF255" s="67"/>
      <c r="SG255" s="67"/>
      <c r="SH255" s="67"/>
      <c r="SI255" s="67"/>
      <c r="SJ255" s="67"/>
      <c r="SK255" s="67"/>
      <c r="SL255" s="67"/>
      <c r="SM255" s="67"/>
      <c r="SN255" s="67"/>
      <c r="SO255" s="67"/>
      <c r="SP255" s="67"/>
      <c r="SQ255" s="67"/>
      <c r="SR255" s="67"/>
      <c r="SS255" s="67"/>
      <c r="ST255" s="67"/>
      <c r="SU255" s="67"/>
      <c r="SV255" s="67"/>
      <c r="SW255" s="67"/>
      <c r="SX255" s="67"/>
      <c r="SY255" s="67"/>
      <c r="SZ255" s="67"/>
      <c r="TA255" s="67"/>
      <c r="TB255" s="67"/>
      <c r="TC255" s="67"/>
      <c r="TD255" s="67"/>
      <c r="TE255" s="67"/>
      <c r="TF255" s="67"/>
      <c r="TG255" s="67"/>
      <c r="TH255" s="67"/>
      <c r="TI255" s="67"/>
      <c r="TJ255" s="67"/>
      <c r="TK255" s="67"/>
      <c r="TL255" s="67"/>
      <c r="TM255" s="67"/>
      <c r="TN255" s="67"/>
      <c r="TO255" s="67"/>
      <c r="TP255" s="67"/>
      <c r="TQ255" s="67"/>
      <c r="TR255" s="67"/>
      <c r="TS255" s="67"/>
      <c r="TT255" s="67"/>
      <c r="TU255" s="67"/>
      <c r="TV255" s="67"/>
      <c r="TW255" s="67"/>
      <c r="TX255" s="67"/>
      <c r="TY255" s="67"/>
      <c r="TZ255" s="67"/>
      <c r="UA255" s="67"/>
      <c r="UB255" s="67"/>
      <c r="UC255" s="67"/>
      <c r="UD255" s="67"/>
      <c r="UE255" s="67"/>
      <c r="UF255" s="67"/>
      <c r="UG255" s="67"/>
      <c r="UH255" s="67"/>
      <c r="UI255" s="67"/>
      <c r="UJ255" s="67"/>
      <c r="UK255" s="67"/>
      <c r="UL255" s="67"/>
      <c r="UM255" s="67"/>
      <c r="UN255" s="67"/>
      <c r="UO255" s="67"/>
      <c r="UP255" s="67"/>
      <c r="UQ255" s="67"/>
      <c r="UR255" s="67"/>
      <c r="US255" s="67"/>
      <c r="UT255" s="67"/>
      <c r="UU255" s="67"/>
      <c r="UV255" s="67"/>
      <c r="UW255" s="67"/>
      <c r="UX255" s="67"/>
      <c r="UY255" s="67"/>
      <c r="UZ255" s="67"/>
      <c r="VA255" s="67"/>
      <c r="VB255" s="67"/>
      <c r="VC255" s="67"/>
      <c r="VD255" s="67"/>
      <c r="VE255" s="67"/>
      <c r="VF255" s="67"/>
      <c r="VG255" s="67"/>
      <c r="VH255" s="67"/>
      <c r="VI255" s="67"/>
      <c r="VJ255" s="67"/>
      <c r="VK255" s="67"/>
      <c r="VL255" s="67"/>
      <c r="VM255" s="67"/>
      <c r="VN255" s="67"/>
      <c r="VO255" s="67"/>
      <c r="VP255" s="67"/>
      <c r="VQ255" s="67"/>
      <c r="VR255" s="67"/>
      <c r="VS255" s="67"/>
      <c r="VT255" s="67"/>
      <c r="VU255" s="67"/>
      <c r="VV255" s="67"/>
      <c r="VW255" s="67"/>
      <c r="VX255" s="67"/>
      <c r="VY255" s="67"/>
      <c r="VZ255" s="67"/>
      <c r="WA255" s="67"/>
      <c r="WB255" s="67"/>
      <c r="WC255" s="67"/>
      <c r="WD255" s="67"/>
      <c r="WE255" s="67"/>
      <c r="WF255" s="67"/>
      <c r="WG255" s="67"/>
      <c r="WH255" s="67"/>
      <c r="WI255" s="67"/>
      <c r="WJ255" s="67"/>
      <c r="WK255" s="67"/>
      <c r="WL255" s="67"/>
      <c r="WM255" s="67"/>
      <c r="WN255" s="67"/>
      <c r="WO255" s="67"/>
      <c r="WP255" s="67"/>
      <c r="WQ255" s="67"/>
      <c r="WR255" s="67"/>
      <c r="WS255" s="67"/>
      <c r="WT255" s="67"/>
      <c r="WU255" s="67"/>
      <c r="WV255" s="67"/>
      <c r="WW255" s="67"/>
      <c r="WX255" s="67"/>
      <c r="WY255" s="67"/>
      <c r="WZ255" s="67"/>
      <c r="XA255" s="67"/>
      <c r="XB255" s="67"/>
      <c r="XC255" s="67"/>
      <c r="XD255" s="67"/>
      <c r="XE255" s="67"/>
      <c r="XF255" s="67"/>
      <c r="XG255" s="67"/>
      <c r="XH255" s="67"/>
      <c r="XI255" s="67"/>
      <c r="XJ255" s="67"/>
      <c r="XK255" s="67"/>
      <c r="XL255" s="67"/>
      <c r="XM255" s="67"/>
      <c r="XN255" s="67"/>
      <c r="XO255" s="67"/>
      <c r="XP255" s="67"/>
      <c r="XQ255" s="67"/>
      <c r="XR255" s="67"/>
      <c r="XS255" s="67"/>
      <c r="XT255" s="67"/>
      <c r="XU255" s="67"/>
      <c r="XV255" s="67"/>
      <c r="XW255" s="67"/>
      <c r="XX255" s="67"/>
      <c r="XY255" s="67"/>
      <c r="XZ255" s="67"/>
      <c r="YA255" s="67"/>
      <c r="YB255" s="67"/>
      <c r="YC255" s="67"/>
      <c r="YD255" s="67"/>
      <c r="YE255" s="67"/>
      <c r="YF255" s="67"/>
      <c r="YG255" s="67"/>
      <c r="YH255" s="67"/>
      <c r="YI255" s="67"/>
      <c r="YJ255" s="67"/>
      <c r="YK255" s="67"/>
      <c r="YL255" s="67"/>
      <c r="YM255" s="67"/>
      <c r="YN255" s="67"/>
      <c r="YO255" s="67"/>
      <c r="YP255" s="67"/>
      <c r="YQ255" s="67"/>
      <c r="YR255" s="67"/>
      <c r="YS255" s="67"/>
      <c r="YT255" s="67"/>
      <c r="YU255" s="67"/>
      <c r="YV255" s="67"/>
      <c r="YW255" s="67"/>
      <c r="YX255" s="67"/>
      <c r="YY255" s="67"/>
      <c r="YZ255" s="67"/>
      <c r="ZA255" s="67"/>
      <c r="ZB255" s="67"/>
      <c r="ZC255" s="67"/>
      <c r="ZD255" s="67"/>
      <c r="ZE255" s="67"/>
      <c r="ZF255" s="67"/>
      <c r="ZG255" s="67"/>
      <c r="ZH255" s="67"/>
      <c r="ZI255" s="67"/>
      <c r="ZJ255" s="67"/>
      <c r="ZK255" s="67"/>
      <c r="ZL255" s="67"/>
      <c r="ZM255" s="67"/>
      <c r="ZN255" s="67"/>
      <c r="ZO255" s="67"/>
      <c r="ZP255" s="67"/>
      <c r="ZQ255" s="67"/>
      <c r="ZR255" s="67"/>
      <c r="ZS255" s="67"/>
      <c r="ZT255" s="67"/>
      <c r="ZU255" s="67"/>
      <c r="ZV255" s="67"/>
      <c r="ZW255" s="67"/>
      <c r="ZX255" s="67"/>
      <c r="ZY255" s="67"/>
      <c r="ZZ255" s="67"/>
      <c r="AAA255" s="67"/>
      <c r="AAB255" s="67"/>
      <c r="AAC255" s="67"/>
      <c r="AAD255" s="67"/>
      <c r="AAE255" s="67"/>
      <c r="AAF255" s="67"/>
      <c r="AAG255" s="67"/>
      <c r="AAH255" s="67"/>
      <c r="AAI255" s="67"/>
      <c r="AAJ255" s="67"/>
      <c r="AAK255" s="67"/>
      <c r="AAL255" s="67"/>
      <c r="AAM255" s="67"/>
      <c r="AAN255" s="67"/>
      <c r="AAO255" s="67"/>
      <c r="AAP255" s="67"/>
      <c r="AAQ255" s="67"/>
      <c r="AAR255" s="67"/>
      <c r="AAS255" s="67"/>
      <c r="AAT255" s="67"/>
      <c r="AAU255" s="67"/>
      <c r="AAV255" s="67"/>
      <c r="AAW255" s="67"/>
      <c r="AAX255" s="67"/>
      <c r="AAY255" s="67"/>
      <c r="AAZ255" s="67"/>
      <c r="ABA255" s="67"/>
      <c r="ABB255" s="67"/>
      <c r="ABC255" s="67"/>
      <c r="ABD255" s="67"/>
      <c r="ABE255" s="67"/>
      <c r="ABF255" s="67"/>
      <c r="ABG255" s="67"/>
      <c r="ABH255" s="67"/>
      <c r="ABI255" s="67"/>
      <c r="ABJ255" s="67"/>
      <c r="ABK255" s="67"/>
      <c r="ABL255" s="67"/>
      <c r="ABM255" s="67"/>
      <c r="ABN255" s="67"/>
      <c r="ABO255" s="67"/>
      <c r="ABP255" s="67"/>
      <c r="ABQ255" s="67"/>
      <c r="ABR255" s="67"/>
      <c r="ABS255" s="67"/>
      <c r="ABT255" s="67"/>
      <c r="ABU255" s="67"/>
      <c r="ABV255" s="67"/>
      <c r="ABW255" s="67"/>
      <c r="ABX255" s="67"/>
      <c r="ABY255" s="67"/>
      <c r="ABZ255" s="67"/>
      <c r="ACA255" s="67"/>
      <c r="ACB255" s="67"/>
      <c r="ACC255" s="67"/>
      <c r="ACD255" s="67"/>
      <c r="ACE255" s="67"/>
      <c r="ACF255" s="67"/>
      <c r="ACG255" s="67"/>
      <c r="ACH255" s="67"/>
      <c r="ACI255" s="67"/>
      <c r="ACJ255" s="67"/>
      <c r="ACK255" s="67"/>
      <c r="ACL255" s="67"/>
      <c r="ACM255" s="67"/>
      <c r="ACN255" s="67"/>
      <c r="ACO255" s="67"/>
      <c r="ACP255" s="67"/>
      <c r="ACQ255" s="67"/>
      <c r="ACR255" s="67"/>
      <c r="ACS255" s="67"/>
      <c r="ACT255" s="67"/>
      <c r="ACU255" s="67"/>
      <c r="ACV255" s="67"/>
      <c r="ACW255" s="67"/>
      <c r="ACX255" s="67"/>
      <c r="ACY255" s="67"/>
      <c r="ACZ255" s="67"/>
      <c r="ADA255" s="67"/>
      <c r="ADB255" s="67"/>
      <c r="ADC255" s="67"/>
      <c r="ADD255" s="67"/>
      <c r="ADE255" s="67"/>
      <c r="ADF255" s="67"/>
      <c r="ADG255" s="67"/>
      <c r="ADH255" s="67"/>
      <c r="ADI255" s="67"/>
      <c r="ADJ255" s="67"/>
      <c r="ADK255" s="67"/>
      <c r="ADL255" s="67"/>
      <c r="ADM255" s="67"/>
      <c r="ADN255" s="67"/>
      <c r="ADO255" s="67"/>
      <c r="ADP255" s="67"/>
      <c r="ADQ255" s="67"/>
      <c r="ADR255" s="67"/>
      <c r="ADS255" s="67"/>
      <c r="ADT255" s="67"/>
      <c r="ADU255" s="67"/>
      <c r="ADV255" s="67"/>
      <c r="ADW255" s="67"/>
      <c r="ADX255" s="67"/>
      <c r="ADY255" s="67"/>
      <c r="ADZ255" s="67"/>
      <c r="AEA255" s="67"/>
      <c r="AEB255" s="67"/>
      <c r="AEC255" s="67"/>
      <c r="AED255" s="67"/>
      <c r="AEE255" s="67"/>
      <c r="AEF255" s="67"/>
      <c r="AEG255" s="67"/>
      <c r="AEH255" s="67"/>
      <c r="AEI255" s="67"/>
      <c r="AEJ255" s="67"/>
      <c r="AEK255" s="67"/>
      <c r="AEL255" s="67"/>
      <c r="AEM255" s="67"/>
      <c r="AEN255" s="67"/>
      <c r="AEO255" s="67"/>
      <c r="AEP255" s="67"/>
      <c r="AEQ255" s="67"/>
      <c r="AER255" s="67"/>
      <c r="AES255" s="67"/>
      <c r="AET255" s="67"/>
      <c r="AEU255" s="67"/>
      <c r="AEV255" s="67"/>
      <c r="AEW255" s="67"/>
      <c r="AEX255" s="67"/>
      <c r="AEY255" s="67"/>
      <c r="AEZ255" s="67"/>
      <c r="AFA255" s="67"/>
      <c r="AFB255" s="67"/>
      <c r="AFC255" s="67"/>
      <c r="AFD255" s="67"/>
      <c r="AFE255" s="67"/>
      <c r="AFF255" s="67"/>
      <c r="AFG255" s="67"/>
      <c r="AFH255" s="67"/>
      <c r="AFI255" s="67"/>
      <c r="AFJ255" s="67"/>
      <c r="AFK255" s="67"/>
      <c r="AFL255" s="67"/>
      <c r="AFM255" s="67"/>
      <c r="AFN255" s="67"/>
      <c r="AFO255" s="67"/>
      <c r="AFP255" s="67"/>
      <c r="AFQ255" s="67"/>
      <c r="AFR255" s="67"/>
      <c r="AFS255" s="67"/>
      <c r="AFT255" s="67"/>
      <c r="AFU255" s="67"/>
    </row>
    <row r="256" spans="1:853" hidden="1" x14ac:dyDescent="0.3">
      <c r="A256" s="82" t="s">
        <v>35</v>
      </c>
      <c r="B256" s="82"/>
      <c r="C256" s="82"/>
      <c r="D256" s="82"/>
      <c r="E256" s="82"/>
      <c r="F256" s="82"/>
    </row>
  </sheetData>
  <autoFilter ref="A13:F256" xr:uid="{00000000-0009-0000-0000-000003000000}">
    <filterColumn colId="1">
      <filters>
        <filter val="Радиатор панельный стальной, в комплекте с заглушкой, настенными кронштейнами Classic 11-500-1200 Prado"/>
        <filter val="Радиатор панельный стальной, в комплекте с заглушкой, настенными кронштейнами Classic 11-500-600 Prado"/>
        <filter val="Радиатор панельный стальной, в комплекте с заглушкой, настенными кронштейнами Classic 11-500-900 Prado"/>
        <filter val="Радиатор панельный стальной, в комплекте с заглушкой, настенными кронштейнами Classic 22-500-1300 Prado"/>
        <filter val="Радиатор панельный стальной, в комплекте с заглушкой, настенными кронштейнами Classic 22-500-1400 Prado"/>
        <filter val="Радиатор панельный стальной, в комплекте с заглушкой, настенными кронштейнами Classic 22-500-1500 Prado"/>
        <filter val="Радиатор панельный стальной, в комплекте с заглушкой, настенными кронштейнами Classic 22-500-1700 Prado"/>
        <filter val="Радиатор панельный стальной, в комплекте с заглушкой, настенными кронштейнами Classic 22-500-1800 Prado"/>
        <filter val="Радиатор панельный стальной, в комплекте с заглушкой, настенными кронштейнами Classic 22-500-600 Prado"/>
        <filter val="Радиатор панельный стальной, в комплекте с заглушкой, настенными кронштейнами Classic 22-500-700 Prado"/>
        <filter val="Радиатор панельный стальной, в комплекте с заглушкой, настенными кронштейнами Classic 33-500-1200 Prado"/>
        <filter val="Радиатор панельный стальной, в комплекте с заглушкой, настенными кронштейнами Classic 33-500-1300 Prado"/>
        <filter val="Радиатор панельный, нижнее подключение справа, в комплекте с заглушкой, настенными кронштейнами  Universal 11-500-1000 Prado"/>
        <filter val="Радиатор панельный, нижнее подключение справа, в комплекте с заглушкой, настенными кронштейнами  Universal 11-500-1100 Prado"/>
        <filter val="Радиатор панельный, нижнее подключение справа, в комплекте с заглушкой, настенными кронштейнами  Universal 11-500-1200 Prado"/>
        <filter val="Радиатор панельный, нижнее подключение справа, в комплекте с заглушкой, настенными кронштейнами  Universal 11-500-1300 Prado"/>
        <filter val="Радиатор панельный, нижнее подключение справа, в комплекте с заглушкой, настенными кронштейнами  Universal 11-500-1400 Prado"/>
        <filter val="Радиатор панельный, нижнее подключение справа, в комплекте с заглушкой, настенными кронштейнами  Universal 11-500-1500 Prado"/>
        <filter val="Радиатор панельный, нижнее подключение справа, в комплекте с заглушкой, настенными кронштейнами  Universal 11-500-1700 Prado"/>
        <filter val="Радиатор панельный, нижнее подключение справа, в комплекте с заглушкой, настенными кронштейнами  Universal 11-500-1900 Prado"/>
        <filter val="Радиатор панельный, нижнее подключение справа, в комплекте с заглушкой, настенными кронштейнами  Universal 11-500-2200 Prado"/>
        <filter val="Радиатор панельный, нижнее подключение справа, в комплекте с заглушкой, настенными кронштейнами  Universal 11-500-2400 Prado"/>
        <filter val="Радиатор панельный, нижнее подключение справа, в комплекте с заглушкой, настенными кронштейнами  Universal 11-500-500 Prado"/>
        <filter val="Радиатор панельный, нижнее подключение справа, в комплекте с заглушкой, настенными кронштейнами  Universal 11-500-600 Prado"/>
        <filter val="Радиатор панельный, нижнее подключение справа, в комплекте с заглушкой, настенными кронштейнами  Universal 11-500-700 Prado"/>
        <filter val="Радиатор панельный, нижнее подключение справа, в комплекте с заглушкой, настенными кронштейнами  Universal 11-500-800 Prado"/>
        <filter val="Радиатор панельный, нижнее подключение справа, в комплекте с заглушкой, настенными кронштейнами  Universal 11-500-900 Prado"/>
        <filter val="Радиатор панельный, нижнее подключение справа, в комплекте с заглушкой, настенными кронштейнами  Universal 22-500-1000 Prado"/>
        <filter val="Радиатор панельный, нижнее подключение справа, в комплекте с заглушкой, настенными кронштейнами  Universal 22-500-1100 Prado"/>
        <filter val="Радиатор панельный, нижнее подключение справа, в комплекте с заглушкой, настенными кронштейнами  Universal 22-500-1200 Prado"/>
        <filter val="Радиатор панельный, нижнее подключение справа, в комплекте с заглушкой, настенными кронштейнами  Universal 33-500-1700 Prado"/>
        <filter val="Радиатор панельный, нижнее подключение справа, в комплекте с заглушкой, настенными кронштейнами Universal 11-500-1000 Prado"/>
        <filter val="Радиатор панельный, нижнее подключение справа, в комплекте с заглушкой, настенными кронштейнами Universal 11-500-1100 Prado"/>
        <filter val="Радиатор панельный, нижнее подключение справа, в комплекте с заглушкой, настенными кронштейнами Universal 11-500-1200 Prado"/>
        <filter val="Радиатор панельный, нижнее подключение справа, в комплекте с заглушкой, настенными кронштейнами Universal 11-500-1300 Prado"/>
        <filter val="Радиатор панельный, нижнее подключение справа, в комплекте с заглушкой, настенными кронштейнами Universal 11-500-1400 Prado"/>
        <filter val="Радиатор панельный, нижнее подключение справа, в комплекте с заглушкой, настенными кронштейнами Universal 11-500-1500 Prado"/>
        <filter val="Радиатор панельный, нижнее подключение справа, в комплекте с заглушкой, настенными кронштейнами Universal 11-500-1600 Prado"/>
        <filter val="Радиатор панельный, нижнее подключение справа, в комплекте с заглушкой, настенными кронштейнами Universal 11-500-1700 Prado"/>
        <filter val="Радиатор панельный, нижнее подключение справа, в комплекте с заглушкой, настенными кронштейнами Universal 11-500-1800 Prado"/>
        <filter val="Радиатор панельный, нижнее подключение справа, в комплекте с заглушкой, настенными кронштейнами Universal 11-500-1900 Prado"/>
        <filter val="Радиатор панельный, нижнее подключение справа, в комплекте с заглушкой, настенными кронштейнами Universal 11-500-400 Prado"/>
        <filter val="Радиатор панельный, нижнее подключение справа, в комплекте с заглушкой, настенными кронштейнами Universal 11-500-600 Prado"/>
        <filter val="Радиатор панельный, нижнее подключение справа, в комплекте с заглушкой, настенными кронштейнами Universal 11-500-800 Prado"/>
        <filter val="Радиатор панельный, нижнее подключение справа, в комплекте с заглушкой, настенными кронштейнами Universal 11-500-900 Prado"/>
        <filter val="Радиатор панельный, нижнее подключение справа, в комплекте с заглушкой, настенными кронштейнами Universal 22-500-1000 Prado"/>
        <filter val="Радиатор панельный, нижнее подключение справа, в комплекте с заглушкой, настенными кронштейнами Universal 22-500-1100 Prado"/>
        <filter val="Радиатор панельный, нижнее подключение справа, в комплекте с заглушкой, настенными кронштейнами Universal 22-500-1400 Prado"/>
        <filter val="Радиатор панельный, нижнее подключение справа, в комплекте с заглушкой, настенными кронштейнами Universal 22-500-600 Prado"/>
        <filter val="Радиатор панельный, нижнее подключение справа, в комплекте с заглушкой, настенными кронштейнами Universal 22-500-700 Prado"/>
        <filter val="Радиатор панельный, нижнее подключение справа, в комплекте с заглушкой, настенными кронштейнами Universal 22-500-800 Prado"/>
        <filter val="Радиатор панельный, нижнее подключение справа, в комплекте с заглушкой, настенными кронштейнами Universal 22-500-900 Prado"/>
      </filters>
    </filterColumn>
  </autoFilter>
  <mergeCells count="13">
    <mergeCell ref="A256:F256"/>
    <mergeCell ref="A76:C76"/>
    <mergeCell ref="A136:C136"/>
    <mergeCell ref="A197:C197"/>
    <mergeCell ref="A249:C249"/>
    <mergeCell ref="A253:C253"/>
    <mergeCell ref="A1:F1"/>
    <mergeCell ref="A3:F3"/>
    <mergeCell ref="A4:F4"/>
    <mergeCell ref="A11:A12"/>
    <mergeCell ref="B11:B12"/>
    <mergeCell ref="C11:C12"/>
    <mergeCell ref="D11:F11"/>
  </mergeCells>
  <pageMargins left="0.39370078740157483" right="0.19685039370078741" top="0.19685039370078741" bottom="0.19685039370078741" header="0.31496062992125984" footer="0.31496062992125984"/>
  <pageSetup paperSize="9" scale="84" fitToHeight="100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секц.1-2</vt:lpstr>
      <vt:lpstr>секц.3</vt:lpstr>
      <vt:lpstr>секц.4-5</vt:lpstr>
      <vt:lpstr>секц.6-7</vt:lpstr>
      <vt:lpstr>'секц.1-2'!Область_печати</vt:lpstr>
      <vt:lpstr>секц.3!Область_печати</vt:lpstr>
      <vt:lpstr>'секц.4-5'!Область_печати</vt:lpstr>
      <vt:lpstr>'секц.6-7'!Область_печати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2025-10-30T13:11:26Z</dcterms:modified>
</cp:coreProperties>
</file>