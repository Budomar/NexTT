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cts\6.11.25 RadiaTool\Тестовые спецификации\"/>
    </mc:Choice>
  </mc:AlternateContent>
  <xr:revisionPtr revIDLastSave="0" documentId="8_{6F248B6F-78F4-48E8-AD96-5F6963DE25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омм. пред без артикул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2" i="1" l="1"/>
  <c r="Z13" i="1"/>
  <c r="Z14" i="1"/>
  <c r="Z15" i="1"/>
  <c r="Z16" i="1"/>
  <c r="Z17" i="1"/>
  <c r="Z7" i="1"/>
  <c r="AA8" i="1"/>
  <c r="Z8" i="1" s="1"/>
  <c r="AA9" i="1"/>
  <c r="Z9" i="1" s="1"/>
  <c r="AA10" i="1"/>
  <c r="Z10" i="1" s="1"/>
  <c r="AA11" i="1"/>
  <c r="Z11" i="1" s="1"/>
  <c r="AA12" i="1"/>
  <c r="AA13" i="1"/>
  <c r="AA14" i="1"/>
  <c r="AA15" i="1"/>
  <c r="AA16" i="1"/>
  <c r="AA17" i="1"/>
  <c r="AA18" i="1"/>
  <c r="Z18" i="1" s="1"/>
  <c r="AA19" i="1"/>
  <c r="Z19" i="1" s="1"/>
  <c r="AA20" i="1"/>
  <c r="Z20" i="1" s="1"/>
  <c r="AA21" i="1"/>
  <c r="Z21" i="1" s="1"/>
  <c r="AA22" i="1"/>
  <c r="Z22" i="1" s="1"/>
  <c r="AA23" i="1"/>
  <c r="Z23" i="1" s="1"/>
  <c r="AA24" i="1"/>
  <c r="Z24" i="1" s="1"/>
  <c r="AA7" i="1"/>
  <c r="AA28" i="1" s="1"/>
</calcChain>
</file>

<file path=xl/sharedStrings.xml><?xml version="1.0" encoding="utf-8"?>
<sst xmlns="http://schemas.openxmlformats.org/spreadsheetml/2006/main" count="89" uniqueCount="63">
  <si>
    <t>Коммерческое предложение №</t>
  </si>
  <si>
    <t>197293/17</t>
  </si>
  <si>
    <t>дата</t>
  </si>
  <si>
    <t>№ п/п</t>
  </si>
  <si>
    <t>Наименование</t>
  </si>
  <si>
    <t>Ед. Изм.</t>
  </si>
  <si>
    <t>Кол-во</t>
  </si>
  <si>
    <t>Цена</t>
  </si>
  <si>
    <t>Сумма</t>
  </si>
  <si>
    <t>руб</t>
  </si>
  <si>
    <t>Стальной панельный радиатор ROMMER Compact 21/500/400 боковое подключение</t>
  </si>
  <si>
    <t>шт</t>
  </si>
  <si>
    <t>3</t>
  </si>
  <si>
    <t>5'580.30</t>
  </si>
  <si>
    <t>Стальной панельный радиатор ROMMER Compact 21/500/500 боковое подключение</t>
  </si>
  <si>
    <t>6'352.50</t>
  </si>
  <si>
    <t>Стальной панельный радиатор ROMMER Compact 21/500/600 боковое подключение</t>
  </si>
  <si>
    <t>33</t>
  </si>
  <si>
    <t>7'338.10</t>
  </si>
  <si>
    <t>Стальной панельный радиатор ROMMER Compact 21/500/700 боковое подключение</t>
  </si>
  <si>
    <t>78</t>
  </si>
  <si>
    <t>8'064.10</t>
  </si>
  <si>
    <t>Стальной панельный радиатор ROMMER Compact 21/500/800 боковое подключение</t>
  </si>
  <si>
    <t>26</t>
  </si>
  <si>
    <t>8'934.20</t>
  </si>
  <si>
    <t>Стальной панельный радиатор ROMMER Compact 21/500/900 боковое подключение</t>
  </si>
  <si>
    <t>15</t>
  </si>
  <si>
    <t>9'768.00</t>
  </si>
  <si>
    <t>Стальной панельный радиатор ROMMER Compact 21/500/1000 боковое подключение</t>
  </si>
  <si>
    <t>18</t>
  </si>
  <si>
    <t>10'751.40</t>
  </si>
  <si>
    <t>Стальной панельный радиатор ROMMER Compact 21/500/1100 боковое подключение</t>
  </si>
  <si>
    <t>17</t>
  </si>
  <si>
    <t>11'976.80</t>
  </si>
  <si>
    <t>Стальной панельный радиатор ROMMER Compact 21/500/1200 боковое подключение</t>
  </si>
  <si>
    <t>4</t>
  </si>
  <si>
    <t>12'841.40</t>
  </si>
  <si>
    <t>Стальной панельный радиатор ROMMER Compact 21/500/1400 боковое подключение</t>
  </si>
  <si>
    <t>6</t>
  </si>
  <si>
    <t>14'725.70</t>
  </si>
  <si>
    <t>Стальной панельный радиатор ROMMER Compact 21/500/1600 боковое подключение</t>
  </si>
  <si>
    <t>16'815.70</t>
  </si>
  <si>
    <t>Стальной панельный радиатор ROMMER Compact 21/300/800 боковое подключение</t>
  </si>
  <si>
    <t>20</t>
  </si>
  <si>
    <t>7'315.00</t>
  </si>
  <si>
    <t>Стальной панельный радиатор ROMMER Compact 22/500/800 боковое подключение</t>
  </si>
  <si>
    <t>10</t>
  </si>
  <si>
    <t>9'919.80</t>
  </si>
  <si>
    <t>Стальной панельный радиатор ROMMER Compact 33/500/800 боковое подключение</t>
  </si>
  <si>
    <t>15'368.10</t>
  </si>
  <si>
    <t>Стальной панельный радиатор ROMMER Compact 33/500/700 боковое подключение</t>
  </si>
  <si>
    <t>2</t>
  </si>
  <si>
    <t>14'005.20</t>
  </si>
  <si>
    <t>Стальной панельный радиатор ROMMER Compact 22/500/900 боковое подключение</t>
  </si>
  <si>
    <t>8</t>
  </si>
  <si>
    <t>10'692.00</t>
  </si>
  <si>
    <t>Стальной панельный радиатор ROMMER Compact 33/500/900 боковое подключение</t>
  </si>
  <si>
    <t>16'541.80</t>
  </si>
  <si>
    <t>Стальной панельный радиатор ROMMER Compact 33/500/1000 боковое подключение</t>
  </si>
  <si>
    <t>17'866.20</t>
  </si>
  <si>
    <t>Примечание:</t>
  </si>
  <si>
    <t>Благовещенск, Комарова 25</t>
  </si>
  <si>
    <t xml:space="preserve">Сумма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</si>
</sst>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;&quot;-&quot;#,##0.00;&quot;-&quot;"/>
    <numFmt numFmtId="166" formatCode="#,##0.00\ &quot;₽&quot;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0" fontId="18" fillId="0" borderId="24" xfId="0" applyFont="1" applyBorder="1" applyAlignment="1">
      <alignment horizontal="left" vertical="top" wrapText="1"/>
    </xf>
    <xf numFmtId="49" fontId="18" fillId="0" borderId="25" xfId="0" applyNumberFormat="1" applyFont="1" applyBorder="1" applyAlignment="1">
      <alignment horizontal="left" vertical="top" wrapText="1"/>
    </xf>
    <xf numFmtId="49" fontId="18" fillId="0" borderId="10" xfId="0" applyNumberFormat="1" applyFont="1" applyBorder="1" applyAlignment="1">
      <alignment horizontal="right" vertical="top" wrapText="1"/>
    </xf>
    <xf numFmtId="2" fontId="0" fillId="0" borderId="38" xfId="0" applyNumberFormat="1" applyBorder="1" applyAlignment="1">
      <alignment vertical="top"/>
    </xf>
    <xf numFmtId="166" fontId="16" fillId="0" borderId="0" xfId="0" applyNumberFormat="1" applyFont="1"/>
    <xf numFmtId="49" fontId="18" fillId="0" borderId="0" xfId="0" applyNumberFormat="1" applyFont="1" applyAlignment="1">
      <alignment horizontal="left" vertical="top" wrapText="1"/>
    </xf>
    <xf numFmtId="49" fontId="18" fillId="0" borderId="17" xfId="0" applyNumberFormat="1" applyFont="1" applyBorder="1" applyAlignment="1">
      <alignment horizontal="left" vertical="top" wrapText="1"/>
    </xf>
    <xf numFmtId="49" fontId="18" fillId="0" borderId="37" xfId="0" applyNumberFormat="1" applyFont="1" applyBorder="1" applyAlignment="1">
      <alignment horizontal="left" vertical="top" wrapText="1"/>
    </xf>
    <xf numFmtId="49" fontId="18" fillId="0" borderId="34" xfId="0" applyNumberFormat="1" applyFont="1" applyBorder="1" applyAlignment="1">
      <alignment horizontal="left" vertical="top" wrapText="1"/>
    </xf>
    <xf numFmtId="49" fontId="18" fillId="0" borderId="35" xfId="0" applyNumberFormat="1" applyFont="1" applyBorder="1" applyAlignment="1">
      <alignment horizontal="left" vertical="top" wrapText="1"/>
    </xf>
    <xf numFmtId="49" fontId="18" fillId="0" borderId="36" xfId="0" applyNumberFormat="1" applyFont="1" applyBorder="1" applyAlignment="1">
      <alignment horizontal="left" vertical="top" wrapText="1"/>
    </xf>
    <xf numFmtId="49" fontId="18" fillId="0" borderId="34" xfId="0" applyNumberFormat="1" applyFont="1" applyBorder="1" applyAlignment="1">
      <alignment horizontal="right" vertical="top" wrapText="1"/>
    </xf>
    <xf numFmtId="49" fontId="18" fillId="0" borderId="35" xfId="0" applyNumberFormat="1" applyFont="1" applyBorder="1" applyAlignment="1">
      <alignment horizontal="right" vertical="top" wrapText="1"/>
    </xf>
    <xf numFmtId="49" fontId="18" fillId="0" borderId="36" xfId="0" applyNumberFormat="1" applyFont="1" applyBorder="1" applyAlignment="1">
      <alignment horizontal="right" vertical="top" wrapText="1"/>
    </xf>
    <xf numFmtId="165" fontId="18" fillId="0" borderId="34" xfId="0" applyNumberFormat="1" applyFont="1" applyBorder="1" applyAlignment="1">
      <alignment horizontal="right" vertical="top" wrapText="1"/>
    </xf>
    <xf numFmtId="165" fontId="18" fillId="0" borderId="35" xfId="0" applyNumberFormat="1" applyFont="1" applyBorder="1" applyAlignment="1">
      <alignment horizontal="right" vertical="top" wrapText="1"/>
    </xf>
    <xf numFmtId="49" fontId="18" fillId="0" borderId="10" xfId="0" applyNumberFormat="1" applyFont="1" applyBorder="1" applyAlignment="1">
      <alignment horizontal="right" vertical="top" wrapText="1"/>
    </xf>
    <xf numFmtId="49" fontId="18" fillId="0" borderId="26" xfId="0" applyNumberFormat="1" applyFont="1" applyBorder="1" applyAlignment="1">
      <alignment horizontal="left" vertical="top" wrapText="1"/>
    </xf>
    <xf numFmtId="49" fontId="18" fillId="0" borderId="27" xfId="0" applyNumberFormat="1" applyFont="1" applyBorder="1" applyAlignment="1">
      <alignment horizontal="left" vertical="top" wrapText="1"/>
    </xf>
    <xf numFmtId="49" fontId="18" fillId="0" borderId="28" xfId="0" applyNumberFormat="1" applyFont="1" applyBorder="1" applyAlignment="1">
      <alignment horizontal="left" vertical="top" wrapText="1"/>
    </xf>
    <xf numFmtId="49" fontId="18" fillId="0" borderId="26" xfId="0" applyNumberFormat="1" applyFont="1" applyBorder="1" applyAlignment="1">
      <alignment horizontal="right" vertical="top" wrapText="1"/>
    </xf>
    <xf numFmtId="49" fontId="18" fillId="0" borderId="27" xfId="0" applyNumberFormat="1" applyFont="1" applyBorder="1" applyAlignment="1">
      <alignment horizontal="right" vertical="top" wrapText="1"/>
    </xf>
    <xf numFmtId="49" fontId="18" fillId="0" borderId="28" xfId="0" applyNumberFormat="1" applyFont="1" applyBorder="1" applyAlignment="1">
      <alignment horizontal="right" vertical="top" wrapText="1"/>
    </xf>
    <xf numFmtId="165" fontId="18" fillId="0" borderId="26" xfId="0" applyNumberFormat="1" applyFont="1" applyBorder="1" applyAlignment="1">
      <alignment horizontal="right" vertical="top" wrapText="1"/>
    </xf>
    <xf numFmtId="165" fontId="18" fillId="0" borderId="27" xfId="0" applyNumberFormat="1" applyFont="1" applyBorder="1" applyAlignment="1">
      <alignment horizontal="right" vertical="top" wrapText="1"/>
    </xf>
    <xf numFmtId="49" fontId="22" fillId="0" borderId="19" xfId="0" applyNumberFormat="1" applyFont="1" applyBorder="1" applyAlignment="1">
      <alignment horizontal="center" vertical="top" wrapText="1"/>
    </xf>
    <xf numFmtId="49" fontId="22" fillId="0" borderId="13" xfId="0" applyNumberFormat="1" applyFont="1" applyBorder="1" applyAlignment="1">
      <alignment horizontal="center" vertical="top" wrapText="1"/>
    </xf>
    <xf numFmtId="49" fontId="22" fillId="0" borderId="23" xfId="0" applyNumberFormat="1" applyFont="1" applyBorder="1" applyAlignment="1">
      <alignment horizontal="center" vertical="top" wrapText="1"/>
    </xf>
    <xf numFmtId="49" fontId="18" fillId="0" borderId="31" xfId="0" applyNumberFormat="1" applyFont="1" applyBorder="1" applyAlignment="1">
      <alignment horizontal="left" vertical="top" wrapText="1"/>
    </xf>
    <xf numFmtId="49" fontId="18" fillId="0" borderId="32" xfId="0" applyNumberFormat="1" applyFont="1" applyBorder="1" applyAlignment="1">
      <alignment horizontal="left" vertical="top" wrapText="1"/>
    </xf>
    <xf numFmtId="49" fontId="18" fillId="0" borderId="33" xfId="0" applyNumberFormat="1" applyFont="1" applyBorder="1" applyAlignment="1">
      <alignment horizontal="left" vertical="top" wrapText="1"/>
    </xf>
    <xf numFmtId="49" fontId="18" fillId="0" borderId="31" xfId="0" applyNumberFormat="1" applyFont="1" applyBorder="1" applyAlignment="1">
      <alignment horizontal="right" vertical="top" wrapText="1"/>
    </xf>
    <xf numFmtId="49" fontId="18" fillId="0" borderId="32" xfId="0" applyNumberFormat="1" applyFont="1" applyBorder="1" applyAlignment="1">
      <alignment horizontal="right" vertical="top" wrapText="1"/>
    </xf>
    <xf numFmtId="49" fontId="18" fillId="0" borderId="33" xfId="0" applyNumberFormat="1" applyFont="1" applyBorder="1" applyAlignment="1">
      <alignment horizontal="right" vertical="top" wrapText="1"/>
    </xf>
    <xf numFmtId="165" fontId="18" fillId="0" borderId="31" xfId="0" applyNumberFormat="1" applyFont="1" applyBorder="1" applyAlignment="1">
      <alignment horizontal="right" vertical="top" wrapText="1"/>
    </xf>
    <xf numFmtId="165" fontId="18" fillId="0" borderId="32" xfId="0" applyNumberFormat="1" applyFont="1" applyBorder="1" applyAlignment="1">
      <alignment horizontal="right" vertical="top" wrapText="1"/>
    </xf>
    <xf numFmtId="49" fontId="18" fillId="0" borderId="0" xfId="0" applyNumberFormat="1" applyFont="1" applyAlignment="1">
      <alignment horizontal="center" vertical="top" wrapText="1"/>
    </xf>
    <xf numFmtId="49" fontId="18" fillId="0" borderId="0" xfId="0" applyNumberFormat="1" applyFont="1" applyAlignment="1">
      <alignment horizontal="right" vertical="top" wrapText="1"/>
    </xf>
    <xf numFmtId="164" fontId="19" fillId="0" borderId="17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right" vertical="top" wrapText="1"/>
    </xf>
    <xf numFmtId="49" fontId="22" fillId="0" borderId="29" xfId="0" applyNumberFormat="1" applyFont="1" applyBorder="1" applyAlignment="1">
      <alignment horizontal="center" vertical="top" wrapText="1"/>
    </xf>
    <xf numFmtId="49" fontId="22" fillId="0" borderId="30" xfId="0" applyNumberFormat="1" applyFont="1" applyBorder="1" applyAlignment="1">
      <alignment horizontal="center" vertical="top" wrapText="1"/>
    </xf>
    <xf numFmtId="49" fontId="22" fillId="0" borderId="18" xfId="0" applyNumberFormat="1" applyFont="1" applyBorder="1" applyAlignment="1">
      <alignment horizontal="center" vertical="top" wrapText="1"/>
    </xf>
    <xf numFmtId="49" fontId="22" fillId="0" borderId="10" xfId="0" applyNumberFormat="1" applyFont="1" applyBorder="1" applyAlignment="1">
      <alignment horizontal="center" vertical="top" wrapText="1"/>
    </xf>
    <xf numFmtId="49" fontId="22" fillId="0" borderId="22" xfId="0" applyNumberFormat="1" applyFont="1" applyBorder="1" applyAlignment="1">
      <alignment horizontal="center" vertical="top" wrapText="1"/>
    </xf>
    <xf numFmtId="49" fontId="22" fillId="0" borderId="20" xfId="0" applyNumberFormat="1" applyFont="1" applyBorder="1" applyAlignment="1">
      <alignment horizontal="center" vertical="top" wrapText="1"/>
    </xf>
    <xf numFmtId="49" fontId="22" fillId="0" borderId="21" xfId="0" applyNumberFormat="1" applyFont="1" applyBorder="1" applyAlignment="1">
      <alignment horizontal="center" vertical="top" wrapText="1"/>
    </xf>
    <xf numFmtId="49" fontId="18" fillId="0" borderId="10" xfId="0" applyNumberFormat="1" applyFont="1" applyBorder="1" applyAlignment="1">
      <alignment horizontal="center" vertical="top" wrapText="1"/>
    </xf>
    <xf numFmtId="49" fontId="20" fillId="0" borderId="0" xfId="0" applyNumberFormat="1" applyFont="1" applyAlignment="1">
      <alignment horizontal="right" vertical="top" wrapText="1"/>
    </xf>
    <xf numFmtId="49" fontId="20" fillId="0" borderId="12" xfId="0" applyNumberFormat="1" applyFont="1" applyBorder="1" applyAlignment="1">
      <alignment horizontal="right" vertical="top" wrapText="1"/>
    </xf>
    <xf numFmtId="49" fontId="21" fillId="0" borderId="14" xfId="0" applyNumberFormat="1" applyFont="1" applyBorder="1" applyAlignment="1">
      <alignment horizontal="center" vertical="center" wrapText="1"/>
    </xf>
    <xf numFmtId="49" fontId="21" fillId="0" borderId="15" xfId="0" applyNumberFormat="1" applyFont="1" applyBorder="1" applyAlignment="1">
      <alignment horizontal="center" vertical="center" wrapText="1"/>
    </xf>
    <xf numFmtId="49" fontId="21" fillId="0" borderId="16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showGridLines="0" tabSelected="1" workbookViewId="0">
      <selection activeCell="E26" sqref="E26:Y26"/>
    </sheetView>
  </sheetViews>
  <sheetFormatPr defaultRowHeight="14.4" x14ac:dyDescent="0.3"/>
  <cols>
    <col min="1" max="1" width="3.6640625" customWidth="1"/>
    <col min="2" max="2" width="6.33203125" customWidth="1"/>
    <col min="3" max="3" width="1.6640625" customWidth="1"/>
    <col min="4" max="4" width="1.109375" customWidth="1"/>
    <col min="5" max="5" width="1.6640625" customWidth="1"/>
    <col min="6" max="6" width="5.77734375" customWidth="1"/>
    <col min="7" max="7" width="1.109375" customWidth="1"/>
    <col min="8" max="8" width="0.5546875" customWidth="1"/>
    <col min="9" max="9" width="4.77734375" customWidth="1"/>
    <col min="10" max="10" width="10.5546875" customWidth="1"/>
    <col min="11" max="11" width="5.21875" customWidth="1"/>
    <col min="12" max="12" width="1.109375" customWidth="1"/>
    <col min="13" max="14" width="5.77734375" customWidth="1"/>
    <col min="15" max="15" width="3.6640625" customWidth="1"/>
    <col min="16" max="16" width="5.21875" customWidth="1"/>
    <col min="17" max="17" width="1.109375" customWidth="1"/>
    <col min="18" max="18" width="5.21875" customWidth="1"/>
    <col min="19" max="19" width="1.6640625" customWidth="1"/>
    <col min="20" max="20" width="1.109375" customWidth="1"/>
    <col min="21" max="21" width="2" hidden="1" customWidth="1"/>
    <col min="22" max="22" width="5.21875" hidden="1" customWidth="1"/>
    <col min="23" max="23" width="3.33203125" hidden="1" customWidth="1"/>
    <col min="24" max="24" width="3.109375" hidden="1" customWidth="1"/>
    <col min="25" max="25" width="8" hidden="1" customWidth="1"/>
    <col min="26" max="26" width="9" bestFit="1" customWidth="1"/>
    <col min="27" max="27" width="11.33203125" bestFit="1" customWidth="1"/>
  </cols>
  <sheetData>
    <row r="1" spans="1:27" ht="10.8" customHeight="1" thickBot="1" x14ac:dyDescent="0.3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7" ht="19.2" customHeight="1" thickBot="1" x14ac:dyDescent="0.35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0"/>
      <c r="N2" s="51" t="s">
        <v>1</v>
      </c>
      <c r="O2" s="52"/>
      <c r="P2" s="52"/>
      <c r="Q2" s="52"/>
      <c r="R2" s="52"/>
      <c r="S2" s="53"/>
      <c r="T2" s="54"/>
      <c r="U2" s="37"/>
      <c r="V2" s="37"/>
      <c r="W2" s="37"/>
      <c r="X2" s="37"/>
      <c r="Y2" s="37"/>
    </row>
    <row r="3" spans="1:27" ht="15" customHeight="1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 t="s">
        <v>2</v>
      </c>
      <c r="T3" s="38"/>
      <c r="U3" s="38"/>
      <c r="V3" s="38"/>
      <c r="W3" s="39">
        <v>45968.351793981499</v>
      </c>
      <c r="X3" s="39"/>
      <c r="Y3" s="39"/>
    </row>
    <row r="4" spans="1:27" ht="6" customHeight="1" thickBot="1" x14ac:dyDescent="0.3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7" ht="13.8" customHeight="1" x14ac:dyDescent="0.3">
      <c r="A5" s="41" t="s">
        <v>3</v>
      </c>
      <c r="B5" s="43" t="s">
        <v>4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5"/>
      <c r="P5" s="46" t="s">
        <v>5</v>
      </c>
      <c r="Q5" s="43" t="s">
        <v>6</v>
      </c>
      <c r="R5" s="44"/>
      <c r="S5" s="44"/>
      <c r="T5" s="45"/>
      <c r="U5" s="43" t="s">
        <v>7</v>
      </c>
      <c r="V5" s="44"/>
      <c r="W5" s="45"/>
      <c r="X5" s="43" t="s">
        <v>8</v>
      </c>
      <c r="Y5" s="44"/>
      <c r="Z5" s="4" t="s">
        <v>7</v>
      </c>
      <c r="AA5" s="4" t="s">
        <v>62</v>
      </c>
    </row>
    <row r="6" spans="1:27" ht="13.8" customHeight="1" thickBot="1" x14ac:dyDescent="0.35">
      <c r="A6" s="42"/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P6" s="47"/>
      <c r="Q6" s="26"/>
      <c r="R6" s="27"/>
      <c r="S6" s="27"/>
      <c r="T6" s="28"/>
      <c r="U6" s="26" t="s">
        <v>9</v>
      </c>
      <c r="V6" s="27"/>
      <c r="W6" s="28"/>
      <c r="X6" s="26" t="s">
        <v>9</v>
      </c>
      <c r="Y6" s="27"/>
      <c r="Z6" s="4" t="s">
        <v>9</v>
      </c>
      <c r="AA6" s="4" t="s">
        <v>9</v>
      </c>
    </row>
    <row r="7" spans="1:27" ht="25.2" customHeight="1" x14ac:dyDescent="0.3">
      <c r="A7" s="1">
        <v>1</v>
      </c>
      <c r="B7" s="29" t="s">
        <v>10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1"/>
      <c r="P7" s="2" t="s">
        <v>11</v>
      </c>
      <c r="Q7" s="32" t="s">
        <v>12</v>
      </c>
      <c r="R7" s="33"/>
      <c r="S7" s="33"/>
      <c r="T7" s="34"/>
      <c r="U7" s="32" t="s">
        <v>13</v>
      </c>
      <c r="V7" s="33"/>
      <c r="W7" s="34"/>
      <c r="X7" s="35">
        <v>16740.900000000001</v>
      </c>
      <c r="Y7" s="36"/>
      <c r="Z7" s="4">
        <f>AA7/Q7</f>
        <v>2232.1200000000003</v>
      </c>
      <c r="AA7" s="4">
        <f>X7*0.4</f>
        <v>6696.3600000000006</v>
      </c>
    </row>
    <row r="8" spans="1:27" ht="25.2" customHeight="1" x14ac:dyDescent="0.3">
      <c r="A8" s="1">
        <v>2</v>
      </c>
      <c r="B8" s="18" t="s">
        <v>14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  <c r="P8" s="2" t="s">
        <v>11</v>
      </c>
      <c r="Q8" s="21" t="s">
        <v>12</v>
      </c>
      <c r="R8" s="22"/>
      <c r="S8" s="22"/>
      <c r="T8" s="23"/>
      <c r="U8" s="21" t="s">
        <v>15</v>
      </c>
      <c r="V8" s="22"/>
      <c r="W8" s="23"/>
      <c r="X8" s="24">
        <v>19057.5</v>
      </c>
      <c r="Y8" s="25"/>
      <c r="Z8" s="4">
        <f t="shared" ref="Z8:Z24" si="0">AA8/Q8</f>
        <v>2541</v>
      </c>
      <c r="AA8" s="4">
        <f t="shared" ref="AA8:AA24" si="1">X8*0.4</f>
        <v>7623</v>
      </c>
    </row>
    <row r="9" spans="1:27" ht="25.2" customHeight="1" x14ac:dyDescent="0.3">
      <c r="A9" s="1">
        <v>3</v>
      </c>
      <c r="B9" s="18" t="s">
        <v>16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2" t="s">
        <v>11</v>
      </c>
      <c r="Q9" s="21" t="s">
        <v>17</v>
      </c>
      <c r="R9" s="22"/>
      <c r="S9" s="22"/>
      <c r="T9" s="23"/>
      <c r="U9" s="21" t="s">
        <v>18</v>
      </c>
      <c r="V9" s="22"/>
      <c r="W9" s="23"/>
      <c r="X9" s="24">
        <v>242157.3</v>
      </c>
      <c r="Y9" s="25"/>
      <c r="Z9" s="4">
        <f t="shared" si="0"/>
        <v>2935.24</v>
      </c>
      <c r="AA9" s="4">
        <f t="shared" si="1"/>
        <v>96862.92</v>
      </c>
    </row>
    <row r="10" spans="1:27" ht="25.2" customHeight="1" x14ac:dyDescent="0.3">
      <c r="A10" s="1">
        <v>4</v>
      </c>
      <c r="B10" s="18" t="s">
        <v>19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2" t="s">
        <v>11</v>
      </c>
      <c r="Q10" s="21" t="s">
        <v>20</v>
      </c>
      <c r="R10" s="22"/>
      <c r="S10" s="22"/>
      <c r="T10" s="23"/>
      <c r="U10" s="21" t="s">
        <v>21</v>
      </c>
      <c r="V10" s="22"/>
      <c r="W10" s="23"/>
      <c r="X10" s="24">
        <v>628999.80000000005</v>
      </c>
      <c r="Y10" s="25"/>
      <c r="Z10" s="4">
        <f t="shared" si="0"/>
        <v>3225.6400000000003</v>
      </c>
      <c r="AA10" s="4">
        <f t="shared" si="1"/>
        <v>251599.92000000004</v>
      </c>
    </row>
    <row r="11" spans="1:27" ht="25.2" customHeight="1" x14ac:dyDescent="0.3">
      <c r="A11" s="1">
        <v>5</v>
      </c>
      <c r="B11" s="18" t="s">
        <v>22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2" t="s">
        <v>11</v>
      </c>
      <c r="Q11" s="21" t="s">
        <v>23</v>
      </c>
      <c r="R11" s="22"/>
      <c r="S11" s="22"/>
      <c r="T11" s="23"/>
      <c r="U11" s="21" t="s">
        <v>24</v>
      </c>
      <c r="V11" s="22"/>
      <c r="W11" s="23"/>
      <c r="X11" s="24">
        <v>232289.2</v>
      </c>
      <c r="Y11" s="25"/>
      <c r="Z11" s="4">
        <f t="shared" si="0"/>
        <v>3573.6800000000003</v>
      </c>
      <c r="AA11" s="4">
        <f t="shared" si="1"/>
        <v>92915.680000000008</v>
      </c>
    </row>
    <row r="12" spans="1:27" ht="25.2" customHeight="1" x14ac:dyDescent="0.3">
      <c r="A12" s="1">
        <v>6</v>
      </c>
      <c r="B12" s="18" t="s">
        <v>25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2" t="s">
        <v>11</v>
      </c>
      <c r="Q12" s="21" t="s">
        <v>26</v>
      </c>
      <c r="R12" s="22"/>
      <c r="S12" s="22"/>
      <c r="T12" s="23"/>
      <c r="U12" s="21" t="s">
        <v>27</v>
      </c>
      <c r="V12" s="22"/>
      <c r="W12" s="23"/>
      <c r="X12" s="24">
        <v>146520</v>
      </c>
      <c r="Y12" s="25"/>
      <c r="Z12" s="4">
        <f t="shared" si="0"/>
        <v>3907.2</v>
      </c>
      <c r="AA12" s="4">
        <f t="shared" si="1"/>
        <v>58608</v>
      </c>
    </row>
    <row r="13" spans="1:27" ht="25.2" customHeight="1" x14ac:dyDescent="0.3">
      <c r="A13" s="1">
        <v>7</v>
      </c>
      <c r="B13" s="18" t="s">
        <v>28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2" t="s">
        <v>11</v>
      </c>
      <c r="Q13" s="21" t="s">
        <v>29</v>
      </c>
      <c r="R13" s="22"/>
      <c r="S13" s="22"/>
      <c r="T13" s="23"/>
      <c r="U13" s="21" t="s">
        <v>30</v>
      </c>
      <c r="V13" s="22"/>
      <c r="W13" s="23"/>
      <c r="X13" s="24">
        <v>193525.2</v>
      </c>
      <c r="Y13" s="25"/>
      <c r="Z13" s="4">
        <f t="shared" si="0"/>
        <v>4300.5600000000004</v>
      </c>
      <c r="AA13" s="4">
        <f t="shared" si="1"/>
        <v>77410.080000000002</v>
      </c>
    </row>
    <row r="14" spans="1:27" ht="25.2" customHeight="1" x14ac:dyDescent="0.3">
      <c r="A14" s="1">
        <v>8</v>
      </c>
      <c r="B14" s="18" t="s">
        <v>31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" t="s">
        <v>11</v>
      </c>
      <c r="Q14" s="21" t="s">
        <v>32</v>
      </c>
      <c r="R14" s="22"/>
      <c r="S14" s="22"/>
      <c r="T14" s="23"/>
      <c r="U14" s="21" t="s">
        <v>33</v>
      </c>
      <c r="V14" s="22"/>
      <c r="W14" s="23"/>
      <c r="X14" s="24">
        <v>203605.6</v>
      </c>
      <c r="Y14" s="25"/>
      <c r="Z14" s="4">
        <f t="shared" si="0"/>
        <v>4790.72</v>
      </c>
      <c r="AA14" s="4">
        <f t="shared" si="1"/>
        <v>81442.240000000005</v>
      </c>
    </row>
    <row r="15" spans="1:27" ht="25.2" customHeight="1" x14ac:dyDescent="0.3">
      <c r="A15" s="1">
        <v>9</v>
      </c>
      <c r="B15" s="18" t="s">
        <v>34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" t="s">
        <v>11</v>
      </c>
      <c r="Q15" s="21" t="s">
        <v>35</v>
      </c>
      <c r="R15" s="22"/>
      <c r="S15" s="22"/>
      <c r="T15" s="23"/>
      <c r="U15" s="21" t="s">
        <v>36</v>
      </c>
      <c r="V15" s="22"/>
      <c r="W15" s="23"/>
      <c r="X15" s="24">
        <v>51365.599999999999</v>
      </c>
      <c r="Y15" s="25"/>
      <c r="Z15" s="4">
        <f t="shared" si="0"/>
        <v>5136.5600000000004</v>
      </c>
      <c r="AA15" s="4">
        <f t="shared" si="1"/>
        <v>20546.240000000002</v>
      </c>
    </row>
    <row r="16" spans="1:27" ht="25.2" customHeight="1" x14ac:dyDescent="0.3">
      <c r="A16" s="1">
        <v>10</v>
      </c>
      <c r="B16" s="18" t="s">
        <v>37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" t="s">
        <v>11</v>
      </c>
      <c r="Q16" s="21" t="s">
        <v>38</v>
      </c>
      <c r="R16" s="22"/>
      <c r="S16" s="22"/>
      <c r="T16" s="23"/>
      <c r="U16" s="21" t="s">
        <v>39</v>
      </c>
      <c r="V16" s="22"/>
      <c r="W16" s="23"/>
      <c r="X16" s="24">
        <v>88354.2</v>
      </c>
      <c r="Y16" s="25"/>
      <c r="Z16" s="4">
        <f t="shared" si="0"/>
        <v>5890.28</v>
      </c>
      <c r="AA16" s="4">
        <f t="shared" si="1"/>
        <v>35341.68</v>
      </c>
    </row>
    <row r="17" spans="1:27" ht="25.2" customHeight="1" x14ac:dyDescent="0.3">
      <c r="A17" s="1">
        <v>11</v>
      </c>
      <c r="B17" s="18" t="s">
        <v>40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" t="s">
        <v>11</v>
      </c>
      <c r="Q17" s="21" t="s">
        <v>12</v>
      </c>
      <c r="R17" s="22"/>
      <c r="S17" s="22"/>
      <c r="T17" s="23"/>
      <c r="U17" s="21" t="s">
        <v>41</v>
      </c>
      <c r="V17" s="22"/>
      <c r="W17" s="23"/>
      <c r="X17" s="24">
        <v>50447.1</v>
      </c>
      <c r="Y17" s="25"/>
      <c r="Z17" s="4">
        <f t="shared" si="0"/>
        <v>6726.28</v>
      </c>
      <c r="AA17" s="4">
        <f t="shared" si="1"/>
        <v>20178.84</v>
      </c>
    </row>
    <row r="18" spans="1:27" ht="25.2" customHeight="1" x14ac:dyDescent="0.3">
      <c r="A18" s="1">
        <v>12</v>
      </c>
      <c r="B18" s="18" t="s">
        <v>42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" t="s">
        <v>11</v>
      </c>
      <c r="Q18" s="21" t="s">
        <v>43</v>
      </c>
      <c r="R18" s="22"/>
      <c r="S18" s="22"/>
      <c r="T18" s="23"/>
      <c r="U18" s="21" t="s">
        <v>44</v>
      </c>
      <c r="V18" s="22"/>
      <c r="W18" s="23"/>
      <c r="X18" s="24">
        <v>146300</v>
      </c>
      <c r="Y18" s="25"/>
      <c r="Z18" s="4">
        <f t="shared" si="0"/>
        <v>2926</v>
      </c>
      <c r="AA18" s="4">
        <f t="shared" si="1"/>
        <v>58520</v>
      </c>
    </row>
    <row r="19" spans="1:27" ht="25.2" customHeight="1" x14ac:dyDescent="0.3">
      <c r="A19" s="1">
        <v>13</v>
      </c>
      <c r="B19" s="18" t="s">
        <v>45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" t="s">
        <v>11</v>
      </c>
      <c r="Q19" s="21" t="s">
        <v>46</v>
      </c>
      <c r="R19" s="22"/>
      <c r="S19" s="22"/>
      <c r="T19" s="23"/>
      <c r="U19" s="21" t="s">
        <v>47</v>
      </c>
      <c r="V19" s="22"/>
      <c r="W19" s="23"/>
      <c r="X19" s="24">
        <v>99198</v>
      </c>
      <c r="Y19" s="25"/>
      <c r="Z19" s="4">
        <f t="shared" si="0"/>
        <v>3967.9200000000005</v>
      </c>
      <c r="AA19" s="4">
        <f t="shared" si="1"/>
        <v>39679.200000000004</v>
      </c>
    </row>
    <row r="20" spans="1:27" ht="25.2" customHeight="1" x14ac:dyDescent="0.3">
      <c r="A20" s="1">
        <v>14</v>
      </c>
      <c r="B20" s="18" t="s">
        <v>48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2" t="s">
        <v>11</v>
      </c>
      <c r="Q20" s="21" t="s">
        <v>38</v>
      </c>
      <c r="R20" s="22"/>
      <c r="S20" s="22"/>
      <c r="T20" s="23"/>
      <c r="U20" s="21" t="s">
        <v>49</v>
      </c>
      <c r="V20" s="22"/>
      <c r="W20" s="23"/>
      <c r="X20" s="24">
        <v>92208.6</v>
      </c>
      <c r="Y20" s="25"/>
      <c r="Z20" s="4">
        <f t="shared" si="0"/>
        <v>6147.2400000000007</v>
      </c>
      <c r="AA20" s="4">
        <f t="shared" si="1"/>
        <v>36883.440000000002</v>
      </c>
    </row>
    <row r="21" spans="1:27" ht="25.2" customHeight="1" x14ac:dyDescent="0.3">
      <c r="A21" s="1">
        <v>15</v>
      </c>
      <c r="B21" s="18" t="s">
        <v>50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2" t="s">
        <v>11</v>
      </c>
      <c r="Q21" s="21" t="s">
        <v>51</v>
      </c>
      <c r="R21" s="22"/>
      <c r="S21" s="22"/>
      <c r="T21" s="23"/>
      <c r="U21" s="21" t="s">
        <v>52</v>
      </c>
      <c r="V21" s="22"/>
      <c r="W21" s="23"/>
      <c r="X21" s="24">
        <v>28010.400000000001</v>
      </c>
      <c r="Y21" s="25"/>
      <c r="Z21" s="4">
        <f t="shared" si="0"/>
        <v>5602.0800000000008</v>
      </c>
      <c r="AA21" s="4">
        <f t="shared" si="1"/>
        <v>11204.160000000002</v>
      </c>
    </row>
    <row r="22" spans="1:27" ht="25.2" customHeight="1" x14ac:dyDescent="0.3">
      <c r="A22" s="1">
        <v>16</v>
      </c>
      <c r="B22" s="18" t="s">
        <v>53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2" t="s">
        <v>11</v>
      </c>
      <c r="Q22" s="21" t="s">
        <v>54</v>
      </c>
      <c r="R22" s="22"/>
      <c r="S22" s="22"/>
      <c r="T22" s="23"/>
      <c r="U22" s="21" t="s">
        <v>55</v>
      </c>
      <c r="V22" s="22"/>
      <c r="W22" s="23"/>
      <c r="X22" s="24">
        <v>85536</v>
      </c>
      <c r="Y22" s="25"/>
      <c r="Z22" s="4">
        <f t="shared" si="0"/>
        <v>4276.8</v>
      </c>
      <c r="AA22" s="4">
        <f t="shared" si="1"/>
        <v>34214.400000000001</v>
      </c>
    </row>
    <row r="23" spans="1:27" ht="25.2" customHeight="1" x14ac:dyDescent="0.3">
      <c r="A23" s="1">
        <v>17</v>
      </c>
      <c r="B23" s="18" t="s">
        <v>56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2" t="s">
        <v>11</v>
      </c>
      <c r="Q23" s="21" t="s">
        <v>51</v>
      </c>
      <c r="R23" s="22"/>
      <c r="S23" s="22"/>
      <c r="T23" s="23"/>
      <c r="U23" s="21" t="s">
        <v>57</v>
      </c>
      <c r="V23" s="22"/>
      <c r="W23" s="23"/>
      <c r="X23" s="24">
        <v>33083.599999999999</v>
      </c>
      <c r="Y23" s="25"/>
      <c r="Z23" s="4">
        <f t="shared" si="0"/>
        <v>6616.72</v>
      </c>
      <c r="AA23" s="4">
        <f t="shared" si="1"/>
        <v>13233.44</v>
      </c>
    </row>
    <row r="24" spans="1:27" ht="25.2" customHeight="1" thickBot="1" x14ac:dyDescent="0.35">
      <c r="A24" s="1">
        <v>18</v>
      </c>
      <c r="B24" s="9" t="s">
        <v>58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2" t="s">
        <v>11</v>
      </c>
      <c r="Q24" s="12" t="s">
        <v>51</v>
      </c>
      <c r="R24" s="13"/>
      <c r="S24" s="13"/>
      <c r="T24" s="14"/>
      <c r="U24" s="12" t="s">
        <v>59</v>
      </c>
      <c r="V24" s="13"/>
      <c r="W24" s="14"/>
      <c r="X24" s="15">
        <v>35732.400000000001</v>
      </c>
      <c r="Y24" s="16"/>
      <c r="Z24" s="4">
        <f t="shared" si="0"/>
        <v>7146.4800000000005</v>
      </c>
      <c r="AA24" s="4">
        <f t="shared" si="1"/>
        <v>14292.960000000001</v>
      </c>
    </row>
    <row r="25" spans="1:27" ht="13.8" customHeight="1" x14ac:dyDescent="0.3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7" ht="13.8" customHeight="1" x14ac:dyDescent="0.3">
      <c r="A26" s="6" t="s">
        <v>60</v>
      </c>
      <c r="B26" s="6"/>
      <c r="C26" s="6"/>
      <c r="D26" s="6"/>
      <c r="E26" s="7" t="s">
        <v>61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6" customHeight="1" x14ac:dyDescent="0.3">
      <c r="A27" s="6"/>
      <c r="B27" s="6"/>
      <c r="C27" s="6"/>
      <c r="D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7" x14ac:dyDescent="0.3">
      <c r="AA28" s="5">
        <f>SUM(AA7:AA27)</f>
        <v>957252.56</v>
      </c>
    </row>
  </sheetData>
  <mergeCells count="96">
    <mergeCell ref="A1:Y1"/>
    <mergeCell ref="A2:M2"/>
    <mergeCell ref="N2:S2"/>
    <mergeCell ref="T2:Y2"/>
    <mergeCell ref="A3:R3"/>
    <mergeCell ref="S3:V3"/>
    <mergeCell ref="W3:Y3"/>
    <mergeCell ref="A4:Y4"/>
    <mergeCell ref="A5:A6"/>
    <mergeCell ref="B5:O6"/>
    <mergeCell ref="P5:P6"/>
    <mergeCell ref="Q5:T6"/>
    <mergeCell ref="U5:W5"/>
    <mergeCell ref="X5:Y5"/>
    <mergeCell ref="U6:W6"/>
    <mergeCell ref="X6:Y6"/>
    <mergeCell ref="B7:O7"/>
    <mergeCell ref="Q7:T7"/>
    <mergeCell ref="U7:W7"/>
    <mergeCell ref="X7:Y7"/>
    <mergeCell ref="B8:O8"/>
    <mergeCell ref="Q8:T8"/>
    <mergeCell ref="U8:W8"/>
    <mergeCell ref="X8:Y8"/>
    <mergeCell ref="B9:O9"/>
    <mergeCell ref="Q9:T9"/>
    <mergeCell ref="U9:W9"/>
    <mergeCell ref="X9:Y9"/>
    <mergeCell ref="B10:O10"/>
    <mergeCell ref="Q10:T10"/>
    <mergeCell ref="U10:W10"/>
    <mergeCell ref="X10:Y10"/>
    <mergeCell ref="B11:O11"/>
    <mergeCell ref="Q11:T11"/>
    <mergeCell ref="U11:W11"/>
    <mergeCell ref="X11:Y11"/>
    <mergeCell ref="B12:O12"/>
    <mergeCell ref="Q12:T12"/>
    <mergeCell ref="U12:W12"/>
    <mergeCell ref="X12:Y12"/>
    <mergeCell ref="B13:O13"/>
    <mergeCell ref="Q13:T13"/>
    <mergeCell ref="U13:W13"/>
    <mergeCell ref="X13:Y13"/>
    <mergeCell ref="B14:O14"/>
    <mergeCell ref="Q14:T14"/>
    <mergeCell ref="U14:W14"/>
    <mergeCell ref="X14:Y14"/>
    <mergeCell ref="B15:O15"/>
    <mergeCell ref="Q15:T15"/>
    <mergeCell ref="U15:W15"/>
    <mergeCell ref="X15:Y15"/>
    <mergeCell ref="B16:O16"/>
    <mergeCell ref="Q16:T16"/>
    <mergeCell ref="U16:W16"/>
    <mergeCell ref="X16:Y16"/>
    <mergeCell ref="B17:O17"/>
    <mergeCell ref="Q17:T17"/>
    <mergeCell ref="U17:W17"/>
    <mergeCell ref="X17:Y17"/>
    <mergeCell ref="B18:O18"/>
    <mergeCell ref="Q18:T18"/>
    <mergeCell ref="U18:W18"/>
    <mergeCell ref="X18:Y18"/>
    <mergeCell ref="B19:O19"/>
    <mergeCell ref="Q19:T19"/>
    <mergeCell ref="U19:W19"/>
    <mergeCell ref="X19:Y19"/>
    <mergeCell ref="B20:O20"/>
    <mergeCell ref="Q20:T20"/>
    <mergeCell ref="U20:W20"/>
    <mergeCell ref="X20:Y20"/>
    <mergeCell ref="B21:O21"/>
    <mergeCell ref="Q21:T21"/>
    <mergeCell ref="U21:W21"/>
    <mergeCell ref="X21:Y21"/>
    <mergeCell ref="B22:O22"/>
    <mergeCell ref="Q22:T22"/>
    <mergeCell ref="U22:W22"/>
    <mergeCell ref="X22:Y22"/>
    <mergeCell ref="B23:O23"/>
    <mergeCell ref="Q23:T23"/>
    <mergeCell ref="U23:W23"/>
    <mergeCell ref="X23:Y23"/>
    <mergeCell ref="B24:O24"/>
    <mergeCell ref="Q24:T24"/>
    <mergeCell ref="U24:W24"/>
    <mergeCell ref="X24:Y24"/>
    <mergeCell ref="B25:N25"/>
    <mergeCell ref="O25:Y25"/>
    <mergeCell ref="A26:D26"/>
    <mergeCell ref="E26:Y26"/>
    <mergeCell ref="A27:D27"/>
    <mergeCell ref="E27:L27"/>
    <mergeCell ref="M27:Q27"/>
    <mergeCell ref="R27:Y2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Комм. пред без артикула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Комм. пред без артикула.html</dc:title>
  <dc:creator>Выдрин Михаил</dc:creator>
  <cp:lastModifiedBy>Абдуллин Олег (EngP3/SLC1)</cp:lastModifiedBy>
  <dcterms:created xsi:type="dcterms:W3CDTF">2025-11-07T05:37:51Z</dcterms:created>
  <dcterms:modified xsi:type="dcterms:W3CDTF">2025-11-07T10:43:24Z</dcterms:modified>
</cp:coreProperties>
</file>