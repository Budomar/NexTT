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ANTROPOV\METEOR\Продукция\Радиаторы\Проекты по радиаторам\"/>
    </mc:Choice>
  </mc:AlternateContent>
  <xr:revisionPtr revIDLastSave="0" documentId="8_{A84EE9C1-D740-4A7F-ACA4-8376541C87B5}" xr6:coauthVersionLast="47" xr6:coauthVersionMax="47" xr10:uidLastSave="{00000000-0000-0000-0000-000000000000}"/>
  <workbookProtection workbookAlgorithmName="SHA-512" workbookHashValue="TpCL5TnCwtK++pOG0MYfLk0z9mzWdLxqmGabyAEPn0HupX0U2P4DsTXt3DLdFOWNuH8LLoyNPXArZYMfoumvqg==" workbookSaltValue="bAILRu0vWFBClFZzUw73/w==" workbookSpinCount="100000" lockStructure="1"/>
  <bookViews>
    <workbookView xWindow="-120" yWindow="-120" windowWidth="29040" windowHeight="15840" xr2:uid="{35DD4CAB-596C-4876-9E49-A73B8B8B805C}"/>
  </bookViews>
  <sheets>
    <sheet name="Лист1" sheetId="1" r:id="rId1"/>
    <sheet name="Лист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1" l="1"/>
  <c r="A28" i="1"/>
  <c r="A27" i="1"/>
  <c r="A26" i="1"/>
  <c r="A24" i="1"/>
  <c r="A23" i="1"/>
  <c r="B27" i="1" l="1"/>
  <c r="A22" i="1"/>
  <c r="A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Диканов Евгений (EngP3/SRC1)</author>
  </authors>
  <commentList>
    <comment ref="A26" authorId="0" shapeId="0" xr:uid="{B0A2DB77-BCC5-41C0-929F-2817217F48C7}">
      <text/>
    </comment>
    <comment ref="D34" authorId="0" shapeId="0" xr:uid="{A65D40D9-EC05-4CB9-A9C9-D4908994D250}">
      <text/>
    </comment>
  </commentList>
</comments>
</file>

<file path=xl/sharedStrings.xml><?xml version="1.0" encoding="utf-8"?>
<sst xmlns="http://schemas.openxmlformats.org/spreadsheetml/2006/main" count="263" uniqueCount="160">
  <si>
    <t>Например, ООО "ААА"</t>
  </si>
  <si>
    <t>Название объекта</t>
  </si>
  <si>
    <t>Тип регистрируемого оборудования</t>
  </si>
  <si>
    <t>METEOR</t>
  </si>
  <si>
    <t>Buderus</t>
  </si>
  <si>
    <t>Purmo</t>
  </si>
  <si>
    <t>Vogel&amp;Noot</t>
  </si>
  <si>
    <t>EVRA</t>
  </si>
  <si>
    <t>Kermi</t>
  </si>
  <si>
    <t>Royal Thermo</t>
  </si>
  <si>
    <t>Oasis</t>
  </si>
  <si>
    <t>Valfex</t>
  </si>
  <si>
    <t>Lemax</t>
  </si>
  <si>
    <t>Ростерм</t>
  </si>
  <si>
    <t>Лидея</t>
  </si>
  <si>
    <t>Rommer</t>
  </si>
  <si>
    <t>Другой</t>
  </si>
  <si>
    <t>Наименование проектной организации</t>
  </si>
  <si>
    <t>Настенные котлы METEOR</t>
  </si>
  <si>
    <t>Bosch/Buderus</t>
  </si>
  <si>
    <t>Baxi</t>
  </si>
  <si>
    <t>Ariston</t>
  </si>
  <si>
    <t>Navien</t>
  </si>
  <si>
    <t>Mizudo</t>
  </si>
  <si>
    <t>Kiturami</t>
  </si>
  <si>
    <t>De Dietrich</t>
  </si>
  <si>
    <t>ELCO</t>
  </si>
  <si>
    <t>Выберите значение</t>
  </si>
  <si>
    <t>Например: ООО "ААА"</t>
  </si>
  <si>
    <t>ЖК, ГП, очередь, секция (например: ЖК Счастье, 3 очередь, секция 4.1-4.2)</t>
  </si>
  <si>
    <t>Например: обл. Новосибирская, г. Новосибирск, ул. Ленина 111</t>
  </si>
  <si>
    <t>Фактический адрес объекта (выберите регион)</t>
  </si>
  <si>
    <t>Полный фактический адрес объекта</t>
  </si>
  <si>
    <t>Формуляр проекта</t>
  </si>
  <si>
    <t>Данные о вашей компании</t>
  </si>
  <si>
    <t>Заполненный формуляр необходимо отправить на mt@ez.meteor.ru</t>
  </si>
  <si>
    <t>Наименование</t>
  </si>
  <si>
    <t xml:space="preserve">ИНН </t>
  </si>
  <si>
    <t>Данные о проекте</t>
  </si>
  <si>
    <r>
      <t xml:space="preserve">Предполагаемый период </t>
    </r>
    <r>
      <rPr>
        <b/>
        <sz val="20"/>
        <color theme="1"/>
        <rFont val="Calibri"/>
        <family val="2"/>
        <charset val="204"/>
        <scheme val="minor"/>
      </rPr>
      <t>отгрузки</t>
    </r>
    <r>
      <rPr>
        <sz val="20"/>
        <color theme="1"/>
        <rFont val="Calibri"/>
        <family val="2"/>
        <charset val="204"/>
        <scheme val="minor"/>
      </rPr>
      <t xml:space="preserve"> на ваш склад/на объект</t>
    </r>
  </si>
  <si>
    <t>Ответственный за проект менеджер вашей компании</t>
  </si>
  <si>
    <r>
      <t xml:space="preserve">Все строки, выделенные </t>
    </r>
    <r>
      <rPr>
        <b/>
        <u/>
        <sz val="18"/>
        <color theme="2" tint="-0.249977111117893"/>
        <rFont val="Calibri"/>
        <family val="2"/>
        <charset val="204"/>
        <scheme val="minor"/>
      </rPr>
      <t>серым цветом</t>
    </r>
    <r>
      <rPr>
        <b/>
        <sz val="18"/>
        <color theme="0"/>
        <rFont val="Calibri"/>
        <family val="2"/>
        <charset val="204"/>
        <scheme val="minor"/>
      </rPr>
      <t>, обязательны к заполнению</t>
    </r>
  </si>
  <si>
    <t>Владимирская область</t>
  </si>
  <si>
    <t>Бытовое оборудование</t>
  </si>
  <si>
    <t>Промышленное оборудование</t>
  </si>
  <si>
    <t>Алтайский край</t>
  </si>
  <si>
    <t>Савоськин Денис</t>
  </si>
  <si>
    <t>Амурская область</t>
  </si>
  <si>
    <t>Архангельская область</t>
  </si>
  <si>
    <t>Федорович Евгений</t>
  </si>
  <si>
    <t>Астраханская область</t>
  </si>
  <si>
    <t>Шаповалов Алексей</t>
  </si>
  <si>
    <t>Белгородская область</t>
  </si>
  <si>
    <t>Кулаков Виктор</t>
  </si>
  <si>
    <t>Брянская область</t>
  </si>
  <si>
    <t>Волгоградская область</t>
  </si>
  <si>
    <t>Вологодская область</t>
  </si>
  <si>
    <t>Воронежская область</t>
  </si>
  <si>
    <t>Г. Санкт-Петербург</t>
  </si>
  <si>
    <t>Г. Севастополь</t>
  </si>
  <si>
    <t>Еврейская автономная область</t>
  </si>
  <si>
    <t>Забайкальский край</t>
  </si>
  <si>
    <t>Ивановская область</t>
  </si>
  <si>
    <t>Иркутская область</t>
  </si>
  <si>
    <t>Кабардино-Балкарская Республика</t>
  </si>
  <si>
    <t>Калининградская область</t>
  </si>
  <si>
    <t>Калужская область</t>
  </si>
  <si>
    <t>Камчатский край</t>
  </si>
  <si>
    <t>Карачаево-Черкесская Республика</t>
  </si>
  <si>
    <t>Кемеровская область - Кузбасс</t>
  </si>
  <si>
    <t>Кировская область</t>
  </si>
  <si>
    <t>Русинов Дмитрий</t>
  </si>
  <si>
    <t>Костромская область</t>
  </si>
  <si>
    <t>Краснодарский край</t>
  </si>
  <si>
    <t>Красноярский край</t>
  </si>
  <si>
    <t>Курганская область</t>
  </si>
  <si>
    <t>Диканов Евгений</t>
  </si>
  <si>
    <t>Курская область</t>
  </si>
  <si>
    <t>Ленинградская область</t>
  </si>
  <si>
    <t>Липецкая область</t>
  </si>
  <si>
    <t>Магаданская область</t>
  </si>
  <si>
    <t>Москва</t>
  </si>
  <si>
    <t>Московская область</t>
  </si>
  <si>
    <t>Мурманская область</t>
  </si>
  <si>
    <t>Нижегородская область</t>
  </si>
  <si>
    <t>Яковлев Николай</t>
  </si>
  <si>
    <t>Новгородская область</t>
  </si>
  <si>
    <t>Новосибирская область</t>
  </si>
  <si>
    <t>Омская область</t>
  </si>
  <si>
    <t>Оренбургская область</t>
  </si>
  <si>
    <t>Балтер Павел</t>
  </si>
  <si>
    <t>Орловская область</t>
  </si>
  <si>
    <t>Пензенская область</t>
  </si>
  <si>
    <t>Пермский край</t>
  </si>
  <si>
    <t>Приморский край</t>
  </si>
  <si>
    <t>Псковская область</t>
  </si>
  <si>
    <t>Республика Адыгея (Адыгея)</t>
  </si>
  <si>
    <t>Республика Алтай</t>
  </si>
  <si>
    <t>Республика Башкортостан</t>
  </si>
  <si>
    <t>Республика Бурятия</t>
  </si>
  <si>
    <t>Республика Дагестан</t>
  </si>
  <si>
    <t>Республика Ингушетия</t>
  </si>
  <si>
    <t>Республика Калмыкия</t>
  </si>
  <si>
    <t>Республика Карелия</t>
  </si>
  <si>
    <t>Республика Коми</t>
  </si>
  <si>
    <t>Республика Крым</t>
  </si>
  <si>
    <t>Республика Марий Эл</t>
  </si>
  <si>
    <t>Республика Мордовия</t>
  </si>
  <si>
    <t>Республика Саха (Якутия)</t>
  </si>
  <si>
    <t>Республика Северная Осетия - Алания</t>
  </si>
  <si>
    <t>Республика Татарстан (Татарстан)</t>
  </si>
  <si>
    <t>Республика Тыва</t>
  </si>
  <si>
    <t>Республика Хакасия</t>
  </si>
  <si>
    <t>Ростовская область</t>
  </si>
  <si>
    <t>Рязанская область</t>
  </si>
  <si>
    <t>Самарская область</t>
  </si>
  <si>
    <t>Саратовская область</t>
  </si>
  <si>
    <t>Сахалинская область</t>
  </si>
  <si>
    <t>Свердловская область</t>
  </si>
  <si>
    <t>Смоленская область</t>
  </si>
  <si>
    <t>Ставропольский край</t>
  </si>
  <si>
    <t>Тамбовская область</t>
  </si>
  <si>
    <t>Тверская область</t>
  </si>
  <si>
    <t>Томская область</t>
  </si>
  <si>
    <t>Тульская область</t>
  </si>
  <si>
    <t>Тюменская область</t>
  </si>
  <si>
    <t>Пименов Павел</t>
  </si>
  <si>
    <t>Удмуртская Республика</t>
  </si>
  <si>
    <t>Ульяновская область</t>
  </si>
  <si>
    <t>Хабаровский край</t>
  </si>
  <si>
    <t>Ханты-Мансийский автономный округ - Югра</t>
  </si>
  <si>
    <t>Челябинская область</t>
  </si>
  <si>
    <t>Чеченская Республика</t>
  </si>
  <si>
    <t>Чувашская Республика - Чувашия</t>
  </si>
  <si>
    <t>Чукотский автономный округ</t>
  </si>
  <si>
    <t>Ямало-Ненецкий автономный округ</t>
  </si>
  <si>
    <t>Ярославская область</t>
  </si>
  <si>
    <t>Донецкая Народная Республика</t>
  </si>
  <si>
    <t>Луганская Народная Республика</t>
  </si>
  <si>
    <t>Херсонская область</t>
  </si>
  <si>
    <t>Запорожская область</t>
  </si>
  <si>
    <t>Беларусь</t>
  </si>
  <si>
    <t>Казахстан</t>
  </si>
  <si>
    <t>?</t>
  </si>
  <si>
    <r>
      <t>ФИО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sz val="16"/>
        <color theme="1"/>
        <rFont val="Calibri"/>
        <family val="2"/>
        <charset val="204"/>
        <scheme val="minor"/>
      </rPr>
      <t>(Иванов Иван Иванович)</t>
    </r>
  </si>
  <si>
    <r>
      <t xml:space="preserve">Телефон </t>
    </r>
    <r>
      <rPr>
        <sz val="16"/>
        <color theme="1"/>
        <rFont val="Calibri"/>
        <family val="2"/>
        <charset val="204"/>
        <scheme val="minor"/>
      </rPr>
      <t>(89001112233)</t>
    </r>
  </si>
  <si>
    <r>
      <t xml:space="preserve">E-mail </t>
    </r>
    <r>
      <rPr>
        <sz val="16"/>
        <color theme="1"/>
        <rFont val="Calibri"/>
        <family val="2"/>
        <charset val="204"/>
        <scheme val="minor"/>
      </rPr>
      <t>(aaa@bbb.ru)</t>
    </r>
  </si>
  <si>
    <t>Наведите курсор, чтобы отобразить пример
Например: 022-ПИР-15/ЭШЕР-ОВ3.2  Комплексное развитие незастроенной территории, расположенной в районе озера
Черное в городе Кургане. Многоквартирные жилые дома ГП6, ГП-7. Жилой дом ГП-7</t>
  </si>
  <si>
    <t>Иванов Иван</t>
  </si>
  <si>
    <t>Напольные котлы METEOR MK (от 2 шт)</t>
  </si>
  <si>
    <t>Радиаторы (от 100 шт)</t>
  </si>
  <si>
    <t>Настенные конденсационные котлы T2 (от 2 шт)</t>
  </si>
  <si>
    <t>3 кв 2025</t>
  </si>
  <si>
    <t>ООО "ПК"</t>
  </si>
  <si>
    <t>Свердловская область, г. Каменск-Уральский, Синарский район dsf</t>
  </si>
  <si>
    <t>Шифр проекта и название</t>
  </si>
  <si>
    <t>ООО "РОМАШКА"</t>
  </si>
  <si>
    <t>aa@ya.ru</t>
  </si>
  <si>
    <t>ЖК Счастье,3 очередь, секция 4.1</t>
  </si>
  <si>
    <t>022-ПИР-15/….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</si>
</sst>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48"/>
      <color theme="0"/>
      <name val="Mo"/>
      <charset val="204"/>
    </font>
    <font>
      <sz val="14"/>
      <color theme="0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u/>
      <sz val="18"/>
      <color theme="2" tint="-0.249977111117893"/>
      <name val="Calibri"/>
      <family val="2"/>
      <charset val="204"/>
      <scheme val="minor"/>
    </font>
    <font>
      <sz val="11"/>
      <name val="Calibri"/>
      <family val="2"/>
      <charset val="204"/>
    </font>
    <font>
      <u/>
      <sz val="20"/>
      <color theme="10"/>
      <name val="Calibri"/>
      <family val="2"/>
      <charset val="204"/>
      <scheme val="minor"/>
    </font>
    <font>
      <sz val="20"/>
      <color theme="10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sz val="20"/>
      <name val="Calibri"/>
      <family val="2"/>
      <charset val="204"/>
    </font>
    <font>
      <sz val="20"/>
      <color rgb="FF1C1B28"/>
      <name val="Calibri"/>
      <family val="2"/>
      <charset val="204"/>
    </font>
    <font>
      <sz val="20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431D28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13" fillId="0" borderId="0"/>
  </cellStyleXfs>
  <cellXfs count="35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4" fillId="3" borderId="0" xfId="0" applyFont="1" applyFill="1"/>
    <xf numFmtId="0" fontId="6" fillId="3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/>
    <xf numFmtId="0" fontId="8" fillId="0" borderId="0" xfId="0" applyFont="1" applyAlignment="1">
      <alignment horizontal="left" vertical="center" wrapText="1"/>
    </xf>
    <xf numFmtId="0" fontId="11" fillId="3" borderId="0" xfId="0" applyFont="1" applyFill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0" fontId="10" fillId="2" borderId="1" xfId="0" applyFont="1" applyFill="1" applyBorder="1" applyAlignment="1" applyProtection="1">
      <alignment horizontal="left" vertical="center"/>
      <protection locked="0" hidden="1"/>
    </xf>
    <xf numFmtId="0" fontId="10" fillId="2" borderId="1" xfId="0" applyFont="1" applyFill="1" applyBorder="1" applyAlignment="1" applyProtection="1">
      <alignment vertical="center"/>
      <protection locked="0" hidden="1"/>
    </xf>
    <xf numFmtId="0" fontId="17" fillId="5" borderId="2" xfId="0" applyFont="1" applyFill="1" applyBorder="1" applyAlignment="1" applyProtection="1">
      <alignment horizontal="left" vertical="center"/>
      <protection locked="0"/>
    </xf>
    <xf numFmtId="0" fontId="10" fillId="2" borderId="1" xfId="0" applyFont="1" applyFill="1" applyBorder="1" applyAlignment="1" applyProtection="1">
      <alignment horizontal="left" vertical="center" wrapText="1"/>
      <protection locked="0" hidden="1"/>
    </xf>
    <xf numFmtId="0" fontId="18" fillId="5" borderId="2" xfId="0" applyFont="1" applyFill="1" applyBorder="1" applyAlignment="1" applyProtection="1">
      <alignment horizontal="left" vertical="center"/>
      <protection locked="0"/>
    </xf>
    <xf numFmtId="0" fontId="10" fillId="5" borderId="2" xfId="0" applyFont="1" applyFill="1" applyBorder="1" applyAlignment="1" applyProtection="1">
      <alignment horizontal="left" vertical="center"/>
      <protection locked="0"/>
    </xf>
    <xf numFmtId="0" fontId="19" fillId="5" borderId="2" xfId="0" applyFont="1" applyFill="1" applyBorder="1" applyAlignment="1" applyProtection="1">
      <alignment horizontal="left" vertical="center"/>
      <protection locked="0"/>
    </xf>
    <xf numFmtId="0" fontId="14" fillId="5" borderId="2" xfId="1" applyFont="1" applyFill="1" applyBorder="1" applyAlignment="1" applyProtection="1">
      <alignment horizontal="left" vertical="center"/>
      <protection locked="0"/>
    </xf>
    <xf numFmtId="0" fontId="15" fillId="6" borderId="2" xfId="1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 wrapText="1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10" fillId="6" borderId="2" xfId="0" applyFont="1" applyFill="1" applyBorder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7" fillId="0" borderId="0" xfId="0" applyFont="1" applyAlignment="1">
      <alignment horizontal="center" vertical="center"/>
    </xf>
    <xf numFmtId="0" fontId="5" fillId="3" borderId="0" xfId="0" applyFont="1" applyFill="1" applyAlignment="1">
      <alignment horizontal="left" vertical="top"/>
    </xf>
    <xf numFmtId="0" fontId="9" fillId="0" borderId="0" xfId="0" applyFont="1" applyAlignment="1">
      <alignment horizontal="left" vertical="center" wrapText="1"/>
    </xf>
  </cellXfs>
  <cellStyles count="3">
    <cellStyle name="Гиперссылка" xfId="1" builtinId="8"/>
    <cellStyle name="Обычный" xfId="0" builtinId="0"/>
    <cellStyle name="Обычный 2" xfId="2" xr:uid="{4090C5FD-CE7C-48DA-9F92-F46ABE460E39}"/>
  </cellStyles>
  <dxfs count="0"/>
  <tableStyles count="0" defaultTableStyle="TableStyleMedium2" defaultPivotStyle="PivotStyleLight16"/>
  <colors>
    <mruColors>
      <color rgb="FF431D28"/>
      <color rgb="FFA50021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640773</xdr:colOff>
      <xdr:row>0</xdr:row>
      <xdr:rowOff>260464</xdr:rowOff>
    </xdr:from>
    <xdr:to>
      <xdr:col>4</xdr:col>
      <xdr:colOff>3515591</xdr:colOff>
      <xdr:row>2</xdr:row>
      <xdr:rowOff>99520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C691E2D-8AE5-AEF2-3C5A-30B291344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789728" y="260464"/>
          <a:ext cx="2874818" cy="964738"/>
        </a:xfrm>
        <a:prstGeom prst="rect">
          <a:avLst/>
        </a:prstGeom>
      </xdr:spPr>
    </xdr:pic>
    <xdr:clientData/>
  </xdr:twoCellAnchor>
  <xdr:twoCellAnchor editAs="oneCell">
    <xdr:from>
      <xdr:col>3</xdr:col>
      <xdr:colOff>3134592</xdr:colOff>
      <xdr:row>0</xdr:row>
      <xdr:rowOff>86591</xdr:rowOff>
    </xdr:from>
    <xdr:to>
      <xdr:col>3</xdr:col>
      <xdr:colOff>4356502</xdr:colOff>
      <xdr:row>2</xdr:row>
      <xdr:rowOff>225136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E9F9B95-964C-B1C8-75DC-3B5129A62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69092" y="86591"/>
          <a:ext cx="1221910" cy="12642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8F57C4-ECA8-46A7-9179-009FDE1EFF42}" name="Бренды" displayName="Бренды" ref="H1:K16" totalsRowShown="0">
  <autoFilter ref="H1:K16" xr:uid="{948F57C4-ECA8-46A7-9179-009FDE1EFF42}"/>
  <tableColumns count="4">
    <tableColumn id="6" xr3:uid="{AB82B7E0-6702-487C-82E4-4A89DDAC7AFA}" name="Радиаторы (от 100 шт)"/>
    <tableColumn id="5" xr3:uid="{8F2ABF4C-4C75-4177-AC87-F91A6412C322}" name="Настенные конденсационные котлы T2 (от 2 шт)"/>
    <tableColumn id="2" xr3:uid="{4E38FAF4-367F-47B9-96D0-3416CB383318}" name="Настенные котлы METEOR"/>
    <tableColumn id="3" xr3:uid="{F35F3D96-A673-479F-AFB7-6EB7520C03BA}" name="Напольные котлы METEOR MK (от 2 шт)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a@ya.ru" TargetMode="External"/><Relationship Id="rId1" Type="http://schemas.openxmlformats.org/officeDocument/2006/relationships/hyperlink" Target="https://&#1085;&#1072;&#1096;.&#1076;&#1086;&#1084;.&#1088;&#1092;/%D1%81%D0%B5%D1%80%D0%B2%D0%B8%D1%81%D1%8B/%D0%BA%D0%B0%D1%82%D0%B0%D0%BB%D0%BE%D0%B3-%D0%BD%D0%BE%D0%B2%D0%BE%D1%81%D1%82%D1%80%D0%BE%D0%B5%D0%BA/%D1%81%D0%BF%D0%B8%D1%81%D0%BE%D0%BA-%D0%BE%D0%B1%D1%8A%D0%B5%D0%BA%D1%82%D0%BE%D0%B2/%D0%BA%D0%B0%D1%80%D1%82%D0%B0?objStatus=0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0A87A-4413-4BA8-85BE-3C1AC83B163B}">
  <sheetPr codeName="Лист1"/>
  <dimension ref="A1:F68"/>
  <sheetViews>
    <sheetView showGridLines="0" tabSelected="1" zoomScale="55" zoomScaleNormal="55" workbookViewId="0">
      <selection activeCell="B35" sqref="B35"/>
    </sheetView>
  </sheetViews>
  <sheetFormatPr defaultColWidth="0" defaultRowHeight="15" zeroHeight="1"/>
  <cols>
    <col min="1" max="1" width="76.140625" customWidth="1"/>
    <col min="2" max="2" width="58.7109375" customWidth="1"/>
    <col min="3" max="3" width="5.28515625" customWidth="1"/>
    <col min="4" max="4" width="72.140625" customWidth="1"/>
    <col min="5" max="5" width="60" customWidth="1"/>
    <col min="6" max="6" width="1.28515625" customWidth="1"/>
    <col min="7" max="16384" width="9.140625" hidden="1"/>
  </cols>
  <sheetData>
    <row r="1" spans="1:5" ht="68.25" customHeight="1">
      <c r="A1" s="33" t="s">
        <v>33</v>
      </c>
      <c r="B1" s="33"/>
      <c r="C1" s="33"/>
      <c r="D1" s="33"/>
      <c r="E1" s="33"/>
    </row>
    <row r="2" spans="1:5" ht="20.25" customHeight="1">
      <c r="A2" s="13" t="s">
        <v>41</v>
      </c>
      <c r="B2" s="6"/>
      <c r="C2" s="6"/>
      <c r="D2" s="7"/>
      <c r="E2" s="7"/>
    </row>
    <row r="3" spans="1:5" ht="23.25" customHeight="1">
      <c r="A3" s="13" t="s">
        <v>35</v>
      </c>
      <c r="B3" s="8"/>
      <c r="C3" s="8"/>
      <c r="D3" s="7"/>
      <c r="E3" s="7"/>
    </row>
    <row r="4" spans="1:5" ht="33.75" customHeight="1">
      <c r="B4" s="1"/>
      <c r="C4" s="1"/>
    </row>
    <row r="5" spans="1:5" s="11" customFormat="1" ht="6.75" customHeight="1">
      <c r="A5" s="10"/>
      <c r="B5" s="10"/>
      <c r="C5" s="10"/>
      <c r="D5" s="10"/>
      <c r="E5" s="10"/>
    </row>
    <row r="6" spans="1:5" ht="39" customHeight="1">
      <c r="A6" s="32" t="s">
        <v>34</v>
      </c>
      <c r="B6" s="32"/>
      <c r="C6" s="32"/>
      <c r="D6" s="32"/>
      <c r="E6" s="32"/>
    </row>
    <row r="7" spans="1:5" ht="26.25">
      <c r="A7" s="15" t="s">
        <v>36</v>
      </c>
      <c r="B7" s="23" t="s">
        <v>156</v>
      </c>
      <c r="C7" s="9"/>
      <c r="D7" s="9"/>
      <c r="E7" s="9"/>
    </row>
    <row r="8" spans="1:5" ht="33.75">
      <c r="A8" s="12" t="s">
        <v>28</v>
      </c>
      <c r="B8" s="2"/>
      <c r="C8" s="2"/>
      <c r="D8" s="9"/>
      <c r="E8" s="9"/>
    </row>
    <row r="9" spans="1:5" ht="26.25">
      <c r="A9" s="15" t="s">
        <v>37</v>
      </c>
      <c r="B9" s="20">
        <v>7203326777</v>
      </c>
      <c r="C9" s="9"/>
      <c r="D9" s="9"/>
      <c r="E9" s="9"/>
    </row>
    <row r="10" spans="1:5" ht="26.25">
      <c r="A10" s="34" t="s">
        <v>40</v>
      </c>
      <c r="B10" s="34"/>
      <c r="C10" s="4"/>
      <c r="D10" s="9"/>
      <c r="E10" s="9"/>
    </row>
    <row r="11" spans="1:5" ht="26.25">
      <c r="A11" s="15" t="s">
        <v>144</v>
      </c>
      <c r="B11" s="23" t="s">
        <v>148</v>
      </c>
      <c r="C11" s="9"/>
      <c r="D11" s="9"/>
      <c r="E11" s="9"/>
    </row>
    <row r="12" spans="1:5" ht="26.25">
      <c r="A12" s="15" t="s">
        <v>145</v>
      </c>
      <c r="B12" s="23">
        <v>89001112233</v>
      </c>
      <c r="C12" s="9"/>
      <c r="D12" s="9"/>
      <c r="E12" s="9"/>
    </row>
    <row r="13" spans="1:5" ht="26.25">
      <c r="A13" s="15" t="s">
        <v>146</v>
      </c>
      <c r="B13" s="25" t="s">
        <v>157</v>
      </c>
      <c r="C13" s="9"/>
      <c r="D13" s="9"/>
      <c r="E13" s="9"/>
    </row>
    <row r="14" spans="1:5">
      <c r="A14" s="9"/>
      <c r="B14" s="9"/>
      <c r="C14" s="9"/>
      <c r="D14" s="9"/>
      <c r="E14" s="9"/>
    </row>
    <row r="15" spans="1:5">
      <c r="A15" s="9"/>
      <c r="B15" s="9"/>
      <c r="C15" s="9"/>
      <c r="D15" s="9"/>
      <c r="E15" s="9"/>
    </row>
    <row r="16" spans="1:5" s="11" customFormat="1" ht="6.75" customHeight="1">
      <c r="A16" s="10"/>
      <c r="B16" s="10"/>
      <c r="C16" s="10"/>
      <c r="D16" s="10"/>
      <c r="E16" s="10"/>
    </row>
    <row r="17" spans="1:5" ht="33.75">
      <c r="A17" s="32" t="s">
        <v>38</v>
      </c>
      <c r="B17" s="32"/>
      <c r="C17" s="32"/>
      <c r="D17" s="32"/>
      <c r="E17" s="32"/>
    </row>
    <row r="18" spans="1:5" ht="12" customHeight="1">
      <c r="A18" s="5"/>
      <c r="B18" s="5"/>
      <c r="C18" s="5"/>
      <c r="D18" s="5"/>
      <c r="E18" s="5"/>
    </row>
    <row r="19" spans="1:5" ht="49.5" customHeight="1">
      <c r="A19" s="15" t="s">
        <v>2</v>
      </c>
      <c r="B19" s="21" t="s">
        <v>150</v>
      </c>
      <c r="C19" s="9"/>
      <c r="D19" s="16" t="s">
        <v>1</v>
      </c>
      <c r="E19" s="23" t="s">
        <v>158</v>
      </c>
    </row>
    <row r="20" spans="1:5" ht="42">
      <c r="A20" s="15" t="str">
        <f>IF($B$19="Радиаторы (от 100 шт)","Бренд радиаторов в проекте","Бренд котлов в проекте")</f>
        <v>Бренд радиаторов в проекте</v>
      </c>
      <c r="B20" s="18" t="s">
        <v>4</v>
      </c>
      <c r="C20" s="9"/>
      <c r="D20" s="12" t="s">
        <v>29</v>
      </c>
    </row>
    <row r="21" spans="1:5" ht="26.25">
      <c r="A21" s="14" t="str">
        <f>IF(A20="Бренд радиаторов в проекте","Количество радиаторов в проекте","Модель, мощность и количество котлов")</f>
        <v>Количество радиаторов в проекте</v>
      </c>
      <c r="B21" s="23">
        <v>500</v>
      </c>
      <c r="C21" s="9"/>
      <c r="D21" s="9"/>
      <c r="E21" s="9"/>
    </row>
    <row r="22" spans="1:5" ht="18.75">
      <c r="A22" s="4" t="str">
        <f>IF(B19="SK/UL/UM","Например: SK-120 - 5 шт, SK-1200 - 1 шт",IF(B19="Напольные котлы METEOR MK (от 2 шт)","Например: MK300 - 2 шт, MK250 - 1 шт",IF(B19="Настенные котлы METEOR","Например: Q3-24С - 100 шт, Q3-18С - 20 шт","")))</f>
        <v/>
      </c>
      <c r="B22" s="3"/>
      <c r="C22" s="3"/>
      <c r="D22" s="9"/>
      <c r="E22" s="9"/>
    </row>
    <row r="23" spans="1:5" ht="52.5">
      <c r="A23" s="30" t="str">
        <f>IF($B$19="Радиаторы (от 100 шт)","Наименование застройщика","")</f>
        <v>Наименование застройщика</v>
      </c>
      <c r="B23" s="24"/>
      <c r="C23" s="9"/>
      <c r="D23" s="16" t="s">
        <v>31</v>
      </c>
      <c r="E23" s="19" t="s">
        <v>118</v>
      </c>
    </row>
    <row r="24" spans="1:5" ht="21">
      <c r="A24" s="27" t="str">
        <f>IF($B$19="Радиаторы (от 100 шт)","Например: Кортрос или СЗ 'Новый дом'","")</f>
        <v>Например: Кортрос или СЗ 'Новый дом'</v>
      </c>
      <c r="B24" s="3"/>
      <c r="C24" s="3"/>
    </row>
    <row r="25" spans="1:5" ht="18.75">
      <c r="A25" s="31"/>
      <c r="B25" s="3"/>
      <c r="C25" s="3"/>
    </row>
    <row r="26" spans="1:5" ht="26.25">
      <c r="A26" s="26" t="str">
        <f>IF($B$19="Радиаторы (от 100 шт)","ID дома с сайта наш.дом.рф","")</f>
        <v>ID дома с сайта наш.дом.рф</v>
      </c>
      <c r="B26" s="22"/>
      <c r="C26" s="9"/>
      <c r="D26" s="16" t="s">
        <v>32</v>
      </c>
      <c r="E26" s="23" t="s">
        <v>154</v>
      </c>
    </row>
    <row r="27" spans="1:5" ht="45" customHeight="1">
      <c r="A27" s="27" t="str">
        <f>IF($B$19="Радиаторы (от 100 шт)","Наведите курсор, чтобы отобразить пример
Нажмите на ссылку, чтобы открыть сайт","")</f>
        <v>Наведите курсор, чтобы отобразить пример
Нажмите на ссылку, чтобы открыть сайт</v>
      </c>
      <c r="B27" s="28" t="str">
        <f>IF(B26&gt;0,HYPERLINK(_xlfn.CONCAT("https://наш.дом.рф/сервисы/каталог-новостроек/объект/",B26),"проверка ссылки"),"")</f>
        <v/>
      </c>
      <c r="C27" s="3"/>
      <c r="D27" s="12" t="s">
        <v>30</v>
      </c>
      <c r="E27" s="3"/>
    </row>
    <row r="28" spans="1:5" ht="21">
      <c r="A28" s="27" t="str">
        <f>IF($B$19="Радиаторы (от 100 шт)","Например: 49854","")</f>
        <v>Например: 49854</v>
      </c>
      <c r="B28" s="29"/>
      <c r="C28" s="3"/>
      <c r="D28" s="9"/>
      <c r="E28" s="9"/>
    </row>
    <row r="29" spans="1:5" s="11" customFormat="1" ht="6.75" customHeight="1">
      <c r="A29" s="10"/>
      <c r="B29" s="10"/>
      <c r="C29" s="10"/>
      <c r="D29" s="10"/>
      <c r="E29" s="10"/>
    </row>
    <row r="30" spans="1:5" ht="18.75">
      <c r="A30" s="1"/>
      <c r="B30" s="3"/>
      <c r="C30" s="3"/>
      <c r="D30" s="9"/>
      <c r="E30" s="9"/>
    </row>
    <row r="31" spans="1:5" ht="52.5">
      <c r="A31" s="16" t="s">
        <v>39</v>
      </c>
      <c r="B31" s="18" t="s">
        <v>152</v>
      </c>
      <c r="C31" s="9"/>
      <c r="D31" s="16" t="s">
        <v>17</v>
      </c>
      <c r="E31" s="23" t="s">
        <v>153</v>
      </c>
    </row>
    <row r="32" spans="1:5" ht="21">
      <c r="C32" s="3"/>
      <c r="D32" s="12" t="s">
        <v>0</v>
      </c>
      <c r="E32" s="3"/>
    </row>
    <row r="33" spans="1:5" ht="10.5" customHeight="1">
      <c r="C33" s="3"/>
      <c r="D33" s="12"/>
      <c r="E33" s="3"/>
    </row>
    <row r="34" spans="1:5" ht="26.25">
      <c r="A34" s="9"/>
      <c r="B34" s="9"/>
      <c r="C34" s="9"/>
      <c r="D34" s="17" t="s">
        <v>155</v>
      </c>
      <c r="E34" s="24" t="s">
        <v>159</v>
      </c>
    </row>
    <row r="35" spans="1:5" ht="126">
      <c r="A35" s="9"/>
      <c r="B35" s="3"/>
      <c r="C35" s="3"/>
      <c r="D35" s="12" t="s">
        <v>147</v>
      </c>
      <c r="E35" s="9"/>
    </row>
    <row r="36" spans="1:5" hidden="1">
      <c r="A36" s="9"/>
      <c r="B36" s="9"/>
      <c r="C36" s="9"/>
      <c r="D36" s="9"/>
      <c r="E36" s="9"/>
    </row>
    <row r="37" spans="1:5" hidden="1">
      <c r="A37" s="9"/>
      <c r="B37" s="9"/>
      <c r="C37" s="9"/>
      <c r="D37" s="9"/>
      <c r="E37" s="9"/>
    </row>
    <row r="38" spans="1:5" hidden="1">
      <c r="A38" s="9"/>
      <c r="B38" s="9"/>
      <c r="C38" s="9"/>
      <c r="D38" s="9"/>
      <c r="E38" s="9"/>
    </row>
    <row r="39" spans="1:5" hidden="1">
      <c r="A39" s="9"/>
      <c r="B39" s="9"/>
      <c r="C39" s="9"/>
      <c r="D39" s="9"/>
      <c r="E39" s="9"/>
    </row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</sheetData>
  <sheetProtection algorithmName="SHA-512" hashValue="ZcYvJEWGtTGKHYz3fxABAXNKi6vZvuEYRTjHbGWsYTet2ZVk4nhqvIpmYLiawNlFIalnM0WBHIbgbLZTO3eAIw==" saltValue="waOLkUg3DZ2S4Px8rqiBsw==" spinCount="100000" sheet="1" formatCells="0" insertHyperlinks="0"/>
  <mergeCells count="4">
    <mergeCell ref="A6:E6"/>
    <mergeCell ref="A17:E17"/>
    <mergeCell ref="A1:E1"/>
    <mergeCell ref="A10:B10"/>
  </mergeCells>
  <dataValidations count="4">
    <dataValidation type="list" allowBlank="1" showInputMessage="1" showErrorMessage="1" sqref="B20" xr:uid="{A86349B7-0C7A-43E3-8E4B-3E5352A01CFE}">
      <formula1>INDIRECT("Бренды["&amp;$B19&amp;"]")</formula1>
    </dataValidation>
    <dataValidation type="list" allowBlank="1" showInputMessage="1" showErrorMessage="1" sqref="B19" xr:uid="{6C4E88CD-E712-4015-8E25-F76C600570B8}">
      <formula1>"Радиаторы (от 100 шт),Настенные конденсационные котлы T2 (от 2 шт),Настенные котлы METEOR,Напольные котлы METEOR MK (от 2 шт)"</formula1>
    </dataValidation>
    <dataValidation type="list" allowBlank="1" showInputMessage="1" showErrorMessage="1" sqref="C32:C33" xr:uid="{2FBA7E3F-C0F9-4BDC-B9F8-DA2DFCA4712E}">
      <formula1>"1 кв 2025, 2 кв 2025,3 кв 2025,4 кв 2025,1 кв 2026, 2 кв 2026,3 кв 2026,4 кв 2026,2027"</formula1>
    </dataValidation>
    <dataValidation type="list" allowBlank="1" showInputMessage="1" showErrorMessage="1" sqref="B31" xr:uid="{B6EBCD5E-8AF0-451B-8DF3-2C6F78D4452C}">
      <formula1>"Выберите значение,1 кв 2025, 2 кв 2025,3 кв 2025,4 кв 2025,1 кв 2026, 2 кв 2026,3 кв 2026,4 кв 2026,2027"</formula1>
    </dataValidation>
  </dataValidations>
  <hyperlinks>
    <hyperlink ref="A26" r:id="rId1" display="ID проекта с сайта наш.дом.рф" xr:uid="{EA97D414-1330-4646-A35C-317B55AFA377}"/>
    <hyperlink ref="B13" r:id="rId2" xr:uid="{261FDCEB-C7D5-47EF-A499-D3AA5099AC3C}"/>
  </hyperlinks>
  <pageMargins left="0.7" right="0.7" top="0.75" bottom="0.75" header="0.3" footer="0.3"/>
  <pageSetup paperSize="9" orientation="portrait" horizontalDpi="4294967295" verticalDpi="4294967295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C5E56F-F183-454B-BACB-5F8A9689092A}">
          <x14:formula1>
            <xm:f>Лист2!$A$19:$A$108</xm:f>
          </x14:formula1>
          <xm:sqref>E23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565B3-7293-4B03-9C17-C34A24CC962D}">
  <sheetPr codeName="Лист2"/>
  <dimension ref="A1:K109"/>
  <sheetViews>
    <sheetView workbookViewId="0">
      <selection activeCell="G24" sqref="G24"/>
    </sheetView>
  </sheetViews>
  <sheetFormatPr defaultRowHeight="15"/>
  <cols>
    <col min="1" max="1" width="35" customWidth="1"/>
    <col min="2" max="2" width="33.85546875" bestFit="1" customWidth="1"/>
    <col min="3" max="3" width="28.85546875" customWidth="1"/>
    <col min="8" max="9" width="29.42578125" customWidth="1"/>
    <col min="10" max="10" width="25" customWidth="1"/>
    <col min="11" max="11" width="26" customWidth="1"/>
  </cols>
  <sheetData>
    <row r="1" spans="1:11">
      <c r="A1" t="s">
        <v>150</v>
      </c>
      <c r="H1" t="s">
        <v>150</v>
      </c>
      <c r="I1" t="s">
        <v>151</v>
      </c>
      <c r="J1" t="s">
        <v>18</v>
      </c>
      <c r="K1" t="s">
        <v>149</v>
      </c>
    </row>
    <row r="2" spans="1:11">
      <c r="A2" t="s">
        <v>151</v>
      </c>
      <c r="H2" t="s">
        <v>27</v>
      </c>
      <c r="I2" t="s">
        <v>27</v>
      </c>
      <c r="J2" t="s">
        <v>27</v>
      </c>
      <c r="K2" t="s">
        <v>27</v>
      </c>
    </row>
    <row r="3" spans="1:11">
      <c r="A3" t="s">
        <v>18</v>
      </c>
      <c r="H3" t="s">
        <v>3</v>
      </c>
      <c r="I3" t="s">
        <v>3</v>
      </c>
      <c r="J3" t="s">
        <v>3</v>
      </c>
      <c r="K3" t="s">
        <v>3</v>
      </c>
    </row>
    <row r="4" spans="1:11">
      <c r="A4" t="s">
        <v>149</v>
      </c>
      <c r="H4" t="s">
        <v>4</v>
      </c>
      <c r="I4" t="s">
        <v>21</v>
      </c>
      <c r="J4" t="s">
        <v>21</v>
      </c>
      <c r="K4" t="s">
        <v>20</v>
      </c>
    </row>
    <row r="5" spans="1:11">
      <c r="H5" t="s">
        <v>7</v>
      </c>
      <c r="I5" t="s">
        <v>20</v>
      </c>
      <c r="J5" t="s">
        <v>20</v>
      </c>
      <c r="K5" t="s">
        <v>25</v>
      </c>
    </row>
    <row r="6" spans="1:11">
      <c r="H6" t="s">
        <v>8</v>
      </c>
      <c r="I6" t="s">
        <v>25</v>
      </c>
      <c r="J6" t="s">
        <v>19</v>
      </c>
      <c r="K6" t="s">
        <v>26</v>
      </c>
    </row>
    <row r="7" spans="1:11">
      <c r="H7" t="s">
        <v>12</v>
      </c>
      <c r="I7" t="s">
        <v>24</v>
      </c>
      <c r="J7" t="s">
        <v>24</v>
      </c>
      <c r="K7" t="s">
        <v>22</v>
      </c>
    </row>
    <row r="8" spans="1:11">
      <c r="H8" t="s">
        <v>10</v>
      </c>
      <c r="I8" t="s">
        <v>23</v>
      </c>
      <c r="J8" t="s">
        <v>23</v>
      </c>
    </row>
    <row r="9" spans="1:11">
      <c r="H9" t="s">
        <v>5</v>
      </c>
      <c r="I9" t="s">
        <v>22</v>
      </c>
      <c r="J9" t="s">
        <v>22</v>
      </c>
    </row>
    <row r="10" spans="1:11">
      <c r="H10" t="s">
        <v>15</v>
      </c>
      <c r="J10" t="s">
        <v>16</v>
      </c>
    </row>
    <row r="11" spans="1:11">
      <c r="H11" t="s">
        <v>9</v>
      </c>
    </row>
    <row r="12" spans="1:11">
      <c r="H12" t="s">
        <v>11</v>
      </c>
    </row>
    <row r="13" spans="1:11">
      <c r="H13" t="s">
        <v>6</v>
      </c>
    </row>
    <row r="14" spans="1:11">
      <c r="H14" t="s">
        <v>14</v>
      </c>
    </row>
    <row r="15" spans="1:11">
      <c r="H15" t="s">
        <v>13</v>
      </c>
    </row>
    <row r="16" spans="1:11">
      <c r="H16" t="s">
        <v>16</v>
      </c>
    </row>
    <row r="18" spans="1:3">
      <c r="B18" t="s">
        <v>43</v>
      </c>
      <c r="C18" t="s">
        <v>44</v>
      </c>
    </row>
    <row r="19" spans="1:3">
      <c r="A19" t="s">
        <v>27</v>
      </c>
    </row>
    <row r="20" spans="1:3">
      <c r="A20" t="s">
        <v>45</v>
      </c>
      <c r="B20" t="s">
        <v>46</v>
      </c>
    </row>
    <row r="21" spans="1:3">
      <c r="A21" t="s">
        <v>47</v>
      </c>
      <c r="B21" t="s">
        <v>46</v>
      </c>
    </row>
    <row r="22" spans="1:3">
      <c r="A22" t="s">
        <v>48</v>
      </c>
      <c r="B22" t="s">
        <v>49</v>
      </c>
    </row>
    <row r="23" spans="1:3">
      <c r="A23" t="s">
        <v>50</v>
      </c>
      <c r="B23" t="s">
        <v>51</v>
      </c>
    </row>
    <row r="24" spans="1:3">
      <c r="A24" t="s">
        <v>52</v>
      </c>
      <c r="B24" t="s">
        <v>53</v>
      </c>
    </row>
    <row r="25" spans="1:3">
      <c r="A25" t="s">
        <v>54</v>
      </c>
      <c r="B25" t="s">
        <v>53</v>
      </c>
    </row>
    <row r="26" spans="1:3">
      <c r="A26" t="s">
        <v>42</v>
      </c>
      <c r="B26" t="s">
        <v>53</v>
      </c>
    </row>
    <row r="27" spans="1:3">
      <c r="A27" t="s">
        <v>55</v>
      </c>
      <c r="B27" t="s">
        <v>51</v>
      </c>
    </row>
    <row r="28" spans="1:3">
      <c r="A28" t="s">
        <v>56</v>
      </c>
      <c r="B28" t="s">
        <v>53</v>
      </c>
    </row>
    <row r="29" spans="1:3">
      <c r="A29" t="s">
        <v>57</v>
      </c>
      <c r="B29" t="s">
        <v>53</v>
      </c>
    </row>
    <row r="30" spans="1:3">
      <c r="A30" t="s">
        <v>58</v>
      </c>
      <c r="B30" t="s">
        <v>49</v>
      </c>
    </row>
    <row r="31" spans="1:3">
      <c r="A31" t="s">
        <v>59</v>
      </c>
      <c r="B31" t="s">
        <v>51</v>
      </c>
    </row>
    <row r="32" spans="1:3">
      <c r="A32" t="s">
        <v>60</v>
      </c>
      <c r="B32" t="s">
        <v>46</v>
      </c>
    </row>
    <row r="33" spans="1:2">
      <c r="A33" t="s">
        <v>61</v>
      </c>
      <c r="B33" t="s">
        <v>46</v>
      </c>
    </row>
    <row r="34" spans="1:2">
      <c r="A34" t="s">
        <v>62</v>
      </c>
      <c r="B34" t="s">
        <v>53</v>
      </c>
    </row>
    <row r="35" spans="1:2">
      <c r="A35" t="s">
        <v>63</v>
      </c>
      <c r="B35" t="s">
        <v>46</v>
      </c>
    </row>
    <row r="36" spans="1:2">
      <c r="A36" t="s">
        <v>64</v>
      </c>
      <c r="B36" t="s">
        <v>51</v>
      </c>
    </row>
    <row r="37" spans="1:2">
      <c r="A37" t="s">
        <v>65</v>
      </c>
      <c r="B37" t="s">
        <v>49</v>
      </c>
    </row>
    <row r="38" spans="1:2">
      <c r="A38" t="s">
        <v>66</v>
      </c>
      <c r="B38" t="s">
        <v>53</v>
      </c>
    </row>
    <row r="39" spans="1:2">
      <c r="A39" t="s">
        <v>67</v>
      </c>
      <c r="B39" t="s">
        <v>46</v>
      </c>
    </row>
    <row r="40" spans="1:2">
      <c r="A40" t="s">
        <v>68</v>
      </c>
      <c r="B40" t="s">
        <v>51</v>
      </c>
    </row>
    <row r="41" spans="1:2">
      <c r="A41" t="s">
        <v>69</v>
      </c>
      <c r="B41" t="s">
        <v>46</v>
      </c>
    </row>
    <row r="42" spans="1:2">
      <c r="A42" t="s">
        <v>70</v>
      </c>
      <c r="B42" t="s">
        <v>71</v>
      </c>
    </row>
    <row r="43" spans="1:2">
      <c r="A43" t="s">
        <v>72</v>
      </c>
      <c r="B43" t="s">
        <v>53</v>
      </c>
    </row>
    <row r="44" spans="1:2">
      <c r="A44" t="s">
        <v>73</v>
      </c>
      <c r="B44" t="s">
        <v>51</v>
      </c>
    </row>
    <row r="45" spans="1:2">
      <c r="A45" t="s">
        <v>74</v>
      </c>
      <c r="B45" t="s">
        <v>46</v>
      </c>
    </row>
    <row r="46" spans="1:2">
      <c r="A46" t="s">
        <v>75</v>
      </c>
      <c r="B46" t="s">
        <v>76</v>
      </c>
    </row>
    <row r="47" spans="1:2">
      <c r="A47" t="s">
        <v>77</v>
      </c>
      <c r="B47" t="s">
        <v>53</v>
      </c>
    </row>
    <row r="48" spans="1:2">
      <c r="A48" t="s">
        <v>78</v>
      </c>
      <c r="B48" t="s">
        <v>49</v>
      </c>
    </row>
    <row r="49" spans="1:2">
      <c r="A49" t="s">
        <v>79</v>
      </c>
      <c r="B49" t="s">
        <v>53</v>
      </c>
    </row>
    <row r="50" spans="1:2">
      <c r="A50" t="s">
        <v>80</v>
      </c>
      <c r="B50" t="s">
        <v>46</v>
      </c>
    </row>
    <row r="51" spans="1:2">
      <c r="A51" t="s">
        <v>81</v>
      </c>
      <c r="B51" t="s">
        <v>53</v>
      </c>
    </row>
    <row r="52" spans="1:2">
      <c r="A52" t="s">
        <v>82</v>
      </c>
      <c r="B52" t="s">
        <v>53</v>
      </c>
    </row>
    <row r="53" spans="1:2">
      <c r="A53" t="s">
        <v>83</v>
      </c>
      <c r="B53" t="s">
        <v>49</v>
      </c>
    </row>
    <row r="54" spans="1:2">
      <c r="A54" t="s">
        <v>84</v>
      </c>
      <c r="B54" t="s">
        <v>85</v>
      </c>
    </row>
    <row r="55" spans="1:2">
      <c r="A55" t="s">
        <v>86</v>
      </c>
      <c r="B55" t="s">
        <v>49</v>
      </c>
    </row>
    <row r="56" spans="1:2">
      <c r="A56" t="s">
        <v>87</v>
      </c>
      <c r="B56" t="s">
        <v>46</v>
      </c>
    </row>
    <row r="57" spans="1:2">
      <c r="A57" t="s">
        <v>88</v>
      </c>
      <c r="B57" t="s">
        <v>46</v>
      </c>
    </row>
    <row r="58" spans="1:2">
      <c r="A58" t="s">
        <v>89</v>
      </c>
      <c r="B58" t="s">
        <v>90</v>
      </c>
    </row>
    <row r="59" spans="1:2">
      <c r="A59" t="s">
        <v>91</v>
      </c>
      <c r="B59" t="s">
        <v>53</v>
      </c>
    </row>
    <row r="60" spans="1:2">
      <c r="A60" t="s">
        <v>92</v>
      </c>
      <c r="B60" t="s">
        <v>90</v>
      </c>
    </row>
    <row r="61" spans="1:2">
      <c r="A61" t="s">
        <v>93</v>
      </c>
      <c r="B61" t="s">
        <v>71</v>
      </c>
    </row>
    <row r="62" spans="1:2">
      <c r="A62" t="s">
        <v>94</v>
      </c>
      <c r="B62" t="s">
        <v>46</v>
      </c>
    </row>
    <row r="63" spans="1:2">
      <c r="A63" t="s">
        <v>95</v>
      </c>
      <c r="B63" t="s">
        <v>49</v>
      </c>
    </row>
    <row r="64" spans="1:2">
      <c r="A64" t="s">
        <v>96</v>
      </c>
      <c r="B64" t="s">
        <v>51</v>
      </c>
    </row>
    <row r="65" spans="1:2">
      <c r="A65" t="s">
        <v>97</v>
      </c>
      <c r="B65" t="s">
        <v>46</v>
      </c>
    </row>
    <row r="66" spans="1:2">
      <c r="A66" t="s">
        <v>98</v>
      </c>
      <c r="B66" t="s">
        <v>90</v>
      </c>
    </row>
    <row r="67" spans="1:2">
      <c r="A67" t="s">
        <v>99</v>
      </c>
      <c r="B67" t="s">
        <v>46</v>
      </c>
    </row>
    <row r="68" spans="1:2">
      <c r="A68" t="s">
        <v>100</v>
      </c>
      <c r="B68" t="s">
        <v>51</v>
      </c>
    </row>
    <row r="69" spans="1:2">
      <c r="A69" t="s">
        <v>101</v>
      </c>
      <c r="B69" t="s">
        <v>51</v>
      </c>
    </row>
    <row r="70" spans="1:2">
      <c r="A70" t="s">
        <v>102</v>
      </c>
      <c r="B70" t="s">
        <v>51</v>
      </c>
    </row>
    <row r="71" spans="1:2">
      <c r="A71" t="s">
        <v>103</v>
      </c>
      <c r="B71" t="s">
        <v>49</v>
      </c>
    </row>
    <row r="72" spans="1:2">
      <c r="A72" t="s">
        <v>104</v>
      </c>
      <c r="B72" t="s">
        <v>71</v>
      </c>
    </row>
    <row r="73" spans="1:2">
      <c r="A73" t="s">
        <v>105</v>
      </c>
      <c r="B73" t="s">
        <v>51</v>
      </c>
    </row>
    <row r="74" spans="1:2">
      <c r="A74" t="s">
        <v>106</v>
      </c>
      <c r="B74" t="s">
        <v>85</v>
      </c>
    </row>
    <row r="75" spans="1:2">
      <c r="A75" t="s">
        <v>107</v>
      </c>
      <c r="B75" t="s">
        <v>85</v>
      </c>
    </row>
    <row r="76" spans="1:2">
      <c r="A76" t="s">
        <v>108</v>
      </c>
      <c r="B76" t="s">
        <v>46</v>
      </c>
    </row>
    <row r="77" spans="1:2">
      <c r="A77" t="s">
        <v>109</v>
      </c>
      <c r="B77" t="s">
        <v>51</v>
      </c>
    </row>
    <row r="78" spans="1:2">
      <c r="A78" t="s">
        <v>110</v>
      </c>
      <c r="B78" t="s">
        <v>85</v>
      </c>
    </row>
    <row r="79" spans="1:2">
      <c r="A79" t="s">
        <v>111</v>
      </c>
      <c r="B79" t="s">
        <v>46</v>
      </c>
    </row>
    <row r="80" spans="1:2">
      <c r="A80" t="s">
        <v>112</v>
      </c>
      <c r="B80" t="s">
        <v>46</v>
      </c>
    </row>
    <row r="81" spans="1:2">
      <c r="A81" t="s">
        <v>113</v>
      </c>
      <c r="B81" t="s">
        <v>51</v>
      </c>
    </row>
    <row r="82" spans="1:2">
      <c r="A82" t="s">
        <v>114</v>
      </c>
      <c r="B82" t="s">
        <v>53</v>
      </c>
    </row>
    <row r="83" spans="1:2">
      <c r="A83" t="s">
        <v>115</v>
      </c>
      <c r="B83" t="s">
        <v>90</v>
      </c>
    </row>
    <row r="84" spans="1:2">
      <c r="A84" t="s">
        <v>116</v>
      </c>
      <c r="B84" t="s">
        <v>90</v>
      </c>
    </row>
    <row r="85" spans="1:2">
      <c r="A85" t="s">
        <v>117</v>
      </c>
      <c r="B85" t="s">
        <v>46</v>
      </c>
    </row>
    <row r="86" spans="1:2">
      <c r="A86" t="s">
        <v>118</v>
      </c>
      <c r="B86" t="s">
        <v>76</v>
      </c>
    </row>
    <row r="87" spans="1:2">
      <c r="A87" t="s">
        <v>119</v>
      </c>
      <c r="B87" t="s">
        <v>53</v>
      </c>
    </row>
    <row r="88" spans="1:2">
      <c r="A88" t="s">
        <v>120</v>
      </c>
      <c r="B88" t="s">
        <v>51</v>
      </c>
    </row>
    <row r="89" spans="1:2">
      <c r="A89" t="s">
        <v>121</v>
      </c>
      <c r="B89" t="s">
        <v>90</v>
      </c>
    </row>
    <row r="90" spans="1:2">
      <c r="A90" t="s">
        <v>122</v>
      </c>
      <c r="B90" t="s">
        <v>53</v>
      </c>
    </row>
    <row r="91" spans="1:2">
      <c r="A91" t="s">
        <v>123</v>
      </c>
      <c r="B91" t="s">
        <v>46</v>
      </c>
    </row>
    <row r="92" spans="1:2">
      <c r="A92" t="s">
        <v>124</v>
      </c>
      <c r="B92" t="s">
        <v>53</v>
      </c>
    </row>
    <row r="93" spans="1:2">
      <c r="A93" t="s">
        <v>125</v>
      </c>
      <c r="B93" t="s">
        <v>126</v>
      </c>
    </row>
    <row r="94" spans="1:2">
      <c r="A94" t="s">
        <v>127</v>
      </c>
      <c r="B94" t="s">
        <v>71</v>
      </c>
    </row>
    <row r="95" spans="1:2">
      <c r="A95" t="s">
        <v>128</v>
      </c>
      <c r="B95" t="s">
        <v>90</v>
      </c>
    </row>
    <row r="96" spans="1:2">
      <c r="A96" t="s">
        <v>129</v>
      </c>
      <c r="B96" t="s">
        <v>46</v>
      </c>
    </row>
    <row r="97" spans="1:2">
      <c r="A97" t="s">
        <v>130</v>
      </c>
      <c r="B97" t="s">
        <v>126</v>
      </c>
    </row>
    <row r="98" spans="1:2">
      <c r="A98" t="s">
        <v>131</v>
      </c>
      <c r="B98" t="s">
        <v>76</v>
      </c>
    </row>
    <row r="99" spans="1:2">
      <c r="A99" t="s">
        <v>132</v>
      </c>
      <c r="B99" t="s">
        <v>51</v>
      </c>
    </row>
    <row r="100" spans="1:2">
      <c r="A100" t="s">
        <v>133</v>
      </c>
      <c r="B100" t="s">
        <v>85</v>
      </c>
    </row>
    <row r="101" spans="1:2">
      <c r="A101" t="s">
        <v>134</v>
      </c>
      <c r="B101" t="s">
        <v>46</v>
      </c>
    </row>
    <row r="102" spans="1:2">
      <c r="A102" t="s">
        <v>135</v>
      </c>
      <c r="B102" t="s">
        <v>76</v>
      </c>
    </row>
    <row r="103" spans="1:2">
      <c r="A103" t="s">
        <v>136</v>
      </c>
      <c r="B103" t="s">
        <v>53</v>
      </c>
    </row>
    <row r="104" spans="1:2">
      <c r="A104" t="s">
        <v>137</v>
      </c>
      <c r="B104" t="s">
        <v>49</v>
      </c>
    </row>
    <row r="105" spans="1:2">
      <c r="A105" t="s">
        <v>138</v>
      </c>
      <c r="B105" t="s">
        <v>49</v>
      </c>
    </row>
    <row r="106" spans="1:2">
      <c r="A106" t="s">
        <v>139</v>
      </c>
      <c r="B106" t="s">
        <v>49</v>
      </c>
    </row>
    <row r="107" spans="1:2">
      <c r="A107" t="s">
        <v>140</v>
      </c>
      <c r="B107" t="s">
        <v>49</v>
      </c>
    </row>
    <row r="108" spans="1:2">
      <c r="A108" t="s">
        <v>141</v>
      </c>
      <c r="B108" t="s">
        <v>49</v>
      </c>
    </row>
    <row r="109" spans="1:2">
      <c r="A109" t="s">
        <v>142</v>
      </c>
      <c r="B109" t="s">
        <v>143</v>
      </c>
    </row>
  </sheetData>
  <sortState xmlns:xlrd2="http://schemas.microsoft.com/office/spreadsheetml/2017/richdata2" ref="K3:K6">
    <sortCondition ref="K2:K6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Диканов Евгений (EngP3/SRC1)</dc:creator>
  <cp:lastModifiedBy>Antropov Alexey (EngP3/SAL)</cp:lastModifiedBy>
  <cp:lastPrinted>2025-01-28T19:24:09Z</cp:lastPrinted>
  <dcterms:created xsi:type="dcterms:W3CDTF">2025-01-27T13:03:20Z</dcterms:created>
  <dcterms:modified xsi:type="dcterms:W3CDTF">2025-03-10T09:10:11Z</dcterms:modified>
</cp:coreProperties>
</file>